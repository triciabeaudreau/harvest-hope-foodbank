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ici\Documents\Claude\Projects\Fictional Food Bank\"/>
    </mc:Choice>
  </mc:AlternateContent>
  <xr:revisionPtr revIDLastSave="0" documentId="13_ncr:1_{C9C436A3-933D-4BCE-A89F-1AA4B2DE6C84}" xr6:coauthVersionLast="47" xr6:coauthVersionMax="47" xr10:uidLastSave="{00000000-0000-0000-0000-000000000000}"/>
  <bookViews>
    <workbookView xWindow="33720" yWindow="-120" windowWidth="29040" windowHeight="15720" xr2:uid="{00000000-000D-0000-FFFF-FFFF00000000}"/>
  </bookViews>
  <sheets>
    <sheet name="Current Inventory" sheetId="2" r:id="rId1"/>
    <sheet name="AI Recommendations" sheetId="3" r:id="rId2"/>
    <sheet name="Donations Log" sheetId="4" r:id="rId3"/>
    <sheet name="Distribution History" sheetId="5" r:id="rId4"/>
    <sheet name="Food Catalog" sheetId="6" r:id="rId5"/>
    <sheet name="Partner Pantries" sheetId="7" r:id="rId6"/>
    <sheet name="Demand Weights" sheetId="8" state="hidden" r:id="rId7"/>
  </sheets>
  <definedNames>
    <definedName name="_xlnm._FilterDatabase" localSheetId="1" hidden="1">'AI Recommendations'!$A$4:$L$54</definedName>
    <definedName name="_xlnm._FilterDatabase" localSheetId="0" hidden="1">'Current Inventory'!$A$4:$L$54</definedName>
    <definedName name="_xlnm._FilterDatabase" localSheetId="3" hidden="1">'Distribution History'!$A$4:$J$1881</definedName>
    <definedName name="_xlnm._FilterDatabase" localSheetId="2" hidden="1">'Donations Log'!$A$4:$L$1112</definedName>
    <definedName name="_xlnm._FilterDatabase" localSheetId="4" hidden="1">'Food Catalog'!$A$4:$F$54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F6" i="2" s="1"/>
  <c r="G6" i="2" s="1"/>
  <c r="E7" i="2"/>
  <c r="F7" i="2" s="1"/>
  <c r="F7" i="3" s="1"/>
  <c r="E8" i="2"/>
  <c r="F8" i="2" s="1"/>
  <c r="F8" i="3" s="1"/>
  <c r="E9" i="2"/>
  <c r="F9" i="2" s="1"/>
  <c r="G9" i="2" s="1"/>
  <c r="E10" i="2"/>
  <c r="J10" i="2" s="1"/>
  <c r="K10" i="2" s="1"/>
  <c r="E11" i="2"/>
  <c r="F11" i="2" s="1"/>
  <c r="F11" i="3" s="1"/>
  <c r="E12" i="2"/>
  <c r="J12" i="2" s="1"/>
  <c r="E13" i="2"/>
  <c r="F13" i="2" s="1"/>
  <c r="F13" i="3" s="1"/>
  <c r="E14" i="2"/>
  <c r="F14" i="2" s="1"/>
  <c r="F14" i="3" s="1"/>
  <c r="E15" i="2"/>
  <c r="J15" i="2" s="1"/>
  <c r="K15" i="2" s="1"/>
  <c r="E16" i="2"/>
  <c r="J16" i="2" s="1"/>
  <c r="E17" i="2"/>
  <c r="F17" i="2" s="1"/>
  <c r="F17" i="3" s="1"/>
  <c r="E18" i="2"/>
  <c r="F18" i="2" s="1"/>
  <c r="G18" i="2" s="1"/>
  <c r="E19" i="2"/>
  <c r="F19" i="2" s="1"/>
  <c r="F19" i="3" s="1"/>
  <c r="E20" i="2"/>
  <c r="F20" i="2" s="1"/>
  <c r="F20" i="3" s="1"/>
  <c r="E21" i="2"/>
  <c r="F21" i="2" s="1"/>
  <c r="F21" i="3" s="1"/>
  <c r="E22" i="2"/>
  <c r="F22" i="2" s="1"/>
  <c r="G22" i="2" s="1"/>
  <c r="E23" i="2"/>
  <c r="J23" i="2" s="1"/>
  <c r="K23" i="2" s="1"/>
  <c r="E24" i="2"/>
  <c r="F24" i="2" s="1"/>
  <c r="G24" i="2" s="1"/>
  <c r="E25" i="2"/>
  <c r="J25" i="2" s="1"/>
  <c r="K25" i="2" s="1"/>
  <c r="E26" i="2"/>
  <c r="J26" i="2" s="1"/>
  <c r="K26" i="2" s="1"/>
  <c r="E27" i="2"/>
  <c r="F27" i="2" s="1"/>
  <c r="F27" i="3" s="1"/>
  <c r="E28" i="2"/>
  <c r="F28" i="2" s="1"/>
  <c r="F28" i="3" s="1"/>
  <c r="E29" i="2"/>
  <c r="J29" i="2" s="1"/>
  <c r="K29" i="2" s="1"/>
  <c r="E30" i="2"/>
  <c r="F30" i="2" s="1"/>
  <c r="F30" i="3" s="1"/>
  <c r="E31" i="2"/>
  <c r="F31" i="2" s="1"/>
  <c r="F31" i="3" s="1"/>
  <c r="E32" i="2"/>
  <c r="F32" i="2" s="1"/>
  <c r="G32" i="2" s="1"/>
  <c r="E33" i="2"/>
  <c r="F33" i="2" s="1"/>
  <c r="F33" i="3" s="1"/>
  <c r="E34" i="2"/>
  <c r="F34" i="2" s="1"/>
  <c r="G34" i="2" s="1"/>
  <c r="E35" i="2"/>
  <c r="F35" i="2" s="1"/>
  <c r="F35" i="3" s="1"/>
  <c r="E36" i="2"/>
  <c r="J36" i="2" s="1"/>
  <c r="K36" i="2" s="1"/>
  <c r="E37" i="2"/>
  <c r="F37" i="2" s="1"/>
  <c r="F37" i="3" s="1"/>
  <c r="E38" i="2"/>
  <c r="J38" i="2" s="1"/>
  <c r="K38" i="2" s="1"/>
  <c r="E39" i="2"/>
  <c r="J39" i="2" s="1"/>
  <c r="K39" i="2" s="1"/>
  <c r="E40" i="2"/>
  <c r="E41" i="2"/>
  <c r="E42" i="2"/>
  <c r="F42" i="2" s="1"/>
  <c r="E43" i="2"/>
  <c r="F43" i="2" s="1"/>
  <c r="F43" i="3" s="1"/>
  <c r="E44" i="2"/>
  <c r="F44" i="2" s="1"/>
  <c r="E45" i="2"/>
  <c r="F45" i="2" s="1"/>
  <c r="G45" i="2" s="1"/>
  <c r="E46" i="2"/>
  <c r="F46" i="2" s="1"/>
  <c r="F46" i="3" s="1"/>
  <c r="E47" i="2"/>
  <c r="E48" i="2"/>
  <c r="F48" i="2" s="1"/>
  <c r="F48" i="3" s="1"/>
  <c r="E49" i="2"/>
  <c r="J49" i="2" s="1"/>
  <c r="K49" i="2" s="1"/>
  <c r="E50" i="2"/>
  <c r="F50" i="2" s="1"/>
  <c r="F50" i="3" s="1"/>
  <c r="E51" i="2"/>
  <c r="E52" i="2"/>
  <c r="F52" i="2" s="1"/>
  <c r="F52" i="3" s="1"/>
  <c r="E53" i="2"/>
  <c r="F53" i="2" s="1"/>
  <c r="G53" i="2" s="1"/>
  <c r="E54" i="2"/>
  <c r="F54" i="2" s="1"/>
  <c r="G54" i="2" s="1"/>
  <c r="E5" i="2"/>
  <c r="F5" i="2" s="1"/>
  <c r="A1683" i="5"/>
  <c r="A1682" i="5"/>
  <c r="A1004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014" i="4"/>
  <c r="A8" i="4"/>
  <c r="A7" i="4"/>
  <c r="A5" i="4"/>
  <c r="A6" i="4"/>
  <c r="A12" i="4"/>
  <c r="A10" i="4"/>
  <c r="A9" i="4"/>
  <c r="A11" i="4"/>
  <c r="A15" i="4"/>
  <c r="A13" i="4"/>
  <c r="A14" i="4"/>
  <c r="A22" i="4"/>
  <c r="A25" i="4"/>
  <c r="A23" i="4"/>
  <c r="A27" i="4"/>
  <c r="A26" i="4"/>
  <c r="A24" i="4"/>
  <c r="A21" i="4"/>
  <c r="A19" i="4"/>
  <c r="A16" i="4"/>
  <c r="A20" i="4"/>
  <c r="A18" i="4"/>
  <c r="A17" i="4"/>
  <c r="A39" i="4"/>
  <c r="A42" i="4"/>
  <c r="A43" i="4"/>
  <c r="A46" i="4"/>
  <c r="A40" i="4"/>
  <c r="A44" i="4"/>
  <c r="A41" i="4"/>
  <c r="A45" i="4"/>
  <c r="A34" i="4"/>
  <c r="A30" i="4"/>
  <c r="A31" i="4"/>
  <c r="A37" i="4"/>
  <c r="A33" i="4"/>
  <c r="A28" i="4"/>
  <c r="A35" i="4"/>
  <c r="A29" i="4"/>
  <c r="A36" i="4"/>
  <c r="A32" i="4"/>
  <c r="A38" i="4"/>
  <c r="A49" i="4"/>
  <c r="A48" i="4"/>
  <c r="A52" i="4"/>
  <c r="A51" i="4"/>
  <c r="A47" i="4"/>
  <c r="A50" i="4"/>
  <c r="A53" i="4"/>
  <c r="A54" i="4"/>
  <c r="A62" i="4"/>
  <c r="A58" i="4"/>
  <c r="A63" i="4"/>
  <c r="A55" i="4"/>
  <c r="A60" i="4"/>
  <c r="A61" i="4"/>
  <c r="A64" i="4"/>
  <c r="A59" i="4"/>
  <c r="A57" i="4"/>
  <c r="A56" i="4"/>
  <c r="A68" i="4"/>
  <c r="A67" i="4"/>
  <c r="A66" i="4"/>
  <c r="A65" i="4"/>
  <c r="A87" i="4"/>
  <c r="A78" i="4"/>
  <c r="A77" i="4"/>
  <c r="A76" i="4"/>
  <c r="A85" i="4"/>
  <c r="A86" i="4"/>
  <c r="A91" i="4"/>
  <c r="A84" i="4"/>
  <c r="A93" i="4"/>
  <c r="A94" i="4"/>
  <c r="A95" i="4"/>
  <c r="A82" i="4"/>
  <c r="A89" i="4"/>
  <c r="A83" i="4"/>
  <c r="A90" i="4"/>
  <c r="A80" i="4"/>
  <c r="A79" i="4"/>
  <c r="A81" i="4"/>
  <c r="A88" i="4"/>
  <c r="A92" i="4"/>
  <c r="A73" i="4"/>
  <c r="A75" i="4"/>
  <c r="A69" i="4"/>
  <c r="A71" i="4"/>
  <c r="A70" i="4"/>
  <c r="A74" i="4"/>
  <c r="A72" i="4"/>
  <c r="A97" i="4"/>
  <c r="A100" i="4"/>
  <c r="A96" i="4"/>
  <c r="A98" i="4"/>
  <c r="A99" i="4"/>
  <c r="A102" i="4"/>
  <c r="A101" i="4"/>
  <c r="A105" i="4"/>
  <c r="A103" i="4"/>
  <c r="A104" i="4"/>
  <c r="A116" i="4"/>
  <c r="A119" i="4"/>
  <c r="A112" i="4"/>
  <c r="A118" i="4"/>
  <c r="A113" i="4"/>
  <c r="A106" i="4"/>
  <c r="A107" i="4"/>
  <c r="A108" i="4"/>
  <c r="A110" i="4"/>
  <c r="A111" i="4"/>
  <c r="A109" i="4"/>
  <c r="A115" i="4"/>
  <c r="A117" i="4"/>
  <c r="A114" i="4"/>
  <c r="A120" i="4"/>
  <c r="A126" i="4"/>
  <c r="A125" i="4"/>
  <c r="A123" i="4"/>
  <c r="A121" i="4"/>
  <c r="A122" i="4"/>
  <c r="A124" i="4"/>
  <c r="A128" i="4"/>
  <c r="A127" i="4"/>
  <c r="A129" i="4"/>
  <c r="A139" i="4"/>
  <c r="A149" i="4"/>
  <c r="A142" i="4"/>
  <c r="A148" i="4"/>
  <c r="A140" i="4"/>
  <c r="A146" i="4"/>
  <c r="A152" i="4"/>
  <c r="A150" i="4"/>
  <c r="A156" i="4"/>
  <c r="A153" i="4"/>
  <c r="A154" i="4"/>
  <c r="A151" i="4"/>
  <c r="A155" i="4"/>
  <c r="A147" i="4"/>
  <c r="A144" i="4"/>
  <c r="A138" i="4"/>
  <c r="A145" i="4"/>
  <c r="A143" i="4"/>
  <c r="A141" i="4"/>
  <c r="A131" i="4"/>
  <c r="A133" i="4"/>
  <c r="A132" i="4"/>
  <c r="A130" i="4"/>
  <c r="A134" i="4"/>
  <c r="A135" i="4"/>
  <c r="A137" i="4"/>
  <c r="A136" i="4"/>
  <c r="A174" i="4"/>
  <c r="A175" i="4"/>
  <c r="A166" i="4"/>
  <c r="A177" i="4"/>
  <c r="A165" i="4"/>
  <c r="A164" i="4"/>
  <c r="A172" i="4"/>
  <c r="A170" i="4"/>
  <c r="A173" i="4"/>
  <c r="A176" i="4"/>
  <c r="A167" i="4"/>
  <c r="A171" i="4"/>
  <c r="A169" i="4"/>
  <c r="A168" i="4"/>
  <c r="A157" i="4"/>
  <c r="A160" i="4"/>
  <c r="A163" i="4"/>
  <c r="A159" i="4"/>
  <c r="A158" i="4"/>
  <c r="A162" i="4"/>
  <c r="A161" i="4"/>
  <c r="A186" i="4"/>
  <c r="A183" i="4"/>
  <c r="A182" i="4"/>
  <c r="A189" i="4"/>
  <c r="A190" i="4"/>
  <c r="A184" i="4"/>
  <c r="A193" i="4"/>
  <c r="A194" i="4"/>
  <c r="A192" i="4"/>
  <c r="A180" i="4"/>
  <c r="A181" i="4"/>
  <c r="A178" i="4"/>
  <c r="A179" i="4"/>
  <c r="A188" i="4"/>
  <c r="A187" i="4"/>
  <c r="A185" i="4"/>
  <c r="A191" i="4"/>
  <c r="A195" i="4"/>
  <c r="A197" i="4"/>
  <c r="A196" i="4"/>
  <c r="A205" i="4"/>
  <c r="A202" i="4"/>
  <c r="A200" i="4"/>
  <c r="A198" i="4"/>
  <c r="A199" i="4"/>
  <c r="A204" i="4"/>
  <c r="A203" i="4"/>
  <c r="A201" i="4"/>
  <c r="A207" i="4"/>
  <c r="A209" i="4"/>
  <c r="A208" i="4"/>
  <c r="A210" i="4"/>
  <c r="A206" i="4"/>
  <c r="A228" i="4"/>
  <c r="A234" i="4"/>
  <c r="A226" i="4"/>
  <c r="A237" i="4"/>
  <c r="A235" i="4"/>
  <c r="A232" i="4"/>
  <c r="A233" i="4"/>
  <c r="A227" i="4"/>
  <c r="A238" i="4"/>
  <c r="A230" i="4"/>
  <c r="A231" i="4"/>
  <c r="A236" i="4"/>
  <c r="A229" i="4"/>
  <c r="A220" i="4"/>
  <c r="A223" i="4"/>
  <c r="A222" i="4"/>
  <c r="A219" i="4"/>
  <c r="A225" i="4"/>
  <c r="A218" i="4"/>
  <c r="A224" i="4"/>
  <c r="A221" i="4"/>
  <c r="A215" i="4"/>
  <c r="A213" i="4"/>
  <c r="A212" i="4"/>
  <c r="A217" i="4"/>
  <c r="A211" i="4"/>
  <c r="A216" i="4"/>
  <c r="A214" i="4"/>
  <c r="A240" i="4"/>
  <c r="A239" i="4"/>
  <c r="A243" i="4"/>
  <c r="A245" i="4"/>
  <c r="A242" i="4"/>
  <c r="A244" i="4"/>
  <c r="A241" i="4"/>
  <c r="A249" i="4"/>
  <c r="A257" i="4"/>
  <c r="A253" i="4"/>
  <c r="A250" i="4"/>
  <c r="A255" i="4"/>
  <c r="A247" i="4"/>
  <c r="A246" i="4"/>
  <c r="A254" i="4"/>
  <c r="A252" i="4"/>
  <c r="A256" i="4"/>
  <c r="A251" i="4"/>
  <c r="A248" i="4"/>
  <c r="A278" i="4"/>
  <c r="A277" i="4"/>
  <c r="A272" i="4"/>
  <c r="A274" i="4"/>
  <c r="A273" i="4"/>
  <c r="A275" i="4"/>
  <c r="A276" i="4"/>
  <c r="A283" i="4"/>
  <c r="A280" i="4"/>
  <c r="A282" i="4"/>
  <c r="A279" i="4"/>
  <c r="A281" i="4"/>
  <c r="A270" i="4"/>
  <c r="A268" i="4"/>
  <c r="A271" i="4"/>
  <c r="A265" i="4"/>
  <c r="A266" i="4"/>
  <c r="A267" i="4"/>
  <c r="A269" i="4"/>
  <c r="A263" i="4"/>
  <c r="A260" i="4"/>
  <c r="A262" i="4"/>
  <c r="A258" i="4"/>
  <c r="A259" i="4"/>
  <c r="A261" i="4"/>
  <c r="A264" i="4"/>
  <c r="A284" i="4"/>
  <c r="A288" i="4"/>
  <c r="A285" i="4"/>
  <c r="A287" i="4"/>
  <c r="A286" i="4"/>
  <c r="A289" i="4"/>
  <c r="A298" i="4"/>
  <c r="A297" i="4"/>
  <c r="A296" i="4"/>
  <c r="A308" i="4"/>
  <c r="A305" i="4"/>
  <c r="A307" i="4"/>
  <c r="A309" i="4"/>
  <c r="A306" i="4"/>
  <c r="A299" i="4"/>
  <c r="A300" i="4"/>
  <c r="A302" i="4"/>
  <c r="A301" i="4"/>
  <c r="A303" i="4"/>
  <c r="A304" i="4"/>
  <c r="A293" i="4"/>
  <c r="A294" i="4"/>
  <c r="A290" i="4"/>
  <c r="A292" i="4"/>
  <c r="A295" i="4"/>
  <c r="A291" i="4"/>
  <c r="A310" i="4"/>
  <c r="A313" i="4"/>
  <c r="A312" i="4"/>
  <c r="A311" i="4"/>
  <c r="A322" i="4"/>
  <c r="A321" i="4"/>
  <c r="A320" i="4"/>
  <c r="A324" i="4"/>
  <c r="A323" i="4"/>
  <c r="A315" i="4"/>
  <c r="A317" i="4"/>
  <c r="A318" i="4"/>
  <c r="A316" i="4"/>
  <c r="A314" i="4"/>
  <c r="A319" i="4"/>
  <c r="A332" i="4"/>
  <c r="A333" i="4"/>
  <c r="A334" i="4"/>
  <c r="A335" i="4"/>
  <c r="A326" i="4"/>
  <c r="A329" i="4"/>
  <c r="A331" i="4"/>
  <c r="A330" i="4"/>
  <c r="A325" i="4"/>
  <c r="A328" i="4"/>
  <c r="A327" i="4"/>
  <c r="A342" i="4"/>
  <c r="A339" i="4"/>
  <c r="A338" i="4"/>
  <c r="A337" i="4"/>
  <c r="A340" i="4"/>
  <c r="A341" i="4"/>
  <c r="A343" i="4"/>
  <c r="A336" i="4"/>
  <c r="A348" i="4"/>
  <c r="A347" i="4"/>
  <c r="A349" i="4"/>
  <c r="A346" i="4"/>
  <c r="A344" i="4"/>
  <c r="A350" i="4"/>
  <c r="A345" i="4"/>
  <c r="A351" i="4"/>
  <c r="A362" i="4"/>
  <c r="A359" i="4"/>
  <c r="A360" i="4"/>
  <c r="A358" i="4"/>
  <c r="A364" i="4"/>
  <c r="A365" i="4"/>
  <c r="A363" i="4"/>
  <c r="A361" i="4"/>
  <c r="A353" i="4"/>
  <c r="A356" i="4"/>
  <c r="A355" i="4"/>
  <c r="A357" i="4"/>
  <c r="A354" i="4"/>
  <c r="A352" i="4"/>
  <c r="A366" i="4"/>
  <c r="A368" i="4"/>
  <c r="A367" i="4"/>
  <c r="A373" i="4"/>
  <c r="A375" i="4"/>
  <c r="A370" i="4"/>
  <c r="A372" i="4"/>
  <c r="A369" i="4"/>
  <c r="A374" i="4"/>
  <c r="A371" i="4"/>
  <c r="A377" i="4"/>
  <c r="A376" i="4"/>
  <c r="A378" i="4"/>
  <c r="A383" i="4"/>
  <c r="A382" i="4"/>
  <c r="A379" i="4"/>
  <c r="A385" i="4"/>
  <c r="A381" i="4"/>
  <c r="A384" i="4"/>
  <c r="A380" i="4"/>
  <c r="A397" i="4"/>
  <c r="A392" i="4"/>
  <c r="A399" i="4"/>
  <c r="A398" i="4"/>
  <c r="A393" i="4"/>
  <c r="A400" i="4"/>
  <c r="A401" i="4"/>
  <c r="A394" i="4"/>
  <c r="A391" i="4"/>
  <c r="A395" i="4"/>
  <c r="A396" i="4"/>
  <c r="A408" i="4"/>
  <c r="A405" i="4"/>
  <c r="A402" i="4"/>
  <c r="A404" i="4"/>
  <c r="A406" i="4"/>
  <c r="A403" i="4"/>
  <c r="A407" i="4"/>
  <c r="A386" i="4"/>
  <c r="A390" i="4"/>
  <c r="A389" i="4"/>
  <c r="A387" i="4"/>
  <c r="A388" i="4"/>
  <c r="A409" i="4"/>
  <c r="A411" i="4"/>
  <c r="A413" i="4"/>
  <c r="A410" i="4"/>
  <c r="A412" i="4"/>
  <c r="A423" i="4"/>
  <c r="A420" i="4"/>
  <c r="A421" i="4"/>
  <c r="A414" i="4"/>
  <c r="A416" i="4"/>
  <c r="A417" i="4"/>
  <c r="A427" i="4"/>
  <c r="A430" i="4"/>
  <c r="A426" i="4"/>
  <c r="A429" i="4"/>
  <c r="A425" i="4"/>
  <c r="A428" i="4"/>
  <c r="A419" i="4"/>
  <c r="A418" i="4"/>
  <c r="A422" i="4"/>
  <c r="A424" i="4"/>
  <c r="A415" i="4"/>
  <c r="A460" i="4"/>
  <c r="A458" i="4"/>
  <c r="A457" i="4"/>
  <c r="A456" i="4"/>
  <c r="A455" i="4"/>
  <c r="A459" i="4"/>
  <c r="A433" i="4"/>
  <c r="A435" i="4"/>
  <c r="A436" i="4"/>
  <c r="A431" i="4"/>
  <c r="A438" i="4"/>
  <c r="A440" i="4"/>
  <c r="A432" i="4"/>
  <c r="A439" i="4"/>
  <c r="A434" i="4"/>
  <c r="A437" i="4"/>
  <c r="A445" i="4"/>
  <c r="A443" i="4"/>
  <c r="A446" i="4"/>
  <c r="A442" i="4"/>
  <c r="A447" i="4"/>
  <c r="A441" i="4"/>
  <c r="A444" i="4"/>
  <c r="A448" i="4"/>
  <c r="A452" i="4"/>
  <c r="A450" i="4"/>
  <c r="A449" i="4"/>
  <c r="A454" i="4"/>
  <c r="A453" i="4"/>
  <c r="A451" i="4"/>
  <c r="A466" i="4"/>
  <c r="A464" i="4"/>
  <c r="A461" i="4"/>
  <c r="A465" i="4"/>
  <c r="A463" i="4"/>
  <c r="A462" i="4"/>
  <c r="A467" i="4"/>
  <c r="A468" i="4"/>
  <c r="A472" i="4"/>
  <c r="A471" i="4"/>
  <c r="A474" i="4"/>
  <c r="A470" i="4"/>
  <c r="A473" i="4"/>
  <c r="A469" i="4"/>
  <c r="A481" i="4"/>
  <c r="A478" i="4"/>
  <c r="A477" i="4"/>
  <c r="A475" i="4"/>
  <c r="A480" i="4"/>
  <c r="A479" i="4"/>
  <c r="A476" i="4"/>
  <c r="A485" i="4"/>
  <c r="A488" i="4"/>
  <c r="A486" i="4"/>
  <c r="A487" i="4"/>
  <c r="A484" i="4"/>
  <c r="A482" i="4"/>
  <c r="A483" i="4"/>
  <c r="A498" i="4"/>
  <c r="A497" i="4"/>
  <c r="A495" i="4"/>
  <c r="A496" i="4"/>
  <c r="A500" i="4"/>
  <c r="A499" i="4"/>
  <c r="A506" i="4"/>
  <c r="A503" i="4"/>
  <c r="A507" i="4"/>
  <c r="A509" i="4"/>
  <c r="A504" i="4"/>
  <c r="A491" i="4"/>
  <c r="A494" i="4"/>
  <c r="A492" i="4"/>
  <c r="A489" i="4"/>
  <c r="A493" i="4"/>
  <c r="A490" i="4"/>
  <c r="A501" i="4"/>
  <c r="A510" i="4"/>
  <c r="A505" i="4"/>
  <c r="A508" i="4"/>
  <c r="A502" i="4"/>
  <c r="A511" i="4"/>
  <c r="A513" i="4"/>
  <c r="A522" i="4"/>
  <c r="A521" i="4"/>
  <c r="A514" i="4"/>
  <c r="A518" i="4"/>
  <c r="A515" i="4"/>
  <c r="A520" i="4"/>
  <c r="A523" i="4"/>
  <c r="A516" i="4"/>
  <c r="A517" i="4"/>
  <c r="A512" i="4"/>
  <c r="A519" i="4"/>
  <c r="A538" i="4"/>
  <c r="A531" i="4"/>
  <c r="A537" i="4"/>
  <c r="A533" i="4"/>
  <c r="A534" i="4"/>
  <c r="A532" i="4"/>
  <c r="A535" i="4"/>
  <c r="A536" i="4"/>
  <c r="A524" i="4"/>
  <c r="A525" i="4"/>
  <c r="A526" i="4"/>
  <c r="A528" i="4"/>
  <c r="A527" i="4"/>
  <c r="A530" i="4"/>
  <c r="A529" i="4"/>
  <c r="A539" i="4"/>
  <c r="A542" i="4"/>
  <c r="A541" i="4"/>
  <c r="A543" i="4"/>
  <c r="A540" i="4"/>
  <c r="A544" i="4"/>
  <c r="A545" i="4"/>
  <c r="A546" i="4"/>
  <c r="A553" i="4"/>
  <c r="A554" i="4"/>
  <c r="A552" i="4"/>
  <c r="A547" i="4"/>
  <c r="A551" i="4"/>
  <c r="A549" i="4"/>
  <c r="A550" i="4"/>
  <c r="A548" i="4"/>
  <c r="A558" i="4"/>
  <c r="A562" i="4"/>
  <c r="A555" i="4"/>
  <c r="A560" i="4"/>
  <c r="A556" i="4"/>
  <c r="A557" i="4"/>
  <c r="A559" i="4"/>
  <c r="A561" i="4"/>
  <c r="A563" i="4"/>
  <c r="A567" i="4"/>
  <c r="A565" i="4"/>
  <c r="A566" i="4"/>
  <c r="A564" i="4"/>
  <c r="A574" i="4"/>
  <c r="A573" i="4"/>
  <c r="A579" i="4"/>
  <c r="A578" i="4"/>
  <c r="A575" i="4"/>
  <c r="A572" i="4"/>
  <c r="A576" i="4"/>
  <c r="A577" i="4"/>
  <c r="A570" i="4"/>
  <c r="A569" i="4"/>
  <c r="A568" i="4"/>
  <c r="A571" i="4"/>
  <c r="A592" i="4"/>
  <c r="A590" i="4"/>
  <c r="A587" i="4"/>
  <c r="A580" i="4"/>
  <c r="A591" i="4"/>
  <c r="A582" i="4"/>
  <c r="A583" i="4"/>
  <c r="A594" i="4"/>
  <c r="A598" i="4"/>
  <c r="A597" i="4"/>
  <c r="A593" i="4"/>
  <c r="A596" i="4"/>
  <c r="A595" i="4"/>
  <c r="A601" i="4"/>
  <c r="A606" i="4"/>
  <c r="A605" i="4"/>
  <c r="A599" i="4"/>
  <c r="A603" i="4"/>
  <c r="A600" i="4"/>
  <c r="A604" i="4"/>
  <c r="A602" i="4"/>
  <c r="A586" i="4"/>
  <c r="A588" i="4"/>
  <c r="A585" i="4"/>
  <c r="A584" i="4"/>
  <c r="A581" i="4"/>
  <c r="A589" i="4"/>
  <c r="A614" i="4"/>
  <c r="A612" i="4"/>
  <c r="A613" i="4"/>
  <c r="A616" i="4"/>
  <c r="A615" i="4"/>
  <c r="A611" i="4"/>
  <c r="A609" i="4"/>
  <c r="A610" i="4"/>
  <c r="A607" i="4"/>
  <c r="A608" i="4"/>
  <c r="A622" i="4"/>
  <c r="A621" i="4"/>
  <c r="A619" i="4"/>
  <c r="A617" i="4"/>
  <c r="A618" i="4"/>
  <c r="A620" i="4"/>
  <c r="A623" i="4"/>
  <c r="A625" i="4"/>
  <c r="A624" i="4"/>
  <c r="A633" i="4"/>
  <c r="A636" i="4"/>
  <c r="A635" i="4"/>
  <c r="A634" i="4"/>
  <c r="A637" i="4"/>
  <c r="A626" i="4"/>
  <c r="A632" i="4"/>
  <c r="A628" i="4"/>
  <c r="A631" i="4"/>
  <c r="A630" i="4"/>
  <c r="A627" i="4"/>
  <c r="A629" i="4"/>
  <c r="A641" i="4"/>
  <c r="A638" i="4"/>
  <c r="A642" i="4"/>
  <c r="A643" i="4"/>
  <c r="A639" i="4"/>
  <c r="A640" i="4"/>
  <c r="A644" i="4"/>
  <c r="A648" i="4"/>
  <c r="A646" i="4"/>
  <c r="A645" i="4"/>
  <c r="A649" i="4"/>
  <c r="A647" i="4"/>
  <c r="A652" i="4"/>
  <c r="A654" i="4"/>
  <c r="A655" i="4"/>
  <c r="A657" i="4"/>
  <c r="A653" i="4"/>
  <c r="A650" i="4"/>
  <c r="A651" i="4"/>
  <c r="A656" i="4"/>
  <c r="A668" i="4"/>
  <c r="A672" i="4"/>
  <c r="A670" i="4"/>
  <c r="A669" i="4"/>
  <c r="A667" i="4"/>
  <c r="A671" i="4"/>
  <c r="A659" i="4"/>
  <c r="A662" i="4"/>
  <c r="A658" i="4"/>
  <c r="A660" i="4"/>
  <c r="A661" i="4"/>
  <c r="A663" i="4"/>
  <c r="A664" i="4"/>
  <c r="A666" i="4"/>
  <c r="A665" i="4"/>
  <c r="A679" i="4"/>
  <c r="A680" i="4"/>
  <c r="A681" i="4"/>
  <c r="A682" i="4"/>
  <c r="A676" i="4"/>
  <c r="A678" i="4"/>
  <c r="A677" i="4"/>
  <c r="A675" i="4"/>
  <c r="A674" i="4"/>
  <c r="A673" i="4"/>
  <c r="A687" i="4"/>
  <c r="A693" i="4"/>
  <c r="A683" i="4"/>
  <c r="A692" i="4"/>
  <c r="A686" i="4"/>
  <c r="A691" i="4"/>
  <c r="A685" i="4"/>
  <c r="A689" i="4"/>
  <c r="A684" i="4"/>
  <c r="A690" i="4"/>
  <c r="A688" i="4"/>
  <c r="A694" i="4"/>
  <c r="A696" i="4"/>
  <c r="A699" i="4"/>
  <c r="A695" i="4"/>
  <c r="A697" i="4"/>
  <c r="A701" i="4"/>
  <c r="A700" i="4"/>
  <c r="A698" i="4"/>
  <c r="A716" i="4"/>
  <c r="A718" i="4"/>
  <c r="A717" i="4"/>
  <c r="A715" i="4"/>
  <c r="A712" i="4"/>
  <c r="A713" i="4"/>
  <c r="A714" i="4"/>
  <c r="A711" i="4"/>
  <c r="A710" i="4"/>
  <c r="A703" i="4"/>
  <c r="A707" i="4"/>
  <c r="A709" i="4"/>
  <c r="A704" i="4"/>
  <c r="A702" i="4"/>
  <c r="A706" i="4"/>
  <c r="A705" i="4"/>
  <c r="A708" i="4"/>
  <c r="A719" i="4"/>
  <c r="A720" i="4"/>
  <c r="A721" i="4"/>
  <c r="A722" i="4"/>
  <c r="A735" i="4"/>
  <c r="A738" i="4"/>
  <c r="A730" i="4"/>
  <c r="A739" i="4"/>
  <c r="A736" i="4"/>
  <c r="A732" i="4"/>
  <c r="A731" i="4"/>
  <c r="A725" i="4"/>
  <c r="A726" i="4"/>
  <c r="A728" i="4"/>
  <c r="A724" i="4"/>
  <c r="A723" i="4"/>
  <c r="A729" i="4"/>
  <c r="A727" i="4"/>
  <c r="A737" i="4"/>
  <c r="A734" i="4"/>
  <c r="A733" i="4"/>
  <c r="A753" i="4"/>
  <c r="A755" i="4"/>
  <c r="A756" i="4"/>
  <c r="A754" i="4"/>
  <c r="A746" i="4"/>
  <c r="A747" i="4"/>
  <c r="A752" i="4"/>
  <c r="A750" i="4"/>
  <c r="A751" i="4"/>
  <c r="A745" i="4"/>
  <c r="A749" i="4"/>
  <c r="A748" i="4"/>
  <c r="A742" i="4"/>
  <c r="A744" i="4"/>
  <c r="A741" i="4"/>
  <c r="A743" i="4"/>
  <c r="A740" i="4"/>
  <c r="A762" i="4"/>
  <c r="A764" i="4"/>
  <c r="A766" i="4"/>
  <c r="A761" i="4"/>
  <c r="A767" i="4"/>
  <c r="A763" i="4"/>
  <c r="A765" i="4"/>
  <c r="A760" i="4"/>
  <c r="A770" i="4"/>
  <c r="A773" i="4"/>
  <c r="A775" i="4"/>
  <c r="A774" i="4"/>
  <c r="A768" i="4"/>
  <c r="A772" i="4"/>
  <c r="A769" i="4"/>
  <c r="A771" i="4"/>
  <c r="A759" i="4"/>
  <c r="A758" i="4"/>
  <c r="A757" i="4"/>
  <c r="A784" i="4"/>
  <c r="A779" i="4"/>
  <c r="A776" i="4"/>
  <c r="A780" i="4"/>
  <c r="A785" i="4"/>
  <c r="A783" i="4"/>
  <c r="A781" i="4"/>
  <c r="A782" i="4"/>
  <c r="A777" i="4"/>
  <c r="A778" i="4"/>
  <c r="A787" i="4"/>
  <c r="A789" i="4"/>
  <c r="A788" i="4"/>
  <c r="A786" i="4"/>
  <c r="A793" i="4"/>
  <c r="A795" i="4"/>
  <c r="A794" i="4"/>
  <c r="A796" i="4"/>
  <c r="A802" i="4"/>
  <c r="A805" i="4"/>
  <c r="A792" i="4"/>
  <c r="A790" i="4"/>
  <c r="A791" i="4"/>
  <c r="A797" i="4"/>
  <c r="A798" i="4"/>
  <c r="A806" i="4"/>
  <c r="A799" i="4"/>
  <c r="A801" i="4"/>
  <c r="A804" i="4"/>
  <c r="A800" i="4"/>
  <c r="A803" i="4"/>
  <c r="A812" i="4"/>
  <c r="A811" i="4"/>
  <c r="A809" i="4"/>
  <c r="A807" i="4"/>
  <c r="A810" i="4"/>
  <c r="A808" i="4"/>
  <c r="A814" i="4"/>
  <c r="A815" i="4"/>
  <c r="A817" i="4"/>
  <c r="A813" i="4"/>
  <c r="A816" i="4"/>
  <c r="A819" i="4"/>
  <c r="A818" i="4"/>
  <c r="A826" i="4"/>
  <c r="A824" i="4"/>
  <c r="A823" i="4"/>
  <c r="A822" i="4"/>
  <c r="A829" i="4"/>
  <c r="A827" i="4"/>
  <c r="A820" i="4"/>
  <c r="A825" i="4"/>
  <c r="A821" i="4"/>
  <c r="A828" i="4"/>
  <c r="A837" i="4"/>
  <c r="A838" i="4"/>
  <c r="A840" i="4"/>
  <c r="A839" i="4"/>
  <c r="A835" i="4"/>
  <c r="A830" i="4"/>
  <c r="A833" i="4"/>
  <c r="A836" i="4"/>
  <c r="A831" i="4"/>
  <c r="A832" i="4"/>
  <c r="A834" i="4"/>
  <c r="A841" i="4"/>
  <c r="A851" i="4"/>
  <c r="A848" i="4"/>
  <c r="A842" i="4"/>
  <c r="A845" i="4"/>
  <c r="A846" i="4"/>
  <c r="A857" i="4"/>
  <c r="A858" i="4"/>
  <c r="A860" i="4"/>
  <c r="A856" i="4"/>
  <c r="A859" i="4"/>
  <c r="A855" i="4"/>
  <c r="A854" i="4"/>
  <c r="A849" i="4"/>
  <c r="A852" i="4"/>
  <c r="A850" i="4"/>
  <c r="A847" i="4"/>
  <c r="A843" i="4"/>
  <c r="A853" i="4"/>
  <c r="A844" i="4"/>
  <c r="A864" i="4"/>
  <c r="A867" i="4"/>
  <c r="A861" i="4"/>
  <c r="A865" i="4"/>
  <c r="A863" i="4"/>
  <c r="A866" i="4"/>
  <c r="A862" i="4"/>
  <c r="A893" i="4"/>
  <c r="A883" i="4"/>
  <c r="A891" i="4"/>
  <c r="A890" i="4"/>
  <c r="A885" i="4"/>
  <c r="A880" i="4"/>
  <c r="A892" i="4"/>
  <c r="A879" i="4"/>
  <c r="A878" i="4"/>
  <c r="A873" i="4"/>
  <c r="A877" i="4"/>
  <c r="A874" i="4"/>
  <c r="A875" i="4"/>
  <c r="A876" i="4"/>
  <c r="A872" i="4"/>
  <c r="A871" i="4"/>
  <c r="A870" i="4"/>
  <c r="A869" i="4"/>
  <c r="A868" i="4"/>
  <c r="A886" i="4"/>
  <c r="A894" i="4"/>
  <c r="A888" i="4"/>
  <c r="A889" i="4"/>
  <c r="A882" i="4"/>
  <c r="A881" i="4"/>
  <c r="A887" i="4"/>
  <c r="A884" i="4"/>
  <c r="A906" i="4"/>
  <c r="A905" i="4"/>
  <c r="A903" i="4"/>
  <c r="A904" i="4"/>
  <c r="A918" i="4"/>
  <c r="A921" i="4"/>
  <c r="A924" i="4"/>
  <c r="A919" i="4"/>
  <c r="A920" i="4"/>
  <c r="A917" i="4"/>
  <c r="A916" i="4"/>
  <c r="A922" i="4"/>
  <c r="A915" i="4"/>
  <c r="A923" i="4"/>
  <c r="A913" i="4"/>
  <c r="A910" i="4"/>
  <c r="A914" i="4"/>
  <c r="A908" i="4"/>
  <c r="A907" i="4"/>
  <c r="A909" i="4"/>
  <c r="A911" i="4"/>
  <c r="A912" i="4"/>
  <c r="A901" i="4"/>
  <c r="A900" i="4"/>
  <c r="A896" i="4"/>
  <c r="A897" i="4"/>
  <c r="A898" i="4"/>
  <c r="A895" i="4"/>
  <c r="A899" i="4"/>
  <c r="A902" i="4"/>
  <c r="A934" i="4"/>
  <c r="A941" i="4"/>
  <c r="A936" i="4"/>
  <c r="A933" i="4"/>
  <c r="A940" i="4"/>
  <c r="A938" i="4"/>
  <c r="A931" i="4"/>
  <c r="A937" i="4"/>
  <c r="A928" i="4"/>
  <c r="A927" i="4"/>
  <c r="A929" i="4"/>
  <c r="A925" i="4"/>
  <c r="A926" i="4"/>
  <c r="A930" i="4"/>
  <c r="A935" i="4"/>
  <c r="A939" i="4"/>
  <c r="A932" i="4"/>
  <c r="A947" i="4"/>
  <c r="A948" i="4"/>
  <c r="A949" i="4"/>
  <c r="A950" i="4"/>
  <c r="A942" i="4"/>
  <c r="A946" i="4"/>
  <c r="A944" i="4"/>
  <c r="A945" i="4"/>
  <c r="A943" i="4"/>
  <c r="A955" i="4"/>
  <c r="A951" i="4"/>
  <c r="A954" i="4"/>
  <c r="A952" i="4"/>
  <c r="A953" i="4"/>
  <c r="A973" i="4"/>
  <c r="A976" i="4"/>
  <c r="A978" i="4"/>
  <c r="A971" i="4"/>
  <c r="A981" i="4"/>
  <c r="A972" i="4"/>
  <c r="A974" i="4"/>
  <c r="A980" i="4"/>
  <c r="A975" i="4"/>
  <c r="A979" i="4"/>
  <c r="A977" i="4"/>
  <c r="A968" i="4"/>
  <c r="A966" i="4"/>
  <c r="A960" i="4"/>
  <c r="A964" i="4"/>
  <c r="A970" i="4"/>
  <c r="A959" i="4"/>
  <c r="A965" i="4"/>
  <c r="A962" i="4"/>
  <c r="A967" i="4"/>
  <c r="A956" i="4"/>
  <c r="A969" i="4"/>
  <c r="A961" i="4"/>
  <c r="A963" i="4"/>
  <c r="A957" i="4"/>
  <c r="A958" i="4"/>
  <c r="A989" i="4"/>
  <c r="A990" i="4"/>
  <c r="A991" i="4"/>
  <c r="A988" i="4"/>
  <c r="A984" i="4"/>
  <c r="A987" i="4"/>
  <c r="A985" i="4"/>
  <c r="A982" i="4"/>
  <c r="A983" i="4"/>
  <c r="A986" i="4"/>
  <c r="A998" i="4"/>
  <c r="A1001" i="4"/>
  <c r="A1002" i="4"/>
  <c r="A996" i="4"/>
  <c r="A993" i="4"/>
  <c r="A994" i="4"/>
  <c r="A999" i="4"/>
  <c r="A997" i="4"/>
  <c r="A1003" i="4"/>
  <c r="A995" i="4"/>
  <c r="A992" i="4"/>
  <c r="A1000" i="4"/>
  <c r="A1005" i="4"/>
  <c r="A1015" i="4"/>
  <c r="A1006" i="4"/>
  <c r="A1008" i="4"/>
  <c r="A1009" i="4"/>
  <c r="A1007" i="4"/>
  <c r="A1010" i="4"/>
  <c r="A1011" i="4"/>
  <c r="A1012" i="4"/>
  <c r="A1013" i="4"/>
  <c r="I1015" i="4"/>
  <c r="J1015" i="4" s="1"/>
  <c r="H17" i="8"/>
  <c r="F17" i="8"/>
  <c r="G17" i="8" s="1"/>
  <c r="H16" i="8"/>
  <c r="F16" i="8"/>
  <c r="G16" i="8" s="1"/>
  <c r="H15" i="8"/>
  <c r="F15" i="8"/>
  <c r="G15" i="8" s="1"/>
  <c r="I48" i="3" s="1"/>
  <c r="H14" i="8"/>
  <c r="F14" i="8"/>
  <c r="G14" i="8" s="1"/>
  <c r="I23" i="3" s="1"/>
  <c r="H13" i="8"/>
  <c r="F13" i="8"/>
  <c r="G13" i="8" s="1"/>
  <c r="I41" i="3" s="1"/>
  <c r="H12" i="8"/>
  <c r="F12" i="8"/>
  <c r="G12" i="8" s="1"/>
  <c r="H11" i="8"/>
  <c r="F11" i="8"/>
  <c r="G11" i="8" s="1"/>
  <c r="H10" i="8"/>
  <c r="F10" i="8"/>
  <c r="G10" i="8" s="1"/>
  <c r="H9" i="8"/>
  <c r="F9" i="8"/>
  <c r="G9" i="8" s="1"/>
  <c r="I27" i="3" s="1"/>
  <c r="H8" i="8"/>
  <c r="F8" i="8"/>
  <c r="G8" i="8" s="1"/>
  <c r="H7" i="8"/>
  <c r="F7" i="8"/>
  <c r="G7" i="8" s="1"/>
  <c r="I51" i="3" s="1"/>
  <c r="H6" i="8"/>
  <c r="F6" i="8"/>
  <c r="G6" i="8" s="1"/>
  <c r="I37" i="3" s="1"/>
  <c r="H1881" i="5"/>
  <c r="G1881" i="5"/>
  <c r="F1881" i="5"/>
  <c r="D1881" i="5"/>
  <c r="A1881" i="5"/>
  <c r="H1880" i="5"/>
  <c r="G1880" i="5"/>
  <c r="F1880" i="5"/>
  <c r="D1880" i="5"/>
  <c r="A1880" i="5"/>
  <c r="H1879" i="5"/>
  <c r="G1879" i="5"/>
  <c r="F1879" i="5"/>
  <c r="D1879" i="5"/>
  <c r="A1879" i="5"/>
  <c r="H1878" i="5"/>
  <c r="G1878" i="5"/>
  <c r="F1878" i="5"/>
  <c r="D1878" i="5"/>
  <c r="A1878" i="5"/>
  <c r="H1877" i="5"/>
  <c r="G1877" i="5"/>
  <c r="F1877" i="5"/>
  <c r="D1877" i="5"/>
  <c r="A1877" i="5"/>
  <c r="H1876" i="5"/>
  <c r="G1876" i="5"/>
  <c r="F1876" i="5"/>
  <c r="D1876" i="5"/>
  <c r="A1876" i="5"/>
  <c r="H1875" i="5"/>
  <c r="G1875" i="5"/>
  <c r="F1875" i="5"/>
  <c r="D1875" i="5"/>
  <c r="A1875" i="5"/>
  <c r="H1874" i="5"/>
  <c r="G1874" i="5"/>
  <c r="F1874" i="5"/>
  <c r="D1874" i="5"/>
  <c r="A1874" i="5"/>
  <c r="H1873" i="5"/>
  <c r="G1873" i="5"/>
  <c r="F1873" i="5"/>
  <c r="D1873" i="5"/>
  <c r="A1873" i="5"/>
  <c r="H1872" i="5"/>
  <c r="G1872" i="5"/>
  <c r="F1872" i="5"/>
  <c r="D1872" i="5"/>
  <c r="A1872" i="5"/>
  <c r="H1871" i="5"/>
  <c r="G1871" i="5"/>
  <c r="F1871" i="5"/>
  <c r="D1871" i="5"/>
  <c r="A1871" i="5"/>
  <c r="H1870" i="5"/>
  <c r="G1870" i="5"/>
  <c r="F1870" i="5"/>
  <c r="D1870" i="5"/>
  <c r="A1870" i="5"/>
  <c r="H1869" i="5"/>
  <c r="G1869" i="5"/>
  <c r="F1869" i="5"/>
  <c r="D1869" i="5"/>
  <c r="A1869" i="5"/>
  <c r="H1868" i="5"/>
  <c r="G1868" i="5"/>
  <c r="F1868" i="5"/>
  <c r="D1868" i="5"/>
  <c r="A1868" i="5"/>
  <c r="H1867" i="5"/>
  <c r="G1867" i="5"/>
  <c r="F1867" i="5"/>
  <c r="D1867" i="5"/>
  <c r="A1867" i="5"/>
  <c r="H1866" i="5"/>
  <c r="G1866" i="5"/>
  <c r="F1866" i="5"/>
  <c r="D1866" i="5"/>
  <c r="A1866" i="5"/>
  <c r="H1865" i="5"/>
  <c r="G1865" i="5"/>
  <c r="F1865" i="5"/>
  <c r="D1865" i="5"/>
  <c r="A1865" i="5"/>
  <c r="H1864" i="5"/>
  <c r="G1864" i="5"/>
  <c r="F1864" i="5"/>
  <c r="D1864" i="5"/>
  <c r="A1864" i="5"/>
  <c r="H1863" i="5"/>
  <c r="G1863" i="5"/>
  <c r="F1863" i="5"/>
  <c r="D1863" i="5"/>
  <c r="A1863" i="5"/>
  <c r="H1862" i="5"/>
  <c r="G1862" i="5"/>
  <c r="F1862" i="5"/>
  <c r="D1862" i="5"/>
  <c r="A1862" i="5"/>
  <c r="H1861" i="5"/>
  <c r="G1861" i="5"/>
  <c r="F1861" i="5"/>
  <c r="D1861" i="5"/>
  <c r="A1861" i="5"/>
  <c r="H1860" i="5"/>
  <c r="G1860" i="5"/>
  <c r="F1860" i="5"/>
  <c r="D1860" i="5"/>
  <c r="A1860" i="5"/>
  <c r="H1859" i="5"/>
  <c r="G1859" i="5"/>
  <c r="F1859" i="5"/>
  <c r="D1859" i="5"/>
  <c r="A1859" i="5"/>
  <c r="H1858" i="5"/>
  <c r="G1858" i="5"/>
  <c r="F1858" i="5"/>
  <c r="D1858" i="5"/>
  <c r="A1858" i="5"/>
  <c r="H1857" i="5"/>
  <c r="G1857" i="5"/>
  <c r="F1857" i="5"/>
  <c r="D1857" i="5"/>
  <c r="A1857" i="5"/>
  <c r="H1856" i="5"/>
  <c r="G1856" i="5"/>
  <c r="F1856" i="5"/>
  <c r="D1856" i="5"/>
  <c r="A1856" i="5"/>
  <c r="H1855" i="5"/>
  <c r="G1855" i="5"/>
  <c r="F1855" i="5"/>
  <c r="D1855" i="5"/>
  <c r="A1855" i="5"/>
  <c r="H1854" i="5"/>
  <c r="G1854" i="5"/>
  <c r="F1854" i="5"/>
  <c r="D1854" i="5"/>
  <c r="A1854" i="5"/>
  <c r="H1853" i="5"/>
  <c r="G1853" i="5"/>
  <c r="F1853" i="5"/>
  <c r="D1853" i="5"/>
  <c r="A1853" i="5"/>
  <c r="H1852" i="5"/>
  <c r="G1852" i="5"/>
  <c r="F1852" i="5"/>
  <c r="D1852" i="5"/>
  <c r="A1852" i="5"/>
  <c r="H1851" i="5"/>
  <c r="G1851" i="5"/>
  <c r="F1851" i="5"/>
  <c r="D1851" i="5"/>
  <c r="A1851" i="5"/>
  <c r="H1850" i="5"/>
  <c r="G1850" i="5"/>
  <c r="F1850" i="5"/>
  <c r="D1850" i="5"/>
  <c r="A1850" i="5"/>
  <c r="H1849" i="5"/>
  <c r="G1849" i="5"/>
  <c r="F1849" i="5"/>
  <c r="D1849" i="5"/>
  <c r="A1849" i="5"/>
  <c r="H1848" i="5"/>
  <c r="G1848" i="5"/>
  <c r="F1848" i="5"/>
  <c r="D1848" i="5"/>
  <c r="A1848" i="5"/>
  <c r="H1847" i="5"/>
  <c r="G1847" i="5"/>
  <c r="F1847" i="5"/>
  <c r="D1847" i="5"/>
  <c r="A1847" i="5"/>
  <c r="H1846" i="5"/>
  <c r="G1846" i="5"/>
  <c r="F1846" i="5"/>
  <c r="D1846" i="5"/>
  <c r="A1846" i="5"/>
  <c r="H1845" i="5"/>
  <c r="G1845" i="5"/>
  <c r="F1845" i="5"/>
  <c r="D1845" i="5"/>
  <c r="A1845" i="5"/>
  <c r="H1844" i="5"/>
  <c r="G1844" i="5"/>
  <c r="F1844" i="5"/>
  <c r="D1844" i="5"/>
  <c r="A1844" i="5"/>
  <c r="H1843" i="5"/>
  <c r="G1843" i="5"/>
  <c r="F1843" i="5"/>
  <c r="D1843" i="5"/>
  <c r="A1843" i="5"/>
  <c r="H1842" i="5"/>
  <c r="G1842" i="5"/>
  <c r="F1842" i="5"/>
  <c r="D1842" i="5"/>
  <c r="A1842" i="5"/>
  <c r="H1841" i="5"/>
  <c r="G1841" i="5"/>
  <c r="F1841" i="5"/>
  <c r="D1841" i="5"/>
  <c r="A1841" i="5"/>
  <c r="H1840" i="5"/>
  <c r="G1840" i="5"/>
  <c r="F1840" i="5"/>
  <c r="D1840" i="5"/>
  <c r="A1840" i="5"/>
  <c r="H1839" i="5"/>
  <c r="G1839" i="5"/>
  <c r="F1839" i="5"/>
  <c r="D1839" i="5"/>
  <c r="A1839" i="5"/>
  <c r="H1838" i="5"/>
  <c r="G1838" i="5"/>
  <c r="F1838" i="5"/>
  <c r="D1838" i="5"/>
  <c r="A1838" i="5"/>
  <c r="H1837" i="5"/>
  <c r="G1837" i="5"/>
  <c r="F1837" i="5"/>
  <c r="D1837" i="5"/>
  <c r="A1837" i="5"/>
  <c r="H1836" i="5"/>
  <c r="G1836" i="5"/>
  <c r="F1836" i="5"/>
  <c r="D1836" i="5"/>
  <c r="A1836" i="5"/>
  <c r="H1835" i="5"/>
  <c r="G1835" i="5"/>
  <c r="F1835" i="5"/>
  <c r="D1835" i="5"/>
  <c r="A1835" i="5"/>
  <c r="H1834" i="5"/>
  <c r="G1834" i="5"/>
  <c r="F1834" i="5"/>
  <c r="D1834" i="5"/>
  <c r="A1834" i="5"/>
  <c r="H1833" i="5"/>
  <c r="G1833" i="5"/>
  <c r="F1833" i="5"/>
  <c r="D1833" i="5"/>
  <c r="A1833" i="5"/>
  <c r="H1832" i="5"/>
  <c r="G1832" i="5"/>
  <c r="F1832" i="5"/>
  <c r="D1832" i="5"/>
  <c r="A1832" i="5"/>
  <c r="H1831" i="5"/>
  <c r="G1831" i="5"/>
  <c r="F1831" i="5"/>
  <c r="D1831" i="5"/>
  <c r="A1831" i="5"/>
  <c r="H1830" i="5"/>
  <c r="G1830" i="5"/>
  <c r="F1830" i="5"/>
  <c r="D1830" i="5"/>
  <c r="A1830" i="5"/>
  <c r="H1829" i="5"/>
  <c r="G1829" i="5"/>
  <c r="F1829" i="5"/>
  <c r="D1829" i="5"/>
  <c r="A1829" i="5"/>
  <c r="H1828" i="5"/>
  <c r="G1828" i="5"/>
  <c r="F1828" i="5"/>
  <c r="D1828" i="5"/>
  <c r="A1828" i="5"/>
  <c r="H1827" i="5"/>
  <c r="G1827" i="5"/>
  <c r="F1827" i="5"/>
  <c r="D1827" i="5"/>
  <c r="A1827" i="5"/>
  <c r="H1826" i="5"/>
  <c r="G1826" i="5"/>
  <c r="F1826" i="5"/>
  <c r="D1826" i="5"/>
  <c r="A1826" i="5"/>
  <c r="H1825" i="5"/>
  <c r="G1825" i="5"/>
  <c r="F1825" i="5"/>
  <c r="D1825" i="5"/>
  <c r="A1825" i="5"/>
  <c r="H1824" i="5"/>
  <c r="G1824" i="5"/>
  <c r="F1824" i="5"/>
  <c r="D1824" i="5"/>
  <c r="A1824" i="5"/>
  <c r="H1823" i="5"/>
  <c r="G1823" i="5"/>
  <c r="F1823" i="5"/>
  <c r="D1823" i="5"/>
  <c r="A1823" i="5"/>
  <c r="H1822" i="5"/>
  <c r="G1822" i="5"/>
  <c r="F1822" i="5"/>
  <c r="D1822" i="5"/>
  <c r="A1822" i="5"/>
  <c r="H1821" i="5"/>
  <c r="G1821" i="5"/>
  <c r="F1821" i="5"/>
  <c r="D1821" i="5"/>
  <c r="A1821" i="5"/>
  <c r="H1820" i="5"/>
  <c r="G1820" i="5"/>
  <c r="F1820" i="5"/>
  <c r="D1820" i="5"/>
  <c r="A1820" i="5"/>
  <c r="H1819" i="5"/>
  <c r="G1819" i="5"/>
  <c r="F1819" i="5"/>
  <c r="D1819" i="5"/>
  <c r="A1819" i="5"/>
  <c r="H1818" i="5"/>
  <c r="G1818" i="5"/>
  <c r="F1818" i="5"/>
  <c r="D1818" i="5"/>
  <c r="A1818" i="5"/>
  <c r="H1817" i="5"/>
  <c r="G1817" i="5"/>
  <c r="F1817" i="5"/>
  <c r="D1817" i="5"/>
  <c r="A1817" i="5"/>
  <c r="H1816" i="5"/>
  <c r="G1816" i="5"/>
  <c r="F1816" i="5"/>
  <c r="D1816" i="5"/>
  <c r="A1816" i="5"/>
  <c r="H1815" i="5"/>
  <c r="G1815" i="5"/>
  <c r="F1815" i="5"/>
  <c r="D1815" i="5"/>
  <c r="A1815" i="5"/>
  <c r="H1814" i="5"/>
  <c r="G1814" i="5"/>
  <c r="F1814" i="5"/>
  <c r="D1814" i="5"/>
  <c r="A1814" i="5"/>
  <c r="H1813" i="5"/>
  <c r="G1813" i="5"/>
  <c r="F1813" i="5"/>
  <c r="D1813" i="5"/>
  <c r="A1813" i="5"/>
  <c r="H1812" i="5"/>
  <c r="G1812" i="5"/>
  <c r="F1812" i="5"/>
  <c r="D1812" i="5"/>
  <c r="A1812" i="5"/>
  <c r="H1811" i="5"/>
  <c r="G1811" i="5"/>
  <c r="F1811" i="5"/>
  <c r="D1811" i="5"/>
  <c r="A1811" i="5"/>
  <c r="H1810" i="5"/>
  <c r="G1810" i="5"/>
  <c r="F1810" i="5"/>
  <c r="D1810" i="5"/>
  <c r="A1810" i="5"/>
  <c r="H1809" i="5"/>
  <c r="G1809" i="5"/>
  <c r="F1809" i="5"/>
  <c r="D1809" i="5"/>
  <c r="A1809" i="5"/>
  <c r="H1808" i="5"/>
  <c r="G1808" i="5"/>
  <c r="F1808" i="5"/>
  <c r="D1808" i="5"/>
  <c r="A1808" i="5"/>
  <c r="H1807" i="5"/>
  <c r="G1807" i="5"/>
  <c r="F1807" i="5"/>
  <c r="D1807" i="5"/>
  <c r="A1807" i="5"/>
  <c r="H1806" i="5"/>
  <c r="G1806" i="5"/>
  <c r="F1806" i="5"/>
  <c r="D1806" i="5"/>
  <c r="A1806" i="5"/>
  <c r="H1805" i="5"/>
  <c r="G1805" i="5"/>
  <c r="F1805" i="5"/>
  <c r="D1805" i="5"/>
  <c r="A1805" i="5"/>
  <c r="H1804" i="5"/>
  <c r="G1804" i="5"/>
  <c r="F1804" i="5"/>
  <c r="D1804" i="5"/>
  <c r="A1804" i="5"/>
  <c r="H1803" i="5"/>
  <c r="G1803" i="5"/>
  <c r="F1803" i="5"/>
  <c r="D1803" i="5"/>
  <c r="A1803" i="5"/>
  <c r="H1802" i="5"/>
  <c r="G1802" i="5"/>
  <c r="F1802" i="5"/>
  <c r="D1802" i="5"/>
  <c r="A1802" i="5"/>
  <c r="H1801" i="5"/>
  <c r="G1801" i="5"/>
  <c r="F1801" i="5"/>
  <c r="D1801" i="5"/>
  <c r="A1801" i="5"/>
  <c r="H1800" i="5"/>
  <c r="G1800" i="5"/>
  <c r="F1800" i="5"/>
  <c r="D1800" i="5"/>
  <c r="A1800" i="5"/>
  <c r="H1799" i="5"/>
  <c r="G1799" i="5"/>
  <c r="F1799" i="5"/>
  <c r="D1799" i="5"/>
  <c r="A1799" i="5"/>
  <c r="H1798" i="5"/>
  <c r="G1798" i="5"/>
  <c r="F1798" i="5"/>
  <c r="D1798" i="5"/>
  <c r="A1798" i="5"/>
  <c r="H1797" i="5"/>
  <c r="G1797" i="5"/>
  <c r="F1797" i="5"/>
  <c r="D1797" i="5"/>
  <c r="A1797" i="5"/>
  <c r="H1796" i="5"/>
  <c r="G1796" i="5"/>
  <c r="F1796" i="5"/>
  <c r="D1796" i="5"/>
  <c r="A1796" i="5"/>
  <c r="H1795" i="5"/>
  <c r="G1795" i="5"/>
  <c r="F1795" i="5"/>
  <c r="D1795" i="5"/>
  <c r="A1795" i="5"/>
  <c r="H1794" i="5"/>
  <c r="G1794" i="5"/>
  <c r="F1794" i="5"/>
  <c r="D1794" i="5"/>
  <c r="A1794" i="5"/>
  <c r="H1793" i="5"/>
  <c r="G1793" i="5"/>
  <c r="F1793" i="5"/>
  <c r="D1793" i="5"/>
  <c r="A1793" i="5"/>
  <c r="H1792" i="5"/>
  <c r="G1792" i="5"/>
  <c r="F1792" i="5"/>
  <c r="D1792" i="5"/>
  <c r="A1792" i="5"/>
  <c r="H1791" i="5"/>
  <c r="G1791" i="5"/>
  <c r="F1791" i="5"/>
  <c r="D1791" i="5"/>
  <c r="A1791" i="5"/>
  <c r="H1790" i="5"/>
  <c r="G1790" i="5"/>
  <c r="F1790" i="5"/>
  <c r="D1790" i="5"/>
  <c r="A1790" i="5"/>
  <c r="H1789" i="5"/>
  <c r="G1789" i="5"/>
  <c r="F1789" i="5"/>
  <c r="D1789" i="5"/>
  <c r="A1789" i="5"/>
  <c r="H1788" i="5"/>
  <c r="G1788" i="5"/>
  <c r="F1788" i="5"/>
  <c r="D1788" i="5"/>
  <c r="A1788" i="5"/>
  <c r="H1787" i="5"/>
  <c r="G1787" i="5"/>
  <c r="F1787" i="5"/>
  <c r="D1787" i="5"/>
  <c r="A1787" i="5"/>
  <c r="H1786" i="5"/>
  <c r="G1786" i="5"/>
  <c r="F1786" i="5"/>
  <c r="D1786" i="5"/>
  <c r="A1786" i="5"/>
  <c r="H1785" i="5"/>
  <c r="G1785" i="5"/>
  <c r="F1785" i="5"/>
  <c r="D1785" i="5"/>
  <c r="A1785" i="5"/>
  <c r="H1784" i="5"/>
  <c r="G1784" i="5"/>
  <c r="F1784" i="5"/>
  <c r="D1784" i="5"/>
  <c r="A1784" i="5"/>
  <c r="H1783" i="5"/>
  <c r="G1783" i="5"/>
  <c r="F1783" i="5"/>
  <c r="D1783" i="5"/>
  <c r="A1783" i="5"/>
  <c r="H1782" i="5"/>
  <c r="G1782" i="5"/>
  <c r="F1782" i="5"/>
  <c r="D1782" i="5"/>
  <c r="A1782" i="5"/>
  <c r="H1781" i="5"/>
  <c r="G1781" i="5"/>
  <c r="F1781" i="5"/>
  <c r="D1781" i="5"/>
  <c r="A1781" i="5"/>
  <c r="H1780" i="5"/>
  <c r="G1780" i="5"/>
  <c r="F1780" i="5"/>
  <c r="D1780" i="5"/>
  <c r="A1780" i="5"/>
  <c r="H1779" i="5"/>
  <c r="G1779" i="5"/>
  <c r="F1779" i="5"/>
  <c r="D1779" i="5"/>
  <c r="A1779" i="5"/>
  <c r="H1778" i="5"/>
  <c r="G1778" i="5"/>
  <c r="F1778" i="5"/>
  <c r="D1778" i="5"/>
  <c r="A1778" i="5"/>
  <c r="H1777" i="5"/>
  <c r="G1777" i="5"/>
  <c r="F1777" i="5"/>
  <c r="D1777" i="5"/>
  <c r="A1777" i="5"/>
  <c r="H1776" i="5"/>
  <c r="G1776" i="5"/>
  <c r="F1776" i="5"/>
  <c r="D1776" i="5"/>
  <c r="A1776" i="5"/>
  <c r="H1775" i="5"/>
  <c r="G1775" i="5"/>
  <c r="F1775" i="5"/>
  <c r="D1775" i="5"/>
  <c r="A1775" i="5"/>
  <c r="H1774" i="5"/>
  <c r="G1774" i="5"/>
  <c r="F1774" i="5"/>
  <c r="D1774" i="5"/>
  <c r="A1774" i="5"/>
  <c r="H1773" i="5"/>
  <c r="G1773" i="5"/>
  <c r="F1773" i="5"/>
  <c r="D1773" i="5"/>
  <c r="A1773" i="5"/>
  <c r="H1772" i="5"/>
  <c r="G1772" i="5"/>
  <c r="F1772" i="5"/>
  <c r="D1772" i="5"/>
  <c r="A1772" i="5"/>
  <c r="H1771" i="5"/>
  <c r="G1771" i="5"/>
  <c r="F1771" i="5"/>
  <c r="D1771" i="5"/>
  <c r="A1771" i="5"/>
  <c r="H1770" i="5"/>
  <c r="G1770" i="5"/>
  <c r="F1770" i="5"/>
  <c r="D1770" i="5"/>
  <c r="A1770" i="5"/>
  <c r="H1769" i="5"/>
  <c r="G1769" i="5"/>
  <c r="F1769" i="5"/>
  <c r="D1769" i="5"/>
  <c r="A1769" i="5"/>
  <c r="H1768" i="5"/>
  <c r="G1768" i="5"/>
  <c r="F1768" i="5"/>
  <c r="D1768" i="5"/>
  <c r="A1768" i="5"/>
  <c r="H1767" i="5"/>
  <c r="G1767" i="5"/>
  <c r="F1767" i="5"/>
  <c r="D1767" i="5"/>
  <c r="A1767" i="5"/>
  <c r="H1766" i="5"/>
  <c r="G1766" i="5"/>
  <c r="F1766" i="5"/>
  <c r="D1766" i="5"/>
  <c r="A1766" i="5"/>
  <c r="H1765" i="5"/>
  <c r="G1765" i="5"/>
  <c r="F1765" i="5"/>
  <c r="D1765" i="5"/>
  <c r="A1765" i="5"/>
  <c r="H1764" i="5"/>
  <c r="G1764" i="5"/>
  <c r="F1764" i="5"/>
  <c r="D1764" i="5"/>
  <c r="A1764" i="5"/>
  <c r="H1763" i="5"/>
  <c r="G1763" i="5"/>
  <c r="F1763" i="5"/>
  <c r="D1763" i="5"/>
  <c r="A1763" i="5"/>
  <c r="H1762" i="5"/>
  <c r="G1762" i="5"/>
  <c r="F1762" i="5"/>
  <c r="D1762" i="5"/>
  <c r="A1762" i="5"/>
  <c r="H1761" i="5"/>
  <c r="G1761" i="5"/>
  <c r="F1761" i="5"/>
  <c r="D1761" i="5"/>
  <c r="A1761" i="5"/>
  <c r="H1760" i="5"/>
  <c r="G1760" i="5"/>
  <c r="F1760" i="5"/>
  <c r="D1760" i="5"/>
  <c r="A1760" i="5"/>
  <c r="H1759" i="5"/>
  <c r="G1759" i="5"/>
  <c r="F1759" i="5"/>
  <c r="D1759" i="5"/>
  <c r="A1759" i="5"/>
  <c r="H1758" i="5"/>
  <c r="G1758" i="5"/>
  <c r="F1758" i="5"/>
  <c r="D1758" i="5"/>
  <c r="A1758" i="5"/>
  <c r="H1757" i="5"/>
  <c r="G1757" i="5"/>
  <c r="F1757" i="5"/>
  <c r="D1757" i="5"/>
  <c r="A1757" i="5"/>
  <c r="H1756" i="5"/>
  <c r="G1756" i="5"/>
  <c r="F1756" i="5"/>
  <c r="D1756" i="5"/>
  <c r="A1756" i="5"/>
  <c r="H1755" i="5"/>
  <c r="G1755" i="5"/>
  <c r="F1755" i="5"/>
  <c r="D1755" i="5"/>
  <c r="A1755" i="5"/>
  <c r="H1754" i="5"/>
  <c r="G1754" i="5"/>
  <c r="F1754" i="5"/>
  <c r="D1754" i="5"/>
  <c r="A1754" i="5"/>
  <c r="H1753" i="5"/>
  <c r="G1753" i="5"/>
  <c r="F1753" i="5"/>
  <c r="D1753" i="5"/>
  <c r="A1753" i="5"/>
  <c r="H1752" i="5"/>
  <c r="G1752" i="5"/>
  <c r="F1752" i="5"/>
  <c r="D1752" i="5"/>
  <c r="A1752" i="5"/>
  <c r="H1751" i="5"/>
  <c r="G1751" i="5"/>
  <c r="F1751" i="5"/>
  <c r="D1751" i="5"/>
  <c r="A1751" i="5"/>
  <c r="H1750" i="5"/>
  <c r="G1750" i="5"/>
  <c r="F1750" i="5"/>
  <c r="D1750" i="5"/>
  <c r="A1750" i="5"/>
  <c r="H1749" i="5"/>
  <c r="G1749" i="5"/>
  <c r="F1749" i="5"/>
  <c r="D1749" i="5"/>
  <c r="A1749" i="5"/>
  <c r="H1748" i="5"/>
  <c r="G1748" i="5"/>
  <c r="F1748" i="5"/>
  <c r="D1748" i="5"/>
  <c r="A1748" i="5"/>
  <c r="H1747" i="5"/>
  <c r="G1747" i="5"/>
  <c r="F1747" i="5"/>
  <c r="D1747" i="5"/>
  <c r="A1747" i="5"/>
  <c r="H1746" i="5"/>
  <c r="G1746" i="5"/>
  <c r="F1746" i="5"/>
  <c r="D1746" i="5"/>
  <c r="A1746" i="5"/>
  <c r="H1745" i="5"/>
  <c r="G1745" i="5"/>
  <c r="F1745" i="5"/>
  <c r="D1745" i="5"/>
  <c r="A1745" i="5"/>
  <c r="H1744" i="5"/>
  <c r="G1744" i="5"/>
  <c r="F1744" i="5"/>
  <c r="D1744" i="5"/>
  <c r="A1744" i="5"/>
  <c r="H1743" i="5"/>
  <c r="G1743" i="5"/>
  <c r="F1743" i="5"/>
  <c r="D1743" i="5"/>
  <c r="A1743" i="5"/>
  <c r="H1742" i="5"/>
  <c r="G1742" i="5"/>
  <c r="F1742" i="5"/>
  <c r="D1742" i="5"/>
  <c r="A1742" i="5"/>
  <c r="H1741" i="5"/>
  <c r="G1741" i="5"/>
  <c r="F1741" i="5"/>
  <c r="D1741" i="5"/>
  <c r="A1741" i="5"/>
  <c r="H1740" i="5"/>
  <c r="G1740" i="5"/>
  <c r="F1740" i="5"/>
  <c r="D1740" i="5"/>
  <c r="A1740" i="5"/>
  <c r="H1739" i="5"/>
  <c r="G1739" i="5"/>
  <c r="F1739" i="5"/>
  <c r="D1739" i="5"/>
  <c r="A1739" i="5"/>
  <c r="H1738" i="5"/>
  <c r="G1738" i="5"/>
  <c r="F1738" i="5"/>
  <c r="D1738" i="5"/>
  <c r="A1738" i="5"/>
  <c r="H1737" i="5"/>
  <c r="G1737" i="5"/>
  <c r="F1737" i="5"/>
  <c r="D1737" i="5"/>
  <c r="A1737" i="5"/>
  <c r="H1736" i="5"/>
  <c r="G1736" i="5"/>
  <c r="F1736" i="5"/>
  <c r="D1736" i="5"/>
  <c r="A1736" i="5"/>
  <c r="H1735" i="5"/>
  <c r="G1735" i="5"/>
  <c r="F1735" i="5"/>
  <c r="D1735" i="5"/>
  <c r="A1735" i="5"/>
  <c r="H1734" i="5"/>
  <c r="G1734" i="5"/>
  <c r="F1734" i="5"/>
  <c r="D1734" i="5"/>
  <c r="A1734" i="5"/>
  <c r="H1733" i="5"/>
  <c r="G1733" i="5"/>
  <c r="F1733" i="5"/>
  <c r="D1733" i="5"/>
  <c r="A1733" i="5"/>
  <c r="H1732" i="5"/>
  <c r="G1732" i="5"/>
  <c r="F1732" i="5"/>
  <c r="D1732" i="5"/>
  <c r="A1732" i="5"/>
  <c r="H1731" i="5"/>
  <c r="G1731" i="5"/>
  <c r="F1731" i="5"/>
  <c r="D1731" i="5"/>
  <c r="A1731" i="5"/>
  <c r="H1730" i="5"/>
  <c r="G1730" i="5"/>
  <c r="F1730" i="5"/>
  <c r="D1730" i="5"/>
  <c r="A1730" i="5"/>
  <c r="H1729" i="5"/>
  <c r="G1729" i="5"/>
  <c r="F1729" i="5"/>
  <c r="D1729" i="5"/>
  <c r="A1729" i="5"/>
  <c r="H1728" i="5"/>
  <c r="G1728" i="5"/>
  <c r="F1728" i="5"/>
  <c r="D1728" i="5"/>
  <c r="A1728" i="5"/>
  <c r="H1727" i="5"/>
  <c r="G1727" i="5"/>
  <c r="F1727" i="5"/>
  <c r="D1727" i="5"/>
  <c r="A1727" i="5"/>
  <c r="H1726" i="5"/>
  <c r="G1726" i="5"/>
  <c r="F1726" i="5"/>
  <c r="D1726" i="5"/>
  <c r="A1726" i="5"/>
  <c r="H1725" i="5"/>
  <c r="G1725" i="5"/>
  <c r="F1725" i="5"/>
  <c r="D1725" i="5"/>
  <c r="A1725" i="5"/>
  <c r="H1724" i="5"/>
  <c r="G1724" i="5"/>
  <c r="F1724" i="5"/>
  <c r="D1724" i="5"/>
  <c r="A1724" i="5"/>
  <c r="H1723" i="5"/>
  <c r="G1723" i="5"/>
  <c r="F1723" i="5"/>
  <c r="D1723" i="5"/>
  <c r="A1723" i="5"/>
  <c r="H1722" i="5"/>
  <c r="G1722" i="5"/>
  <c r="F1722" i="5"/>
  <c r="D1722" i="5"/>
  <c r="A1722" i="5"/>
  <c r="H1721" i="5"/>
  <c r="G1721" i="5"/>
  <c r="F1721" i="5"/>
  <c r="D1721" i="5"/>
  <c r="A1721" i="5"/>
  <c r="H1720" i="5"/>
  <c r="G1720" i="5"/>
  <c r="F1720" i="5"/>
  <c r="D1720" i="5"/>
  <c r="A1720" i="5"/>
  <c r="H1719" i="5"/>
  <c r="G1719" i="5"/>
  <c r="F1719" i="5"/>
  <c r="D1719" i="5"/>
  <c r="A1719" i="5"/>
  <c r="H1718" i="5"/>
  <c r="G1718" i="5"/>
  <c r="F1718" i="5"/>
  <c r="D1718" i="5"/>
  <c r="A1718" i="5"/>
  <c r="H1717" i="5"/>
  <c r="G1717" i="5"/>
  <c r="F1717" i="5"/>
  <c r="D1717" i="5"/>
  <c r="A1717" i="5"/>
  <c r="H1716" i="5"/>
  <c r="G1716" i="5"/>
  <c r="F1716" i="5"/>
  <c r="D1716" i="5"/>
  <c r="A1716" i="5"/>
  <c r="H1715" i="5"/>
  <c r="G1715" i="5"/>
  <c r="F1715" i="5"/>
  <c r="D1715" i="5"/>
  <c r="A1715" i="5"/>
  <c r="H1714" i="5"/>
  <c r="G1714" i="5"/>
  <c r="F1714" i="5"/>
  <c r="D1714" i="5"/>
  <c r="A1714" i="5"/>
  <c r="H1713" i="5"/>
  <c r="G1713" i="5"/>
  <c r="F1713" i="5"/>
  <c r="D1713" i="5"/>
  <c r="A1713" i="5"/>
  <c r="H1712" i="5"/>
  <c r="G1712" i="5"/>
  <c r="F1712" i="5"/>
  <c r="D1712" i="5"/>
  <c r="A1712" i="5"/>
  <c r="H1711" i="5"/>
  <c r="G1711" i="5"/>
  <c r="F1711" i="5"/>
  <c r="D1711" i="5"/>
  <c r="A1711" i="5"/>
  <c r="H1710" i="5"/>
  <c r="G1710" i="5"/>
  <c r="F1710" i="5"/>
  <c r="D1710" i="5"/>
  <c r="A1710" i="5"/>
  <c r="H1709" i="5"/>
  <c r="G1709" i="5"/>
  <c r="F1709" i="5"/>
  <c r="D1709" i="5"/>
  <c r="A1709" i="5"/>
  <c r="H1708" i="5"/>
  <c r="G1708" i="5"/>
  <c r="F1708" i="5"/>
  <c r="D1708" i="5"/>
  <c r="A1708" i="5"/>
  <c r="H1707" i="5"/>
  <c r="G1707" i="5"/>
  <c r="F1707" i="5"/>
  <c r="D1707" i="5"/>
  <c r="A1707" i="5"/>
  <c r="H1706" i="5"/>
  <c r="G1706" i="5"/>
  <c r="F1706" i="5"/>
  <c r="D1706" i="5"/>
  <c r="A1706" i="5"/>
  <c r="H1705" i="5"/>
  <c r="G1705" i="5"/>
  <c r="F1705" i="5"/>
  <c r="D1705" i="5"/>
  <c r="A1705" i="5"/>
  <c r="H1704" i="5"/>
  <c r="G1704" i="5"/>
  <c r="F1704" i="5"/>
  <c r="D1704" i="5"/>
  <c r="A1704" i="5"/>
  <c r="H1703" i="5"/>
  <c r="G1703" i="5"/>
  <c r="F1703" i="5"/>
  <c r="D1703" i="5"/>
  <c r="A1703" i="5"/>
  <c r="H1702" i="5"/>
  <c r="G1702" i="5"/>
  <c r="F1702" i="5"/>
  <c r="D1702" i="5"/>
  <c r="A1702" i="5"/>
  <c r="H1701" i="5"/>
  <c r="G1701" i="5"/>
  <c r="F1701" i="5"/>
  <c r="D1701" i="5"/>
  <c r="A1701" i="5"/>
  <c r="H1700" i="5"/>
  <c r="G1700" i="5"/>
  <c r="F1700" i="5"/>
  <c r="D1700" i="5"/>
  <c r="A1700" i="5"/>
  <c r="H1699" i="5"/>
  <c r="G1699" i="5"/>
  <c r="F1699" i="5"/>
  <c r="D1699" i="5"/>
  <c r="A1699" i="5"/>
  <c r="H1698" i="5"/>
  <c r="G1698" i="5"/>
  <c r="F1698" i="5"/>
  <c r="D1698" i="5"/>
  <c r="A1698" i="5"/>
  <c r="H1697" i="5"/>
  <c r="G1697" i="5"/>
  <c r="F1697" i="5"/>
  <c r="D1697" i="5"/>
  <c r="A1697" i="5"/>
  <c r="H1696" i="5"/>
  <c r="G1696" i="5"/>
  <c r="F1696" i="5"/>
  <c r="D1696" i="5"/>
  <c r="A1696" i="5"/>
  <c r="H1695" i="5"/>
  <c r="G1695" i="5"/>
  <c r="F1695" i="5"/>
  <c r="D1695" i="5"/>
  <c r="A1695" i="5"/>
  <c r="H1694" i="5"/>
  <c r="G1694" i="5"/>
  <c r="F1694" i="5"/>
  <c r="D1694" i="5"/>
  <c r="A1694" i="5"/>
  <c r="H1693" i="5"/>
  <c r="G1693" i="5"/>
  <c r="F1693" i="5"/>
  <c r="D1693" i="5"/>
  <c r="A1693" i="5"/>
  <c r="H1692" i="5"/>
  <c r="G1692" i="5"/>
  <c r="F1692" i="5"/>
  <c r="D1692" i="5"/>
  <c r="A1692" i="5"/>
  <c r="H1691" i="5"/>
  <c r="G1691" i="5"/>
  <c r="F1691" i="5"/>
  <c r="D1691" i="5"/>
  <c r="A1691" i="5"/>
  <c r="H1690" i="5"/>
  <c r="G1690" i="5"/>
  <c r="F1690" i="5"/>
  <c r="D1690" i="5"/>
  <c r="A1690" i="5"/>
  <c r="H1689" i="5"/>
  <c r="G1689" i="5"/>
  <c r="F1689" i="5"/>
  <c r="D1689" i="5"/>
  <c r="A1689" i="5"/>
  <c r="H1688" i="5"/>
  <c r="G1688" i="5"/>
  <c r="F1688" i="5"/>
  <c r="D1688" i="5"/>
  <c r="A1688" i="5"/>
  <c r="H1687" i="5"/>
  <c r="G1687" i="5"/>
  <c r="F1687" i="5"/>
  <c r="D1687" i="5"/>
  <c r="A1687" i="5"/>
  <c r="H1686" i="5"/>
  <c r="G1686" i="5"/>
  <c r="F1686" i="5"/>
  <c r="D1686" i="5"/>
  <c r="A1686" i="5"/>
  <c r="H1685" i="5"/>
  <c r="G1685" i="5"/>
  <c r="F1685" i="5"/>
  <c r="D1685" i="5"/>
  <c r="A1685" i="5"/>
  <c r="H1684" i="5"/>
  <c r="G1684" i="5"/>
  <c r="F1684" i="5"/>
  <c r="D1684" i="5"/>
  <c r="A1684" i="5"/>
  <c r="H1683" i="5"/>
  <c r="G1683" i="5"/>
  <c r="F1683" i="5"/>
  <c r="D1683" i="5"/>
  <c r="H1682" i="5"/>
  <c r="G1682" i="5"/>
  <c r="F1682" i="5"/>
  <c r="D1682" i="5"/>
  <c r="I1212" i="4"/>
  <c r="J1212" i="4" s="1"/>
  <c r="F1212" i="4"/>
  <c r="E1212" i="4"/>
  <c r="D1212" i="4"/>
  <c r="A1212" i="4"/>
  <c r="I1211" i="4"/>
  <c r="J1211" i="4" s="1"/>
  <c r="F1211" i="4"/>
  <c r="E1211" i="4"/>
  <c r="D1211" i="4"/>
  <c r="A1211" i="4"/>
  <c r="I1210" i="4"/>
  <c r="J1210" i="4" s="1"/>
  <c r="F1210" i="4"/>
  <c r="E1210" i="4"/>
  <c r="D1210" i="4"/>
  <c r="A1210" i="4"/>
  <c r="I1209" i="4"/>
  <c r="J1209" i="4" s="1"/>
  <c r="F1209" i="4"/>
  <c r="E1209" i="4"/>
  <c r="D1209" i="4"/>
  <c r="A1209" i="4"/>
  <c r="I1208" i="4"/>
  <c r="J1208" i="4" s="1"/>
  <c r="F1208" i="4"/>
  <c r="E1208" i="4"/>
  <c r="D1208" i="4"/>
  <c r="A1208" i="4"/>
  <c r="I1207" i="4"/>
  <c r="J1207" i="4" s="1"/>
  <c r="F1207" i="4"/>
  <c r="E1207" i="4"/>
  <c r="D1207" i="4"/>
  <c r="A1207" i="4"/>
  <c r="I1206" i="4"/>
  <c r="J1206" i="4" s="1"/>
  <c r="F1206" i="4"/>
  <c r="E1206" i="4"/>
  <c r="D1206" i="4"/>
  <c r="A1206" i="4"/>
  <c r="I1205" i="4"/>
  <c r="J1205" i="4" s="1"/>
  <c r="F1205" i="4"/>
  <c r="E1205" i="4"/>
  <c r="D1205" i="4"/>
  <c r="A1205" i="4"/>
  <c r="I1204" i="4"/>
  <c r="J1204" i="4" s="1"/>
  <c r="F1204" i="4"/>
  <c r="E1204" i="4"/>
  <c r="D1204" i="4"/>
  <c r="A1204" i="4"/>
  <c r="I1203" i="4"/>
  <c r="J1203" i="4" s="1"/>
  <c r="F1203" i="4"/>
  <c r="E1203" i="4"/>
  <c r="D1203" i="4"/>
  <c r="A1203" i="4"/>
  <c r="I1202" i="4"/>
  <c r="J1202" i="4" s="1"/>
  <c r="F1202" i="4"/>
  <c r="E1202" i="4"/>
  <c r="D1202" i="4"/>
  <c r="A1202" i="4"/>
  <c r="I1201" i="4"/>
  <c r="J1201" i="4" s="1"/>
  <c r="F1201" i="4"/>
  <c r="E1201" i="4"/>
  <c r="D1201" i="4"/>
  <c r="A1201" i="4"/>
  <c r="I1200" i="4"/>
  <c r="J1200" i="4" s="1"/>
  <c r="F1200" i="4"/>
  <c r="E1200" i="4"/>
  <c r="D1200" i="4"/>
  <c r="A1200" i="4"/>
  <c r="I1199" i="4"/>
  <c r="J1199" i="4" s="1"/>
  <c r="F1199" i="4"/>
  <c r="E1199" i="4"/>
  <c r="D1199" i="4"/>
  <c r="A1199" i="4"/>
  <c r="I1198" i="4"/>
  <c r="J1198" i="4" s="1"/>
  <c r="F1198" i="4"/>
  <c r="E1198" i="4"/>
  <c r="D1198" i="4"/>
  <c r="A1198" i="4"/>
  <c r="I1197" i="4"/>
  <c r="J1197" i="4" s="1"/>
  <c r="F1197" i="4"/>
  <c r="E1197" i="4"/>
  <c r="D1197" i="4"/>
  <c r="A1197" i="4"/>
  <c r="I1196" i="4"/>
  <c r="J1196" i="4" s="1"/>
  <c r="F1196" i="4"/>
  <c r="E1196" i="4"/>
  <c r="D1196" i="4"/>
  <c r="A1196" i="4"/>
  <c r="I1195" i="4"/>
  <c r="J1195" i="4" s="1"/>
  <c r="F1195" i="4"/>
  <c r="E1195" i="4"/>
  <c r="D1195" i="4"/>
  <c r="A1195" i="4"/>
  <c r="I1194" i="4"/>
  <c r="J1194" i="4" s="1"/>
  <c r="F1194" i="4"/>
  <c r="E1194" i="4"/>
  <c r="D1194" i="4"/>
  <c r="A1194" i="4"/>
  <c r="I1193" i="4"/>
  <c r="J1193" i="4" s="1"/>
  <c r="F1193" i="4"/>
  <c r="E1193" i="4"/>
  <c r="D1193" i="4"/>
  <c r="A1193" i="4"/>
  <c r="I1192" i="4"/>
  <c r="J1192" i="4" s="1"/>
  <c r="F1192" i="4"/>
  <c r="E1192" i="4"/>
  <c r="D1192" i="4"/>
  <c r="A1192" i="4"/>
  <c r="I1191" i="4"/>
  <c r="J1191" i="4" s="1"/>
  <c r="F1191" i="4"/>
  <c r="E1191" i="4"/>
  <c r="D1191" i="4"/>
  <c r="A1191" i="4"/>
  <c r="I1190" i="4"/>
  <c r="J1190" i="4" s="1"/>
  <c r="F1190" i="4"/>
  <c r="E1190" i="4"/>
  <c r="D1190" i="4"/>
  <c r="A1190" i="4"/>
  <c r="I1189" i="4"/>
  <c r="J1189" i="4" s="1"/>
  <c r="F1189" i="4"/>
  <c r="E1189" i="4"/>
  <c r="D1189" i="4"/>
  <c r="A1189" i="4"/>
  <c r="I1188" i="4"/>
  <c r="J1188" i="4" s="1"/>
  <c r="F1188" i="4"/>
  <c r="E1188" i="4"/>
  <c r="D1188" i="4"/>
  <c r="A1188" i="4"/>
  <c r="I1187" i="4"/>
  <c r="J1187" i="4" s="1"/>
  <c r="F1187" i="4"/>
  <c r="E1187" i="4"/>
  <c r="D1187" i="4"/>
  <c r="A1187" i="4"/>
  <c r="I1186" i="4"/>
  <c r="J1186" i="4" s="1"/>
  <c r="F1186" i="4"/>
  <c r="E1186" i="4"/>
  <c r="D1186" i="4"/>
  <c r="A1186" i="4"/>
  <c r="I1185" i="4"/>
  <c r="J1185" i="4" s="1"/>
  <c r="F1185" i="4"/>
  <c r="E1185" i="4"/>
  <c r="D1185" i="4"/>
  <c r="A1185" i="4"/>
  <c r="I1184" i="4"/>
  <c r="J1184" i="4" s="1"/>
  <c r="F1184" i="4"/>
  <c r="E1184" i="4"/>
  <c r="D1184" i="4"/>
  <c r="A1184" i="4"/>
  <c r="I1183" i="4"/>
  <c r="J1183" i="4" s="1"/>
  <c r="F1183" i="4"/>
  <c r="E1183" i="4"/>
  <c r="D1183" i="4"/>
  <c r="A1183" i="4"/>
  <c r="I1182" i="4"/>
  <c r="J1182" i="4" s="1"/>
  <c r="F1182" i="4"/>
  <c r="E1182" i="4"/>
  <c r="D1182" i="4"/>
  <c r="A1182" i="4"/>
  <c r="I1181" i="4"/>
  <c r="J1181" i="4" s="1"/>
  <c r="F1181" i="4"/>
  <c r="E1181" i="4"/>
  <c r="D1181" i="4"/>
  <c r="A1181" i="4"/>
  <c r="I1180" i="4"/>
  <c r="J1180" i="4" s="1"/>
  <c r="F1180" i="4"/>
  <c r="E1180" i="4"/>
  <c r="D1180" i="4"/>
  <c r="A1180" i="4"/>
  <c r="I1179" i="4"/>
  <c r="J1179" i="4" s="1"/>
  <c r="F1179" i="4"/>
  <c r="E1179" i="4"/>
  <c r="D1179" i="4"/>
  <c r="A1179" i="4"/>
  <c r="I1178" i="4"/>
  <c r="J1178" i="4" s="1"/>
  <c r="F1178" i="4"/>
  <c r="E1178" i="4"/>
  <c r="D1178" i="4"/>
  <c r="A1178" i="4"/>
  <c r="I1177" i="4"/>
  <c r="J1177" i="4" s="1"/>
  <c r="F1177" i="4"/>
  <c r="E1177" i="4"/>
  <c r="D1177" i="4"/>
  <c r="A1177" i="4"/>
  <c r="I1176" i="4"/>
  <c r="J1176" i="4" s="1"/>
  <c r="F1176" i="4"/>
  <c r="E1176" i="4"/>
  <c r="D1176" i="4"/>
  <c r="A1176" i="4"/>
  <c r="I1175" i="4"/>
  <c r="J1175" i="4" s="1"/>
  <c r="F1175" i="4"/>
  <c r="E1175" i="4"/>
  <c r="D1175" i="4"/>
  <c r="A1175" i="4"/>
  <c r="I1174" i="4"/>
  <c r="J1174" i="4" s="1"/>
  <c r="F1174" i="4"/>
  <c r="E1174" i="4"/>
  <c r="D1174" i="4"/>
  <c r="A1174" i="4"/>
  <c r="I1173" i="4"/>
  <c r="J1173" i="4" s="1"/>
  <c r="F1173" i="4"/>
  <c r="E1173" i="4"/>
  <c r="D1173" i="4"/>
  <c r="A1173" i="4"/>
  <c r="I1172" i="4"/>
  <c r="J1172" i="4" s="1"/>
  <c r="F1172" i="4"/>
  <c r="E1172" i="4"/>
  <c r="D1172" i="4"/>
  <c r="A1172" i="4"/>
  <c r="I1171" i="4"/>
  <c r="J1171" i="4" s="1"/>
  <c r="F1171" i="4"/>
  <c r="E1171" i="4"/>
  <c r="D1171" i="4"/>
  <c r="A1171" i="4"/>
  <c r="I1170" i="4"/>
  <c r="J1170" i="4" s="1"/>
  <c r="F1170" i="4"/>
  <c r="E1170" i="4"/>
  <c r="D1170" i="4"/>
  <c r="A1170" i="4"/>
  <c r="I1169" i="4"/>
  <c r="J1169" i="4" s="1"/>
  <c r="F1169" i="4"/>
  <c r="E1169" i="4"/>
  <c r="D1169" i="4"/>
  <c r="A1169" i="4"/>
  <c r="I1168" i="4"/>
  <c r="J1168" i="4" s="1"/>
  <c r="F1168" i="4"/>
  <c r="E1168" i="4"/>
  <c r="D1168" i="4"/>
  <c r="A1168" i="4"/>
  <c r="I1167" i="4"/>
  <c r="J1167" i="4" s="1"/>
  <c r="F1167" i="4"/>
  <c r="E1167" i="4"/>
  <c r="D1167" i="4"/>
  <c r="A1167" i="4"/>
  <c r="I1166" i="4"/>
  <c r="J1166" i="4" s="1"/>
  <c r="F1166" i="4"/>
  <c r="E1166" i="4"/>
  <c r="D1166" i="4"/>
  <c r="A1166" i="4"/>
  <c r="I1165" i="4"/>
  <c r="J1165" i="4" s="1"/>
  <c r="F1165" i="4"/>
  <c r="E1165" i="4"/>
  <c r="D1165" i="4"/>
  <c r="A1165" i="4"/>
  <c r="I1164" i="4"/>
  <c r="J1164" i="4" s="1"/>
  <c r="F1164" i="4"/>
  <c r="E1164" i="4"/>
  <c r="D1164" i="4"/>
  <c r="A1164" i="4"/>
  <c r="I1163" i="4"/>
  <c r="J1163" i="4" s="1"/>
  <c r="F1163" i="4"/>
  <c r="E1163" i="4"/>
  <c r="D1163" i="4"/>
  <c r="A1163" i="4"/>
  <c r="I1162" i="4"/>
  <c r="J1162" i="4" s="1"/>
  <c r="F1162" i="4"/>
  <c r="E1162" i="4"/>
  <c r="D1162" i="4"/>
  <c r="A1162" i="4"/>
  <c r="I1161" i="4"/>
  <c r="J1161" i="4" s="1"/>
  <c r="F1161" i="4"/>
  <c r="E1161" i="4"/>
  <c r="D1161" i="4"/>
  <c r="A1161" i="4"/>
  <c r="I1160" i="4"/>
  <c r="J1160" i="4" s="1"/>
  <c r="F1160" i="4"/>
  <c r="E1160" i="4"/>
  <c r="D1160" i="4"/>
  <c r="A1160" i="4"/>
  <c r="I1159" i="4"/>
  <c r="J1159" i="4" s="1"/>
  <c r="F1159" i="4"/>
  <c r="E1159" i="4"/>
  <c r="D1159" i="4"/>
  <c r="A1159" i="4"/>
  <c r="I1158" i="4"/>
  <c r="J1158" i="4" s="1"/>
  <c r="F1158" i="4"/>
  <c r="E1158" i="4"/>
  <c r="D1158" i="4"/>
  <c r="A1158" i="4"/>
  <c r="I1157" i="4"/>
  <c r="J1157" i="4" s="1"/>
  <c r="F1157" i="4"/>
  <c r="E1157" i="4"/>
  <c r="D1157" i="4"/>
  <c r="A1157" i="4"/>
  <c r="I1156" i="4"/>
  <c r="J1156" i="4" s="1"/>
  <c r="F1156" i="4"/>
  <c r="E1156" i="4"/>
  <c r="D1156" i="4"/>
  <c r="A1156" i="4"/>
  <c r="I1155" i="4"/>
  <c r="J1155" i="4" s="1"/>
  <c r="F1155" i="4"/>
  <c r="E1155" i="4"/>
  <c r="D1155" i="4"/>
  <c r="A1155" i="4"/>
  <c r="I1154" i="4"/>
  <c r="J1154" i="4" s="1"/>
  <c r="F1154" i="4"/>
  <c r="E1154" i="4"/>
  <c r="D1154" i="4"/>
  <c r="A1154" i="4"/>
  <c r="I1153" i="4"/>
  <c r="J1153" i="4" s="1"/>
  <c r="F1153" i="4"/>
  <c r="E1153" i="4"/>
  <c r="D1153" i="4"/>
  <c r="A1153" i="4"/>
  <c r="I1152" i="4"/>
  <c r="J1152" i="4" s="1"/>
  <c r="F1152" i="4"/>
  <c r="E1152" i="4"/>
  <c r="D1152" i="4"/>
  <c r="A1152" i="4"/>
  <c r="I1151" i="4"/>
  <c r="J1151" i="4" s="1"/>
  <c r="F1151" i="4"/>
  <c r="E1151" i="4"/>
  <c r="D1151" i="4"/>
  <c r="A1151" i="4"/>
  <c r="I1150" i="4"/>
  <c r="J1150" i="4" s="1"/>
  <c r="F1150" i="4"/>
  <c r="E1150" i="4"/>
  <c r="D1150" i="4"/>
  <c r="A1150" i="4"/>
  <c r="I1149" i="4"/>
  <c r="J1149" i="4" s="1"/>
  <c r="F1149" i="4"/>
  <c r="E1149" i="4"/>
  <c r="D1149" i="4"/>
  <c r="A1149" i="4"/>
  <c r="I1148" i="4"/>
  <c r="J1148" i="4" s="1"/>
  <c r="F1148" i="4"/>
  <c r="E1148" i="4"/>
  <c r="D1148" i="4"/>
  <c r="A1148" i="4"/>
  <c r="I1147" i="4"/>
  <c r="J1147" i="4" s="1"/>
  <c r="F1147" i="4"/>
  <c r="E1147" i="4"/>
  <c r="D1147" i="4"/>
  <c r="A1147" i="4"/>
  <c r="I1146" i="4"/>
  <c r="J1146" i="4" s="1"/>
  <c r="F1146" i="4"/>
  <c r="E1146" i="4"/>
  <c r="D1146" i="4"/>
  <c r="A1146" i="4"/>
  <c r="I1145" i="4"/>
  <c r="J1145" i="4" s="1"/>
  <c r="F1145" i="4"/>
  <c r="E1145" i="4"/>
  <c r="D1145" i="4"/>
  <c r="A1145" i="4"/>
  <c r="I1144" i="4"/>
  <c r="J1144" i="4" s="1"/>
  <c r="F1144" i="4"/>
  <c r="E1144" i="4"/>
  <c r="D1144" i="4"/>
  <c r="A1144" i="4"/>
  <c r="I1143" i="4"/>
  <c r="J1143" i="4" s="1"/>
  <c r="F1143" i="4"/>
  <c r="E1143" i="4"/>
  <c r="D1143" i="4"/>
  <c r="A1143" i="4"/>
  <c r="I1142" i="4"/>
  <c r="J1142" i="4" s="1"/>
  <c r="F1142" i="4"/>
  <c r="E1142" i="4"/>
  <c r="D1142" i="4"/>
  <c r="A1142" i="4"/>
  <c r="I1141" i="4"/>
  <c r="J1141" i="4" s="1"/>
  <c r="F1141" i="4"/>
  <c r="E1141" i="4"/>
  <c r="D1141" i="4"/>
  <c r="A1141" i="4"/>
  <c r="I1140" i="4"/>
  <c r="J1140" i="4" s="1"/>
  <c r="F1140" i="4"/>
  <c r="E1140" i="4"/>
  <c r="D1140" i="4"/>
  <c r="A1140" i="4"/>
  <c r="I1139" i="4"/>
  <c r="J1139" i="4" s="1"/>
  <c r="F1139" i="4"/>
  <c r="E1139" i="4"/>
  <c r="D1139" i="4"/>
  <c r="A1139" i="4"/>
  <c r="I1138" i="4"/>
  <c r="J1138" i="4" s="1"/>
  <c r="F1138" i="4"/>
  <c r="E1138" i="4"/>
  <c r="D1138" i="4"/>
  <c r="A1138" i="4"/>
  <c r="I1137" i="4"/>
  <c r="J1137" i="4" s="1"/>
  <c r="F1137" i="4"/>
  <c r="E1137" i="4"/>
  <c r="D1137" i="4"/>
  <c r="A1137" i="4"/>
  <c r="I1136" i="4"/>
  <c r="J1136" i="4" s="1"/>
  <c r="F1136" i="4"/>
  <c r="E1136" i="4"/>
  <c r="D1136" i="4"/>
  <c r="A1136" i="4"/>
  <c r="I1135" i="4"/>
  <c r="J1135" i="4" s="1"/>
  <c r="F1135" i="4"/>
  <c r="E1135" i="4"/>
  <c r="D1135" i="4"/>
  <c r="A1135" i="4"/>
  <c r="I1134" i="4"/>
  <c r="J1134" i="4" s="1"/>
  <c r="F1134" i="4"/>
  <c r="E1134" i="4"/>
  <c r="D1134" i="4"/>
  <c r="A1134" i="4"/>
  <c r="I1133" i="4"/>
  <c r="J1133" i="4" s="1"/>
  <c r="F1133" i="4"/>
  <c r="E1133" i="4"/>
  <c r="D1133" i="4"/>
  <c r="A1133" i="4"/>
  <c r="I1132" i="4"/>
  <c r="J1132" i="4" s="1"/>
  <c r="F1132" i="4"/>
  <c r="E1132" i="4"/>
  <c r="D1132" i="4"/>
  <c r="A1132" i="4"/>
  <c r="I1131" i="4"/>
  <c r="J1131" i="4" s="1"/>
  <c r="F1131" i="4"/>
  <c r="E1131" i="4"/>
  <c r="D1131" i="4"/>
  <c r="A1131" i="4"/>
  <c r="I1130" i="4"/>
  <c r="J1130" i="4" s="1"/>
  <c r="F1130" i="4"/>
  <c r="E1130" i="4"/>
  <c r="D1130" i="4"/>
  <c r="A1130" i="4"/>
  <c r="I1129" i="4"/>
  <c r="J1129" i="4" s="1"/>
  <c r="F1129" i="4"/>
  <c r="E1129" i="4"/>
  <c r="D1129" i="4"/>
  <c r="A1129" i="4"/>
  <c r="I1128" i="4"/>
  <c r="J1128" i="4" s="1"/>
  <c r="F1128" i="4"/>
  <c r="E1128" i="4"/>
  <c r="D1128" i="4"/>
  <c r="A1128" i="4"/>
  <c r="I1127" i="4"/>
  <c r="J1127" i="4" s="1"/>
  <c r="F1127" i="4"/>
  <c r="E1127" i="4"/>
  <c r="D1127" i="4"/>
  <c r="A1127" i="4"/>
  <c r="I1126" i="4"/>
  <c r="J1126" i="4" s="1"/>
  <c r="F1126" i="4"/>
  <c r="E1126" i="4"/>
  <c r="D1126" i="4"/>
  <c r="A1126" i="4"/>
  <c r="I1125" i="4"/>
  <c r="J1125" i="4" s="1"/>
  <c r="F1125" i="4"/>
  <c r="E1125" i="4"/>
  <c r="D1125" i="4"/>
  <c r="A1125" i="4"/>
  <c r="I1124" i="4"/>
  <c r="J1124" i="4" s="1"/>
  <c r="F1124" i="4"/>
  <c r="E1124" i="4"/>
  <c r="D1124" i="4"/>
  <c r="A1124" i="4"/>
  <c r="I1123" i="4"/>
  <c r="J1123" i="4" s="1"/>
  <c r="F1123" i="4"/>
  <c r="E1123" i="4"/>
  <c r="D1123" i="4"/>
  <c r="A1123" i="4"/>
  <c r="I1122" i="4"/>
  <c r="J1122" i="4" s="1"/>
  <c r="F1122" i="4"/>
  <c r="E1122" i="4"/>
  <c r="D1122" i="4"/>
  <c r="A1122" i="4"/>
  <c r="I1121" i="4"/>
  <c r="J1121" i="4" s="1"/>
  <c r="F1121" i="4"/>
  <c r="E1121" i="4"/>
  <c r="D1121" i="4"/>
  <c r="A1121" i="4"/>
  <c r="I1120" i="4"/>
  <c r="J1120" i="4" s="1"/>
  <c r="F1120" i="4"/>
  <c r="E1120" i="4"/>
  <c r="D1120" i="4"/>
  <c r="A1120" i="4"/>
  <c r="I1119" i="4"/>
  <c r="J1119" i="4" s="1"/>
  <c r="F1119" i="4"/>
  <c r="E1119" i="4"/>
  <c r="D1119" i="4"/>
  <c r="A1119" i="4"/>
  <c r="I1118" i="4"/>
  <c r="J1118" i="4" s="1"/>
  <c r="F1118" i="4"/>
  <c r="E1118" i="4"/>
  <c r="D1118" i="4"/>
  <c r="A1118" i="4"/>
  <c r="I1117" i="4"/>
  <c r="J1117" i="4" s="1"/>
  <c r="F1117" i="4"/>
  <c r="E1117" i="4"/>
  <c r="D1117" i="4"/>
  <c r="A1117" i="4"/>
  <c r="I1116" i="4"/>
  <c r="J1116" i="4" s="1"/>
  <c r="F1116" i="4"/>
  <c r="E1116" i="4"/>
  <c r="D1116" i="4"/>
  <c r="A1116" i="4"/>
  <c r="I1115" i="4"/>
  <c r="J1115" i="4" s="1"/>
  <c r="F1115" i="4"/>
  <c r="E1115" i="4"/>
  <c r="D1115" i="4"/>
  <c r="A1115" i="4"/>
  <c r="I1114" i="4"/>
  <c r="J1114" i="4" s="1"/>
  <c r="F1114" i="4"/>
  <c r="E1114" i="4"/>
  <c r="D1114" i="4"/>
  <c r="A1114" i="4"/>
  <c r="I1113" i="4"/>
  <c r="J1113" i="4" s="1"/>
  <c r="F1113" i="4"/>
  <c r="E1113" i="4"/>
  <c r="D1113" i="4"/>
  <c r="A1113" i="4"/>
  <c r="I1112" i="4"/>
  <c r="J1112" i="4" s="1"/>
  <c r="F1112" i="4"/>
  <c r="E1112" i="4"/>
  <c r="D1112" i="4"/>
  <c r="I1111" i="4"/>
  <c r="J1111" i="4" s="1"/>
  <c r="F1111" i="4"/>
  <c r="E1111" i="4"/>
  <c r="D1111" i="4"/>
  <c r="I1110" i="4"/>
  <c r="J1110" i="4" s="1"/>
  <c r="F1110" i="4"/>
  <c r="E1110" i="4"/>
  <c r="D1110" i="4"/>
  <c r="I1109" i="4"/>
  <c r="J1109" i="4" s="1"/>
  <c r="F1109" i="4"/>
  <c r="E1109" i="4"/>
  <c r="D1109" i="4"/>
  <c r="I1108" i="4"/>
  <c r="J1108" i="4" s="1"/>
  <c r="F1108" i="4"/>
  <c r="E1108" i="4"/>
  <c r="D1108" i="4"/>
  <c r="I1107" i="4"/>
  <c r="J1107" i="4" s="1"/>
  <c r="F1107" i="4"/>
  <c r="E1107" i="4"/>
  <c r="D1107" i="4"/>
  <c r="I1106" i="4"/>
  <c r="J1106" i="4" s="1"/>
  <c r="F1106" i="4"/>
  <c r="E1106" i="4"/>
  <c r="D1106" i="4"/>
  <c r="I1105" i="4"/>
  <c r="J1105" i="4" s="1"/>
  <c r="F1105" i="4"/>
  <c r="E1105" i="4"/>
  <c r="D1105" i="4"/>
  <c r="I1104" i="4"/>
  <c r="J1104" i="4" s="1"/>
  <c r="F1104" i="4"/>
  <c r="E1104" i="4"/>
  <c r="D1104" i="4"/>
  <c r="I1103" i="4"/>
  <c r="J1103" i="4" s="1"/>
  <c r="F1103" i="4"/>
  <c r="E1103" i="4"/>
  <c r="D1103" i="4"/>
  <c r="I1102" i="4"/>
  <c r="J1102" i="4" s="1"/>
  <c r="F1102" i="4"/>
  <c r="E1102" i="4"/>
  <c r="D1102" i="4"/>
  <c r="I1101" i="4"/>
  <c r="J1101" i="4" s="1"/>
  <c r="F1101" i="4"/>
  <c r="E1101" i="4"/>
  <c r="D1101" i="4"/>
  <c r="I1100" i="4"/>
  <c r="J1100" i="4" s="1"/>
  <c r="F1100" i="4"/>
  <c r="E1100" i="4"/>
  <c r="D1100" i="4"/>
  <c r="I1099" i="4"/>
  <c r="J1099" i="4" s="1"/>
  <c r="F1099" i="4"/>
  <c r="E1099" i="4"/>
  <c r="D1099" i="4"/>
  <c r="I1098" i="4"/>
  <c r="J1098" i="4" s="1"/>
  <c r="F1098" i="4"/>
  <c r="E1098" i="4"/>
  <c r="D1098" i="4"/>
  <c r="I1097" i="4"/>
  <c r="J1097" i="4" s="1"/>
  <c r="F1097" i="4"/>
  <c r="E1097" i="4"/>
  <c r="D1097" i="4"/>
  <c r="I1096" i="4"/>
  <c r="J1096" i="4" s="1"/>
  <c r="F1096" i="4"/>
  <c r="E1096" i="4"/>
  <c r="D1096" i="4"/>
  <c r="I1095" i="4"/>
  <c r="J1095" i="4" s="1"/>
  <c r="F1095" i="4"/>
  <c r="E1095" i="4"/>
  <c r="D1095" i="4"/>
  <c r="I1094" i="4"/>
  <c r="J1094" i="4" s="1"/>
  <c r="F1094" i="4"/>
  <c r="E1094" i="4"/>
  <c r="D1094" i="4"/>
  <c r="I1093" i="4"/>
  <c r="J1093" i="4" s="1"/>
  <c r="F1093" i="4"/>
  <c r="E1093" i="4"/>
  <c r="D1093" i="4"/>
  <c r="I1092" i="4"/>
  <c r="J1092" i="4" s="1"/>
  <c r="F1092" i="4"/>
  <c r="E1092" i="4"/>
  <c r="D1092" i="4"/>
  <c r="I1091" i="4"/>
  <c r="J1091" i="4" s="1"/>
  <c r="F1091" i="4"/>
  <c r="E1091" i="4"/>
  <c r="D1091" i="4"/>
  <c r="I1090" i="4"/>
  <c r="J1090" i="4" s="1"/>
  <c r="F1090" i="4"/>
  <c r="E1090" i="4"/>
  <c r="D1090" i="4"/>
  <c r="I1089" i="4"/>
  <c r="J1089" i="4" s="1"/>
  <c r="F1089" i="4"/>
  <c r="E1089" i="4"/>
  <c r="D1089" i="4"/>
  <c r="I1088" i="4"/>
  <c r="J1088" i="4" s="1"/>
  <c r="F1088" i="4"/>
  <c r="E1088" i="4"/>
  <c r="D1088" i="4"/>
  <c r="I1087" i="4"/>
  <c r="J1087" i="4" s="1"/>
  <c r="F1087" i="4"/>
  <c r="E1087" i="4"/>
  <c r="D1087" i="4"/>
  <c r="I1086" i="4"/>
  <c r="J1086" i="4" s="1"/>
  <c r="F1086" i="4"/>
  <c r="E1086" i="4"/>
  <c r="D1086" i="4"/>
  <c r="I1085" i="4"/>
  <c r="J1085" i="4" s="1"/>
  <c r="F1085" i="4"/>
  <c r="E1085" i="4"/>
  <c r="D1085" i="4"/>
  <c r="I1084" i="4"/>
  <c r="J1084" i="4" s="1"/>
  <c r="F1084" i="4"/>
  <c r="E1084" i="4"/>
  <c r="D1084" i="4"/>
  <c r="I1083" i="4"/>
  <c r="J1083" i="4" s="1"/>
  <c r="F1083" i="4"/>
  <c r="E1083" i="4"/>
  <c r="D1083" i="4"/>
  <c r="I1082" i="4"/>
  <c r="J1082" i="4" s="1"/>
  <c r="F1082" i="4"/>
  <c r="E1082" i="4"/>
  <c r="D1082" i="4"/>
  <c r="I1081" i="4"/>
  <c r="J1081" i="4" s="1"/>
  <c r="F1081" i="4"/>
  <c r="E1081" i="4"/>
  <c r="D1081" i="4"/>
  <c r="I1080" i="4"/>
  <c r="J1080" i="4" s="1"/>
  <c r="F1080" i="4"/>
  <c r="E1080" i="4"/>
  <c r="D1080" i="4"/>
  <c r="I1079" i="4"/>
  <c r="J1079" i="4" s="1"/>
  <c r="F1079" i="4"/>
  <c r="E1079" i="4"/>
  <c r="D1079" i="4"/>
  <c r="I1078" i="4"/>
  <c r="J1078" i="4" s="1"/>
  <c r="F1078" i="4"/>
  <c r="E1078" i="4"/>
  <c r="D1078" i="4"/>
  <c r="I1077" i="4"/>
  <c r="J1077" i="4" s="1"/>
  <c r="F1077" i="4"/>
  <c r="E1077" i="4"/>
  <c r="D1077" i="4"/>
  <c r="I1076" i="4"/>
  <c r="J1076" i="4" s="1"/>
  <c r="F1076" i="4"/>
  <c r="E1076" i="4"/>
  <c r="D1076" i="4"/>
  <c r="I1075" i="4"/>
  <c r="J1075" i="4" s="1"/>
  <c r="F1075" i="4"/>
  <c r="E1075" i="4"/>
  <c r="D1075" i="4"/>
  <c r="I1074" i="4"/>
  <c r="J1074" i="4" s="1"/>
  <c r="F1074" i="4"/>
  <c r="E1074" i="4"/>
  <c r="D1074" i="4"/>
  <c r="I1073" i="4"/>
  <c r="J1073" i="4" s="1"/>
  <c r="F1073" i="4"/>
  <c r="E1073" i="4"/>
  <c r="D1073" i="4"/>
  <c r="I1072" i="4"/>
  <c r="J1072" i="4" s="1"/>
  <c r="F1072" i="4"/>
  <c r="E1072" i="4"/>
  <c r="D1072" i="4"/>
  <c r="I1071" i="4"/>
  <c r="J1071" i="4" s="1"/>
  <c r="F1071" i="4"/>
  <c r="E1071" i="4"/>
  <c r="D1071" i="4"/>
  <c r="I1070" i="4"/>
  <c r="J1070" i="4" s="1"/>
  <c r="F1070" i="4"/>
  <c r="E1070" i="4"/>
  <c r="D1070" i="4"/>
  <c r="I1069" i="4"/>
  <c r="J1069" i="4" s="1"/>
  <c r="F1069" i="4"/>
  <c r="E1069" i="4"/>
  <c r="D1069" i="4"/>
  <c r="I1068" i="4"/>
  <c r="J1068" i="4" s="1"/>
  <c r="F1068" i="4"/>
  <c r="E1068" i="4"/>
  <c r="D1068" i="4"/>
  <c r="I1067" i="4"/>
  <c r="J1067" i="4" s="1"/>
  <c r="F1067" i="4"/>
  <c r="E1067" i="4"/>
  <c r="D1067" i="4"/>
  <c r="I1066" i="4"/>
  <c r="J1066" i="4" s="1"/>
  <c r="F1066" i="4"/>
  <c r="E1066" i="4"/>
  <c r="D1066" i="4"/>
  <c r="I1065" i="4"/>
  <c r="J1065" i="4" s="1"/>
  <c r="F1065" i="4"/>
  <c r="E1065" i="4"/>
  <c r="D1065" i="4"/>
  <c r="I1064" i="4"/>
  <c r="J1064" i="4" s="1"/>
  <c r="F1064" i="4"/>
  <c r="E1064" i="4"/>
  <c r="D1064" i="4"/>
  <c r="I1063" i="4"/>
  <c r="J1063" i="4" s="1"/>
  <c r="F1063" i="4"/>
  <c r="E1063" i="4"/>
  <c r="D1063" i="4"/>
  <c r="I1062" i="4"/>
  <c r="J1062" i="4" s="1"/>
  <c r="F1062" i="4"/>
  <c r="E1062" i="4"/>
  <c r="D1062" i="4"/>
  <c r="I1061" i="4"/>
  <c r="J1061" i="4" s="1"/>
  <c r="F1061" i="4"/>
  <c r="E1061" i="4"/>
  <c r="D1061" i="4"/>
  <c r="I1060" i="4"/>
  <c r="J1060" i="4" s="1"/>
  <c r="F1060" i="4"/>
  <c r="E1060" i="4"/>
  <c r="D1060" i="4"/>
  <c r="I1059" i="4"/>
  <c r="J1059" i="4" s="1"/>
  <c r="F1059" i="4"/>
  <c r="E1059" i="4"/>
  <c r="D1059" i="4"/>
  <c r="I1058" i="4"/>
  <c r="J1058" i="4" s="1"/>
  <c r="F1058" i="4"/>
  <c r="E1058" i="4"/>
  <c r="D1058" i="4"/>
  <c r="I1057" i="4"/>
  <c r="J1057" i="4" s="1"/>
  <c r="F1057" i="4"/>
  <c r="E1057" i="4"/>
  <c r="D1057" i="4"/>
  <c r="I1056" i="4"/>
  <c r="J1056" i="4" s="1"/>
  <c r="F1056" i="4"/>
  <c r="E1056" i="4"/>
  <c r="D1056" i="4"/>
  <c r="I1055" i="4"/>
  <c r="J1055" i="4" s="1"/>
  <c r="F1055" i="4"/>
  <c r="E1055" i="4"/>
  <c r="D1055" i="4"/>
  <c r="I1054" i="4"/>
  <c r="J1054" i="4" s="1"/>
  <c r="F1054" i="4"/>
  <c r="E1054" i="4"/>
  <c r="D1054" i="4"/>
  <c r="I1053" i="4"/>
  <c r="J1053" i="4" s="1"/>
  <c r="F1053" i="4"/>
  <c r="E1053" i="4"/>
  <c r="D1053" i="4"/>
  <c r="I1052" i="4"/>
  <c r="J1052" i="4" s="1"/>
  <c r="F1052" i="4"/>
  <c r="E1052" i="4"/>
  <c r="D1052" i="4"/>
  <c r="I1051" i="4"/>
  <c r="J1051" i="4" s="1"/>
  <c r="F1051" i="4"/>
  <c r="E1051" i="4"/>
  <c r="D1051" i="4"/>
  <c r="I1050" i="4"/>
  <c r="J1050" i="4" s="1"/>
  <c r="F1050" i="4"/>
  <c r="E1050" i="4"/>
  <c r="D1050" i="4"/>
  <c r="I1049" i="4"/>
  <c r="J1049" i="4" s="1"/>
  <c r="F1049" i="4"/>
  <c r="E1049" i="4"/>
  <c r="D1049" i="4"/>
  <c r="I1048" i="4"/>
  <c r="J1048" i="4" s="1"/>
  <c r="F1048" i="4"/>
  <c r="E1048" i="4"/>
  <c r="D1048" i="4"/>
  <c r="I1047" i="4"/>
  <c r="J1047" i="4" s="1"/>
  <c r="F1047" i="4"/>
  <c r="E1047" i="4"/>
  <c r="D1047" i="4"/>
  <c r="I1046" i="4"/>
  <c r="J1046" i="4" s="1"/>
  <c r="F1046" i="4"/>
  <c r="E1046" i="4"/>
  <c r="D1046" i="4"/>
  <c r="I1045" i="4"/>
  <c r="J1045" i="4" s="1"/>
  <c r="F1045" i="4"/>
  <c r="E1045" i="4"/>
  <c r="D1045" i="4"/>
  <c r="I1044" i="4"/>
  <c r="J1044" i="4" s="1"/>
  <c r="F1044" i="4"/>
  <c r="E1044" i="4"/>
  <c r="D1044" i="4"/>
  <c r="I1043" i="4"/>
  <c r="J1043" i="4" s="1"/>
  <c r="F1043" i="4"/>
  <c r="E1043" i="4"/>
  <c r="D1043" i="4"/>
  <c r="I1042" i="4"/>
  <c r="J1042" i="4" s="1"/>
  <c r="F1042" i="4"/>
  <c r="E1042" i="4"/>
  <c r="D1042" i="4"/>
  <c r="I1041" i="4"/>
  <c r="J1041" i="4" s="1"/>
  <c r="F1041" i="4"/>
  <c r="E1041" i="4"/>
  <c r="D1041" i="4"/>
  <c r="I1040" i="4"/>
  <c r="J1040" i="4" s="1"/>
  <c r="F1040" i="4"/>
  <c r="E1040" i="4"/>
  <c r="D1040" i="4"/>
  <c r="I1039" i="4"/>
  <c r="J1039" i="4" s="1"/>
  <c r="F1039" i="4"/>
  <c r="E1039" i="4"/>
  <c r="D1039" i="4"/>
  <c r="I1038" i="4"/>
  <c r="J1038" i="4" s="1"/>
  <c r="F1038" i="4"/>
  <c r="E1038" i="4"/>
  <c r="D1038" i="4"/>
  <c r="I1037" i="4"/>
  <c r="J1037" i="4" s="1"/>
  <c r="F1037" i="4"/>
  <c r="E1037" i="4"/>
  <c r="D1037" i="4"/>
  <c r="I1036" i="4"/>
  <c r="J1036" i="4" s="1"/>
  <c r="F1036" i="4"/>
  <c r="E1036" i="4"/>
  <c r="D1036" i="4"/>
  <c r="I1035" i="4"/>
  <c r="J1035" i="4" s="1"/>
  <c r="F1035" i="4"/>
  <c r="E1035" i="4"/>
  <c r="D1035" i="4"/>
  <c r="I1034" i="4"/>
  <c r="J1034" i="4" s="1"/>
  <c r="F1034" i="4"/>
  <c r="E1034" i="4"/>
  <c r="D1034" i="4"/>
  <c r="I1033" i="4"/>
  <c r="J1033" i="4" s="1"/>
  <c r="F1033" i="4"/>
  <c r="E1033" i="4"/>
  <c r="D1033" i="4"/>
  <c r="I1032" i="4"/>
  <c r="J1032" i="4" s="1"/>
  <c r="F1032" i="4"/>
  <c r="E1032" i="4"/>
  <c r="D1032" i="4"/>
  <c r="I1031" i="4"/>
  <c r="J1031" i="4" s="1"/>
  <c r="F1031" i="4"/>
  <c r="E1031" i="4"/>
  <c r="D1031" i="4"/>
  <c r="I1030" i="4"/>
  <c r="J1030" i="4" s="1"/>
  <c r="F1030" i="4"/>
  <c r="E1030" i="4"/>
  <c r="D1030" i="4"/>
  <c r="I1029" i="4"/>
  <c r="J1029" i="4" s="1"/>
  <c r="F1029" i="4"/>
  <c r="E1029" i="4"/>
  <c r="D1029" i="4"/>
  <c r="I1028" i="4"/>
  <c r="J1028" i="4" s="1"/>
  <c r="F1028" i="4"/>
  <c r="E1028" i="4"/>
  <c r="D1028" i="4"/>
  <c r="I1027" i="4"/>
  <c r="J1027" i="4" s="1"/>
  <c r="F1027" i="4"/>
  <c r="E1027" i="4"/>
  <c r="D1027" i="4"/>
  <c r="I1026" i="4"/>
  <c r="J1026" i="4" s="1"/>
  <c r="F1026" i="4"/>
  <c r="E1026" i="4"/>
  <c r="D1026" i="4"/>
  <c r="I1025" i="4"/>
  <c r="J1025" i="4" s="1"/>
  <c r="F1025" i="4"/>
  <c r="E1025" i="4"/>
  <c r="D1025" i="4"/>
  <c r="I1024" i="4"/>
  <c r="J1024" i="4" s="1"/>
  <c r="F1024" i="4"/>
  <c r="E1024" i="4"/>
  <c r="D1024" i="4"/>
  <c r="I1023" i="4"/>
  <c r="J1023" i="4" s="1"/>
  <c r="F1023" i="4"/>
  <c r="E1023" i="4"/>
  <c r="D1023" i="4"/>
  <c r="I1022" i="4"/>
  <c r="J1022" i="4" s="1"/>
  <c r="F1022" i="4"/>
  <c r="E1022" i="4"/>
  <c r="D1022" i="4"/>
  <c r="I1021" i="4"/>
  <c r="J1021" i="4" s="1"/>
  <c r="F1021" i="4"/>
  <c r="E1021" i="4"/>
  <c r="D1021" i="4"/>
  <c r="I1020" i="4"/>
  <c r="J1020" i="4" s="1"/>
  <c r="F1020" i="4"/>
  <c r="E1020" i="4"/>
  <c r="D1020" i="4"/>
  <c r="I1019" i="4"/>
  <c r="J1019" i="4" s="1"/>
  <c r="F1019" i="4"/>
  <c r="E1019" i="4"/>
  <c r="D1019" i="4"/>
  <c r="I1018" i="4"/>
  <c r="J1018" i="4" s="1"/>
  <c r="F1018" i="4"/>
  <c r="E1018" i="4"/>
  <c r="D1018" i="4"/>
  <c r="I1017" i="4"/>
  <c r="J1017" i="4" s="1"/>
  <c r="F1017" i="4"/>
  <c r="E1017" i="4"/>
  <c r="D1017" i="4"/>
  <c r="I1016" i="4"/>
  <c r="J1016" i="4" s="1"/>
  <c r="F1016" i="4"/>
  <c r="E1016" i="4"/>
  <c r="D1016" i="4"/>
  <c r="I1004" i="4"/>
  <c r="J1004" i="4" s="1"/>
  <c r="F1004" i="4"/>
  <c r="E1004" i="4"/>
  <c r="D1004" i="4"/>
  <c r="I1014" i="4"/>
  <c r="J1014" i="4" s="1"/>
  <c r="F1014" i="4"/>
  <c r="E1014" i="4"/>
  <c r="D1014" i="4"/>
  <c r="I1013" i="4"/>
  <c r="J1013" i="4" s="1"/>
  <c r="I1012" i="4"/>
  <c r="J1012" i="4" s="1"/>
  <c r="I1011" i="4"/>
  <c r="J1011" i="4" s="1"/>
  <c r="I1010" i="4"/>
  <c r="J1010" i="4" s="1"/>
  <c r="I1007" i="4"/>
  <c r="J1007" i="4" s="1"/>
  <c r="I1009" i="4"/>
  <c r="J1009" i="4" s="1"/>
  <c r="I1008" i="4"/>
  <c r="J1008" i="4" s="1"/>
  <c r="I1006" i="4"/>
  <c r="J1006" i="4" s="1"/>
  <c r="I1005" i="4"/>
  <c r="J1005" i="4" s="1"/>
  <c r="I1000" i="4"/>
  <c r="J1000" i="4" s="1"/>
  <c r="I992" i="4"/>
  <c r="J992" i="4" s="1"/>
  <c r="I995" i="4"/>
  <c r="J995" i="4" s="1"/>
  <c r="I1003" i="4"/>
  <c r="J1003" i="4" s="1"/>
  <c r="I997" i="4"/>
  <c r="J997" i="4" s="1"/>
  <c r="I999" i="4"/>
  <c r="J999" i="4" s="1"/>
  <c r="I994" i="4"/>
  <c r="J994" i="4" s="1"/>
  <c r="I993" i="4"/>
  <c r="J993" i="4" s="1"/>
  <c r="I996" i="4"/>
  <c r="J996" i="4" s="1"/>
  <c r="I1002" i="4"/>
  <c r="J1002" i="4" s="1"/>
  <c r="I1001" i="4"/>
  <c r="J1001" i="4" s="1"/>
  <c r="I998" i="4"/>
  <c r="J998" i="4" s="1"/>
  <c r="I988" i="4"/>
  <c r="J988" i="4" s="1"/>
  <c r="I991" i="4"/>
  <c r="J991" i="4" s="1"/>
  <c r="I990" i="4"/>
  <c r="J990" i="4" s="1"/>
  <c r="I989" i="4"/>
  <c r="J989" i="4" s="1"/>
  <c r="I986" i="4"/>
  <c r="J986" i="4" s="1"/>
  <c r="I983" i="4"/>
  <c r="J983" i="4" s="1"/>
  <c r="I982" i="4"/>
  <c r="J982" i="4" s="1"/>
  <c r="I985" i="4"/>
  <c r="J985" i="4" s="1"/>
  <c r="I987" i="4"/>
  <c r="J987" i="4" s="1"/>
  <c r="I984" i="4"/>
  <c r="J984" i="4" s="1"/>
  <c r="I977" i="4"/>
  <c r="J977" i="4" s="1"/>
  <c r="I979" i="4"/>
  <c r="J979" i="4" s="1"/>
  <c r="I975" i="4"/>
  <c r="J975" i="4" s="1"/>
  <c r="I980" i="4"/>
  <c r="J980" i="4" s="1"/>
  <c r="I974" i="4"/>
  <c r="J974" i="4" s="1"/>
  <c r="I972" i="4"/>
  <c r="J972" i="4" s="1"/>
  <c r="I981" i="4"/>
  <c r="J981" i="4" s="1"/>
  <c r="I971" i="4"/>
  <c r="J971" i="4" s="1"/>
  <c r="I978" i="4"/>
  <c r="J978" i="4" s="1"/>
  <c r="I976" i="4"/>
  <c r="J976" i="4" s="1"/>
  <c r="I973" i="4"/>
  <c r="J973" i="4" s="1"/>
  <c r="I958" i="4"/>
  <c r="J958" i="4" s="1"/>
  <c r="I957" i="4"/>
  <c r="J957" i="4" s="1"/>
  <c r="I963" i="4"/>
  <c r="J963" i="4" s="1"/>
  <c r="I961" i="4"/>
  <c r="J961" i="4" s="1"/>
  <c r="I969" i="4"/>
  <c r="J969" i="4" s="1"/>
  <c r="I956" i="4"/>
  <c r="J956" i="4" s="1"/>
  <c r="I967" i="4"/>
  <c r="J967" i="4" s="1"/>
  <c r="I962" i="4"/>
  <c r="J962" i="4" s="1"/>
  <c r="I965" i="4"/>
  <c r="J965" i="4" s="1"/>
  <c r="I959" i="4"/>
  <c r="J959" i="4" s="1"/>
  <c r="I970" i="4"/>
  <c r="J970" i="4" s="1"/>
  <c r="I964" i="4"/>
  <c r="J964" i="4" s="1"/>
  <c r="I960" i="4"/>
  <c r="J960" i="4" s="1"/>
  <c r="I966" i="4"/>
  <c r="J966" i="4" s="1"/>
  <c r="I968" i="4"/>
  <c r="J968" i="4" s="1"/>
  <c r="I953" i="4"/>
  <c r="J953" i="4" s="1"/>
  <c r="I952" i="4"/>
  <c r="J952" i="4" s="1"/>
  <c r="I954" i="4"/>
  <c r="J954" i="4" s="1"/>
  <c r="I951" i="4"/>
  <c r="J951" i="4" s="1"/>
  <c r="I955" i="4"/>
  <c r="J955" i="4" s="1"/>
  <c r="I950" i="4"/>
  <c r="J950" i="4" s="1"/>
  <c r="I949" i="4"/>
  <c r="J949" i="4" s="1"/>
  <c r="I948" i="4"/>
  <c r="J948" i="4" s="1"/>
  <c r="I947" i="4"/>
  <c r="J947" i="4" s="1"/>
  <c r="I943" i="4"/>
  <c r="J943" i="4" s="1"/>
  <c r="I945" i="4"/>
  <c r="J945" i="4" s="1"/>
  <c r="I944" i="4"/>
  <c r="J944" i="4" s="1"/>
  <c r="I946" i="4"/>
  <c r="J946" i="4" s="1"/>
  <c r="I942" i="4"/>
  <c r="J942" i="4" s="1"/>
  <c r="I932" i="4"/>
  <c r="J932" i="4" s="1"/>
  <c r="I939" i="4"/>
  <c r="J939" i="4" s="1"/>
  <c r="I935" i="4"/>
  <c r="J935" i="4" s="1"/>
  <c r="I937" i="4"/>
  <c r="J937" i="4" s="1"/>
  <c r="I931" i="4"/>
  <c r="J931" i="4" s="1"/>
  <c r="I938" i="4"/>
  <c r="J938" i="4" s="1"/>
  <c r="I940" i="4"/>
  <c r="J940" i="4" s="1"/>
  <c r="I933" i="4"/>
  <c r="J933" i="4" s="1"/>
  <c r="I936" i="4"/>
  <c r="J936" i="4" s="1"/>
  <c r="I941" i="4"/>
  <c r="J941" i="4" s="1"/>
  <c r="I934" i="4"/>
  <c r="J934" i="4" s="1"/>
  <c r="I930" i="4"/>
  <c r="J930" i="4" s="1"/>
  <c r="I926" i="4"/>
  <c r="J926" i="4" s="1"/>
  <c r="I925" i="4"/>
  <c r="J925" i="4" s="1"/>
  <c r="I929" i="4"/>
  <c r="J929" i="4" s="1"/>
  <c r="I927" i="4"/>
  <c r="J927" i="4" s="1"/>
  <c r="I928" i="4"/>
  <c r="J928" i="4" s="1"/>
  <c r="I923" i="4"/>
  <c r="J923" i="4" s="1"/>
  <c r="I915" i="4"/>
  <c r="J915" i="4" s="1"/>
  <c r="I922" i="4"/>
  <c r="J922" i="4" s="1"/>
  <c r="I916" i="4"/>
  <c r="J916" i="4" s="1"/>
  <c r="I917" i="4"/>
  <c r="J917" i="4" s="1"/>
  <c r="I920" i="4"/>
  <c r="J920" i="4" s="1"/>
  <c r="I919" i="4"/>
  <c r="J919" i="4" s="1"/>
  <c r="I924" i="4"/>
  <c r="J924" i="4" s="1"/>
  <c r="I921" i="4"/>
  <c r="J921" i="4" s="1"/>
  <c r="I918" i="4"/>
  <c r="J918" i="4" s="1"/>
  <c r="I912" i="4"/>
  <c r="J912" i="4" s="1"/>
  <c r="I911" i="4"/>
  <c r="J911" i="4" s="1"/>
  <c r="I909" i="4"/>
  <c r="J909" i="4" s="1"/>
  <c r="I907" i="4"/>
  <c r="J907" i="4" s="1"/>
  <c r="I908" i="4"/>
  <c r="J908" i="4" s="1"/>
  <c r="I914" i="4"/>
  <c r="J914" i="4" s="1"/>
  <c r="I910" i="4"/>
  <c r="J910" i="4" s="1"/>
  <c r="I913" i="4"/>
  <c r="J913" i="4" s="1"/>
  <c r="I904" i="4"/>
  <c r="J904" i="4" s="1"/>
  <c r="I903" i="4"/>
  <c r="J903" i="4" s="1"/>
  <c r="I905" i="4"/>
  <c r="J905" i="4" s="1"/>
  <c r="I906" i="4"/>
  <c r="J906" i="4" s="1"/>
  <c r="I902" i="4"/>
  <c r="J902" i="4" s="1"/>
  <c r="I899" i="4"/>
  <c r="J899" i="4" s="1"/>
  <c r="I895" i="4"/>
  <c r="J895" i="4" s="1"/>
  <c r="I898" i="4"/>
  <c r="J898" i="4" s="1"/>
  <c r="I897" i="4"/>
  <c r="J897" i="4" s="1"/>
  <c r="I896" i="4"/>
  <c r="J896" i="4" s="1"/>
  <c r="I900" i="4"/>
  <c r="J900" i="4" s="1"/>
  <c r="I901" i="4"/>
  <c r="J901" i="4" s="1"/>
  <c r="I884" i="4"/>
  <c r="J884" i="4" s="1"/>
  <c r="I887" i="4"/>
  <c r="J887" i="4" s="1"/>
  <c r="I881" i="4"/>
  <c r="J881" i="4" s="1"/>
  <c r="I882" i="4"/>
  <c r="J882" i="4" s="1"/>
  <c r="I889" i="4"/>
  <c r="J889" i="4" s="1"/>
  <c r="I888" i="4"/>
  <c r="J888" i="4" s="1"/>
  <c r="I894" i="4"/>
  <c r="J894" i="4" s="1"/>
  <c r="I886" i="4"/>
  <c r="J886" i="4" s="1"/>
  <c r="I879" i="4"/>
  <c r="J879" i="4" s="1"/>
  <c r="I892" i="4"/>
  <c r="J892" i="4" s="1"/>
  <c r="I880" i="4"/>
  <c r="J880" i="4" s="1"/>
  <c r="I885" i="4"/>
  <c r="J885" i="4" s="1"/>
  <c r="I890" i="4"/>
  <c r="J890" i="4" s="1"/>
  <c r="I891" i="4"/>
  <c r="J891" i="4" s="1"/>
  <c r="I883" i="4"/>
  <c r="J883" i="4" s="1"/>
  <c r="I893" i="4"/>
  <c r="J893" i="4" s="1"/>
  <c r="I872" i="4"/>
  <c r="J872" i="4" s="1"/>
  <c r="I876" i="4"/>
  <c r="J876" i="4" s="1"/>
  <c r="I875" i="4"/>
  <c r="J875" i="4" s="1"/>
  <c r="I874" i="4"/>
  <c r="J874" i="4" s="1"/>
  <c r="I877" i="4"/>
  <c r="J877" i="4" s="1"/>
  <c r="I873" i="4"/>
  <c r="J873" i="4" s="1"/>
  <c r="I878" i="4"/>
  <c r="J878" i="4" s="1"/>
  <c r="I868" i="4"/>
  <c r="J868" i="4" s="1"/>
  <c r="I869" i="4"/>
  <c r="J869" i="4" s="1"/>
  <c r="I870" i="4"/>
  <c r="J870" i="4" s="1"/>
  <c r="I871" i="4"/>
  <c r="J871" i="4" s="1"/>
  <c r="I862" i="4"/>
  <c r="J862" i="4" s="1"/>
  <c r="I866" i="4"/>
  <c r="J866" i="4" s="1"/>
  <c r="I863" i="4"/>
  <c r="J863" i="4" s="1"/>
  <c r="I865" i="4"/>
  <c r="J865" i="4" s="1"/>
  <c r="I861" i="4"/>
  <c r="J861" i="4" s="1"/>
  <c r="I867" i="4"/>
  <c r="J867" i="4" s="1"/>
  <c r="I864" i="4"/>
  <c r="J864" i="4" s="1"/>
  <c r="I854" i="4"/>
  <c r="J854" i="4" s="1"/>
  <c r="I855" i="4"/>
  <c r="J855" i="4" s="1"/>
  <c r="I859" i="4"/>
  <c r="J859" i="4" s="1"/>
  <c r="I856" i="4"/>
  <c r="J856" i="4" s="1"/>
  <c r="I860" i="4"/>
  <c r="J860" i="4" s="1"/>
  <c r="I858" i="4"/>
  <c r="J858" i="4" s="1"/>
  <c r="I857" i="4"/>
  <c r="J857" i="4" s="1"/>
  <c r="I844" i="4"/>
  <c r="J844" i="4" s="1"/>
  <c r="I853" i="4"/>
  <c r="J853" i="4" s="1"/>
  <c r="I843" i="4"/>
  <c r="J843" i="4" s="1"/>
  <c r="I847" i="4"/>
  <c r="J847" i="4" s="1"/>
  <c r="I850" i="4"/>
  <c r="J850" i="4" s="1"/>
  <c r="I852" i="4"/>
  <c r="J852" i="4" s="1"/>
  <c r="I849" i="4"/>
  <c r="J849" i="4" s="1"/>
  <c r="I846" i="4"/>
  <c r="J846" i="4" s="1"/>
  <c r="I845" i="4"/>
  <c r="J845" i="4" s="1"/>
  <c r="I842" i="4"/>
  <c r="J842" i="4" s="1"/>
  <c r="I848" i="4"/>
  <c r="J848" i="4" s="1"/>
  <c r="I851" i="4"/>
  <c r="J851" i="4" s="1"/>
  <c r="I841" i="4"/>
  <c r="J841" i="4" s="1"/>
  <c r="I839" i="4"/>
  <c r="J839" i="4" s="1"/>
  <c r="I840" i="4"/>
  <c r="J840" i="4" s="1"/>
  <c r="I838" i="4"/>
  <c r="J838" i="4" s="1"/>
  <c r="I837" i="4"/>
  <c r="J837" i="4" s="1"/>
  <c r="I834" i="4"/>
  <c r="J834" i="4" s="1"/>
  <c r="I832" i="4"/>
  <c r="J832" i="4" s="1"/>
  <c r="I831" i="4"/>
  <c r="J831" i="4" s="1"/>
  <c r="I836" i="4"/>
  <c r="J836" i="4" s="1"/>
  <c r="I833" i="4"/>
  <c r="J833" i="4" s="1"/>
  <c r="I830" i="4"/>
  <c r="J830" i="4" s="1"/>
  <c r="I835" i="4"/>
  <c r="J835" i="4" s="1"/>
  <c r="I828" i="4"/>
  <c r="J828" i="4" s="1"/>
  <c r="I821" i="4"/>
  <c r="J821" i="4" s="1"/>
  <c r="I825" i="4"/>
  <c r="J825" i="4" s="1"/>
  <c r="I820" i="4"/>
  <c r="J820" i="4" s="1"/>
  <c r="I827" i="4"/>
  <c r="J827" i="4" s="1"/>
  <c r="I829" i="4"/>
  <c r="J829" i="4" s="1"/>
  <c r="I822" i="4"/>
  <c r="J822" i="4" s="1"/>
  <c r="I823" i="4"/>
  <c r="J823" i="4" s="1"/>
  <c r="I824" i="4"/>
  <c r="J824" i="4" s="1"/>
  <c r="I826" i="4"/>
  <c r="J826" i="4" s="1"/>
  <c r="I818" i="4"/>
  <c r="J818" i="4" s="1"/>
  <c r="I819" i="4"/>
  <c r="J819" i="4" s="1"/>
  <c r="I816" i="4"/>
  <c r="J816" i="4" s="1"/>
  <c r="I813" i="4"/>
  <c r="J813" i="4" s="1"/>
  <c r="I817" i="4"/>
  <c r="J817" i="4" s="1"/>
  <c r="I815" i="4"/>
  <c r="J815" i="4" s="1"/>
  <c r="I814" i="4"/>
  <c r="J814" i="4" s="1"/>
  <c r="I808" i="4"/>
  <c r="J808" i="4" s="1"/>
  <c r="I810" i="4"/>
  <c r="J810" i="4" s="1"/>
  <c r="I807" i="4"/>
  <c r="J807" i="4" s="1"/>
  <c r="I809" i="4"/>
  <c r="J809" i="4" s="1"/>
  <c r="I811" i="4"/>
  <c r="J811" i="4" s="1"/>
  <c r="I812" i="4"/>
  <c r="J812" i="4" s="1"/>
  <c r="I803" i="4"/>
  <c r="J803" i="4" s="1"/>
  <c r="I800" i="4"/>
  <c r="J800" i="4" s="1"/>
  <c r="I804" i="4"/>
  <c r="J804" i="4" s="1"/>
  <c r="I801" i="4"/>
  <c r="J801" i="4" s="1"/>
  <c r="I799" i="4"/>
  <c r="J799" i="4" s="1"/>
  <c r="I806" i="4"/>
  <c r="J806" i="4" s="1"/>
  <c r="I798" i="4"/>
  <c r="J798" i="4" s="1"/>
  <c r="I797" i="4"/>
  <c r="J797" i="4" s="1"/>
  <c r="I805" i="4"/>
  <c r="J805" i="4" s="1"/>
  <c r="I802" i="4"/>
  <c r="J802" i="4" s="1"/>
  <c r="I796" i="4"/>
  <c r="J796" i="4" s="1"/>
  <c r="I794" i="4"/>
  <c r="J794" i="4" s="1"/>
  <c r="I795" i="4"/>
  <c r="J795" i="4" s="1"/>
  <c r="I793" i="4"/>
  <c r="J793" i="4" s="1"/>
  <c r="I791" i="4"/>
  <c r="J791" i="4" s="1"/>
  <c r="I790" i="4"/>
  <c r="J790" i="4" s="1"/>
  <c r="I792" i="4"/>
  <c r="J792" i="4" s="1"/>
  <c r="I786" i="4"/>
  <c r="J786" i="4" s="1"/>
  <c r="I788" i="4"/>
  <c r="J788" i="4" s="1"/>
  <c r="I789" i="4"/>
  <c r="J789" i="4" s="1"/>
  <c r="I787" i="4"/>
  <c r="J787" i="4" s="1"/>
  <c r="I778" i="4"/>
  <c r="J778" i="4" s="1"/>
  <c r="I777" i="4"/>
  <c r="J777" i="4" s="1"/>
  <c r="I782" i="4"/>
  <c r="J782" i="4" s="1"/>
  <c r="I781" i="4"/>
  <c r="J781" i="4" s="1"/>
  <c r="I783" i="4"/>
  <c r="J783" i="4" s="1"/>
  <c r="I785" i="4"/>
  <c r="J785" i="4" s="1"/>
  <c r="I780" i="4"/>
  <c r="J780" i="4" s="1"/>
  <c r="I776" i="4"/>
  <c r="J776" i="4" s="1"/>
  <c r="I779" i="4"/>
  <c r="J779" i="4" s="1"/>
  <c r="I784" i="4"/>
  <c r="J784" i="4" s="1"/>
  <c r="I771" i="4"/>
  <c r="J771" i="4" s="1"/>
  <c r="I769" i="4"/>
  <c r="J769" i="4" s="1"/>
  <c r="I772" i="4"/>
  <c r="J772" i="4" s="1"/>
  <c r="I768" i="4"/>
  <c r="J768" i="4" s="1"/>
  <c r="I774" i="4"/>
  <c r="J774" i="4" s="1"/>
  <c r="I775" i="4"/>
  <c r="J775" i="4" s="1"/>
  <c r="I773" i="4"/>
  <c r="J773" i="4" s="1"/>
  <c r="I770" i="4"/>
  <c r="J770" i="4" s="1"/>
  <c r="I760" i="4"/>
  <c r="J760" i="4" s="1"/>
  <c r="I765" i="4"/>
  <c r="J765" i="4" s="1"/>
  <c r="I763" i="4"/>
  <c r="J763" i="4" s="1"/>
  <c r="I767" i="4"/>
  <c r="J767" i="4" s="1"/>
  <c r="I761" i="4"/>
  <c r="J761" i="4" s="1"/>
  <c r="I766" i="4"/>
  <c r="J766" i="4" s="1"/>
  <c r="I764" i="4"/>
  <c r="J764" i="4" s="1"/>
  <c r="I762" i="4"/>
  <c r="J762" i="4" s="1"/>
  <c r="I757" i="4"/>
  <c r="J757" i="4" s="1"/>
  <c r="I758" i="4"/>
  <c r="J758" i="4" s="1"/>
  <c r="I759" i="4"/>
  <c r="J759" i="4" s="1"/>
  <c r="I748" i="4"/>
  <c r="J748" i="4" s="1"/>
  <c r="I749" i="4"/>
  <c r="J749" i="4" s="1"/>
  <c r="I745" i="4"/>
  <c r="J745" i="4" s="1"/>
  <c r="I751" i="4"/>
  <c r="J751" i="4" s="1"/>
  <c r="I750" i="4"/>
  <c r="J750" i="4" s="1"/>
  <c r="I752" i="4"/>
  <c r="J752" i="4" s="1"/>
  <c r="I747" i="4"/>
  <c r="J747" i="4" s="1"/>
  <c r="I746" i="4"/>
  <c r="J746" i="4" s="1"/>
  <c r="I754" i="4"/>
  <c r="J754" i="4" s="1"/>
  <c r="I756" i="4"/>
  <c r="J756" i="4" s="1"/>
  <c r="I755" i="4"/>
  <c r="J755" i="4" s="1"/>
  <c r="I753" i="4"/>
  <c r="J753" i="4" s="1"/>
  <c r="I740" i="4"/>
  <c r="J740" i="4" s="1"/>
  <c r="I743" i="4"/>
  <c r="J743" i="4" s="1"/>
  <c r="I741" i="4"/>
  <c r="J741" i="4" s="1"/>
  <c r="I744" i="4"/>
  <c r="J744" i="4" s="1"/>
  <c r="I742" i="4"/>
  <c r="J742" i="4" s="1"/>
  <c r="I733" i="4"/>
  <c r="J733" i="4" s="1"/>
  <c r="I734" i="4"/>
  <c r="J734" i="4" s="1"/>
  <c r="I737" i="4"/>
  <c r="J737" i="4" s="1"/>
  <c r="I731" i="4"/>
  <c r="J731" i="4" s="1"/>
  <c r="I732" i="4"/>
  <c r="J732" i="4" s="1"/>
  <c r="I736" i="4"/>
  <c r="J736" i="4" s="1"/>
  <c r="I739" i="4"/>
  <c r="J739" i="4" s="1"/>
  <c r="I730" i="4"/>
  <c r="J730" i="4" s="1"/>
  <c r="I738" i="4"/>
  <c r="J738" i="4" s="1"/>
  <c r="I735" i="4"/>
  <c r="J735" i="4" s="1"/>
  <c r="I727" i="4"/>
  <c r="J727" i="4" s="1"/>
  <c r="I729" i="4"/>
  <c r="J729" i="4" s="1"/>
  <c r="I723" i="4"/>
  <c r="J723" i="4" s="1"/>
  <c r="I724" i="4"/>
  <c r="J724" i="4" s="1"/>
  <c r="I728" i="4"/>
  <c r="J728" i="4" s="1"/>
  <c r="I726" i="4"/>
  <c r="J726" i="4" s="1"/>
  <c r="I725" i="4"/>
  <c r="J725" i="4" s="1"/>
  <c r="I722" i="4"/>
  <c r="J722" i="4" s="1"/>
  <c r="I721" i="4"/>
  <c r="J721" i="4" s="1"/>
  <c r="I720" i="4"/>
  <c r="J720" i="4" s="1"/>
  <c r="I719" i="4"/>
  <c r="J719" i="4" s="1"/>
  <c r="I717" i="4"/>
  <c r="J717" i="4" s="1"/>
  <c r="I718" i="4"/>
  <c r="J718" i="4" s="1"/>
  <c r="I716" i="4"/>
  <c r="J716" i="4" s="1"/>
  <c r="I710" i="4"/>
  <c r="J710" i="4" s="1"/>
  <c r="I711" i="4"/>
  <c r="J711" i="4" s="1"/>
  <c r="I714" i="4"/>
  <c r="J714" i="4" s="1"/>
  <c r="I713" i="4"/>
  <c r="J713" i="4" s="1"/>
  <c r="I712" i="4"/>
  <c r="J712" i="4" s="1"/>
  <c r="I715" i="4"/>
  <c r="J715" i="4" s="1"/>
  <c r="I708" i="4"/>
  <c r="J708" i="4" s="1"/>
  <c r="I705" i="4"/>
  <c r="J705" i="4" s="1"/>
  <c r="I706" i="4"/>
  <c r="J706" i="4" s="1"/>
  <c r="I702" i="4"/>
  <c r="J702" i="4" s="1"/>
  <c r="I704" i="4"/>
  <c r="J704" i="4" s="1"/>
  <c r="I709" i="4"/>
  <c r="J709" i="4" s="1"/>
  <c r="I707" i="4"/>
  <c r="J707" i="4" s="1"/>
  <c r="I703" i="4"/>
  <c r="J703" i="4" s="1"/>
  <c r="I698" i="4"/>
  <c r="J698" i="4" s="1"/>
  <c r="I700" i="4"/>
  <c r="J700" i="4" s="1"/>
  <c r="I701" i="4"/>
  <c r="J701" i="4" s="1"/>
  <c r="I697" i="4"/>
  <c r="J697" i="4" s="1"/>
  <c r="I695" i="4"/>
  <c r="J695" i="4" s="1"/>
  <c r="I699" i="4"/>
  <c r="J699" i="4" s="1"/>
  <c r="I696" i="4"/>
  <c r="J696" i="4" s="1"/>
  <c r="I694" i="4"/>
  <c r="J694" i="4" s="1"/>
  <c r="I688" i="4"/>
  <c r="J688" i="4" s="1"/>
  <c r="I690" i="4"/>
  <c r="J690" i="4" s="1"/>
  <c r="I684" i="4"/>
  <c r="J684" i="4" s="1"/>
  <c r="I689" i="4"/>
  <c r="J689" i="4" s="1"/>
  <c r="I685" i="4"/>
  <c r="J685" i="4" s="1"/>
  <c r="I691" i="4"/>
  <c r="J691" i="4" s="1"/>
  <c r="I686" i="4"/>
  <c r="J686" i="4" s="1"/>
  <c r="I692" i="4"/>
  <c r="J692" i="4" s="1"/>
  <c r="I683" i="4"/>
  <c r="J683" i="4" s="1"/>
  <c r="I693" i="4"/>
  <c r="J693" i="4" s="1"/>
  <c r="I687" i="4"/>
  <c r="J687" i="4" s="1"/>
  <c r="I682" i="4"/>
  <c r="J682" i="4" s="1"/>
  <c r="I681" i="4"/>
  <c r="J681" i="4" s="1"/>
  <c r="I680" i="4"/>
  <c r="J680" i="4" s="1"/>
  <c r="I679" i="4"/>
  <c r="J679" i="4" s="1"/>
  <c r="I673" i="4"/>
  <c r="J673" i="4" s="1"/>
  <c r="I674" i="4"/>
  <c r="J674" i="4" s="1"/>
  <c r="I675" i="4"/>
  <c r="J675" i="4" s="1"/>
  <c r="I677" i="4"/>
  <c r="J677" i="4" s="1"/>
  <c r="I678" i="4"/>
  <c r="J678" i="4" s="1"/>
  <c r="I676" i="4"/>
  <c r="J676" i="4" s="1"/>
  <c r="I671" i="4"/>
  <c r="J671" i="4" s="1"/>
  <c r="I667" i="4"/>
  <c r="J667" i="4" s="1"/>
  <c r="I669" i="4"/>
  <c r="J669" i="4" s="1"/>
  <c r="I670" i="4"/>
  <c r="J670" i="4" s="1"/>
  <c r="I672" i="4"/>
  <c r="J672" i="4" s="1"/>
  <c r="I668" i="4"/>
  <c r="J668" i="4" s="1"/>
  <c r="I665" i="4"/>
  <c r="J665" i="4" s="1"/>
  <c r="I666" i="4"/>
  <c r="J666" i="4" s="1"/>
  <c r="I664" i="4"/>
  <c r="J664" i="4" s="1"/>
  <c r="I663" i="4"/>
  <c r="J663" i="4" s="1"/>
  <c r="I661" i="4"/>
  <c r="J661" i="4" s="1"/>
  <c r="I660" i="4"/>
  <c r="J660" i="4" s="1"/>
  <c r="I658" i="4"/>
  <c r="J658" i="4" s="1"/>
  <c r="I662" i="4"/>
  <c r="J662" i="4" s="1"/>
  <c r="I659" i="4"/>
  <c r="J659" i="4" s="1"/>
  <c r="I656" i="4"/>
  <c r="J656" i="4" s="1"/>
  <c r="I651" i="4"/>
  <c r="J651" i="4" s="1"/>
  <c r="I650" i="4"/>
  <c r="J650" i="4" s="1"/>
  <c r="I653" i="4"/>
  <c r="J653" i="4" s="1"/>
  <c r="I657" i="4"/>
  <c r="J657" i="4" s="1"/>
  <c r="I655" i="4"/>
  <c r="J655" i="4" s="1"/>
  <c r="I654" i="4"/>
  <c r="J654" i="4" s="1"/>
  <c r="I652" i="4"/>
  <c r="J652" i="4" s="1"/>
  <c r="I647" i="4"/>
  <c r="J647" i="4" s="1"/>
  <c r="I649" i="4"/>
  <c r="J649" i="4" s="1"/>
  <c r="I645" i="4"/>
  <c r="J645" i="4" s="1"/>
  <c r="I646" i="4"/>
  <c r="J646" i="4" s="1"/>
  <c r="I648" i="4"/>
  <c r="J648" i="4" s="1"/>
  <c r="I644" i="4"/>
  <c r="J644" i="4" s="1"/>
  <c r="I640" i="4"/>
  <c r="J640" i="4" s="1"/>
  <c r="I639" i="4"/>
  <c r="J639" i="4" s="1"/>
  <c r="I643" i="4"/>
  <c r="J643" i="4" s="1"/>
  <c r="I642" i="4"/>
  <c r="J642" i="4" s="1"/>
  <c r="I638" i="4"/>
  <c r="J638" i="4" s="1"/>
  <c r="I641" i="4"/>
  <c r="J641" i="4" s="1"/>
  <c r="I637" i="4"/>
  <c r="J637" i="4" s="1"/>
  <c r="I634" i="4"/>
  <c r="J634" i="4" s="1"/>
  <c r="I635" i="4"/>
  <c r="J635" i="4" s="1"/>
  <c r="I636" i="4"/>
  <c r="J636" i="4" s="1"/>
  <c r="I633" i="4"/>
  <c r="J633" i="4" s="1"/>
  <c r="I629" i="4"/>
  <c r="J629" i="4" s="1"/>
  <c r="I627" i="4"/>
  <c r="J627" i="4" s="1"/>
  <c r="I630" i="4"/>
  <c r="J630" i="4" s="1"/>
  <c r="I631" i="4"/>
  <c r="J631" i="4" s="1"/>
  <c r="I628" i="4"/>
  <c r="J628" i="4" s="1"/>
  <c r="I632" i="4"/>
  <c r="J632" i="4" s="1"/>
  <c r="I626" i="4"/>
  <c r="J626" i="4" s="1"/>
  <c r="I624" i="4"/>
  <c r="J624" i="4" s="1"/>
  <c r="I625" i="4"/>
  <c r="J625" i="4" s="1"/>
  <c r="I623" i="4"/>
  <c r="J623" i="4" s="1"/>
  <c r="I620" i="4"/>
  <c r="J620" i="4" s="1"/>
  <c r="I618" i="4"/>
  <c r="J618" i="4" s="1"/>
  <c r="I617" i="4"/>
  <c r="J617" i="4" s="1"/>
  <c r="I619" i="4"/>
  <c r="J619" i="4" s="1"/>
  <c r="I621" i="4"/>
  <c r="J621" i="4" s="1"/>
  <c r="I622" i="4"/>
  <c r="J622" i="4" s="1"/>
  <c r="I611" i="4"/>
  <c r="J611" i="4" s="1"/>
  <c r="I615" i="4"/>
  <c r="J615" i="4" s="1"/>
  <c r="I616" i="4"/>
  <c r="J616" i="4" s="1"/>
  <c r="I613" i="4"/>
  <c r="J613" i="4" s="1"/>
  <c r="I612" i="4"/>
  <c r="J612" i="4" s="1"/>
  <c r="I614" i="4"/>
  <c r="J614" i="4" s="1"/>
  <c r="I608" i="4"/>
  <c r="J608" i="4" s="1"/>
  <c r="I607" i="4"/>
  <c r="J607" i="4" s="1"/>
  <c r="I610" i="4"/>
  <c r="J610" i="4" s="1"/>
  <c r="I609" i="4"/>
  <c r="J609" i="4" s="1"/>
  <c r="I602" i="4"/>
  <c r="J602" i="4" s="1"/>
  <c r="I604" i="4"/>
  <c r="J604" i="4" s="1"/>
  <c r="I600" i="4"/>
  <c r="J600" i="4" s="1"/>
  <c r="I603" i="4"/>
  <c r="J603" i="4" s="1"/>
  <c r="I599" i="4"/>
  <c r="J599" i="4" s="1"/>
  <c r="I605" i="4"/>
  <c r="J605" i="4" s="1"/>
  <c r="I606" i="4"/>
  <c r="J606" i="4" s="1"/>
  <c r="I601" i="4"/>
  <c r="J601" i="4" s="1"/>
  <c r="I595" i="4"/>
  <c r="J595" i="4" s="1"/>
  <c r="I596" i="4"/>
  <c r="J596" i="4" s="1"/>
  <c r="I593" i="4"/>
  <c r="J593" i="4" s="1"/>
  <c r="I597" i="4"/>
  <c r="J597" i="4" s="1"/>
  <c r="I598" i="4"/>
  <c r="J598" i="4" s="1"/>
  <c r="I594" i="4"/>
  <c r="J594" i="4" s="1"/>
  <c r="I589" i="4"/>
  <c r="J589" i="4" s="1"/>
  <c r="I581" i="4"/>
  <c r="J581" i="4" s="1"/>
  <c r="I584" i="4"/>
  <c r="J584" i="4" s="1"/>
  <c r="I585" i="4"/>
  <c r="J585" i="4" s="1"/>
  <c r="I588" i="4"/>
  <c r="J588" i="4" s="1"/>
  <c r="I586" i="4"/>
  <c r="J586" i="4" s="1"/>
  <c r="I583" i="4"/>
  <c r="J583" i="4" s="1"/>
  <c r="I582" i="4"/>
  <c r="J582" i="4" s="1"/>
  <c r="I591" i="4"/>
  <c r="J591" i="4" s="1"/>
  <c r="I580" i="4"/>
  <c r="J580" i="4" s="1"/>
  <c r="I587" i="4"/>
  <c r="J587" i="4" s="1"/>
  <c r="I590" i="4"/>
  <c r="J590" i="4" s="1"/>
  <c r="I592" i="4"/>
  <c r="J592" i="4" s="1"/>
  <c r="I577" i="4"/>
  <c r="J577" i="4" s="1"/>
  <c r="I576" i="4"/>
  <c r="J576" i="4" s="1"/>
  <c r="I572" i="4"/>
  <c r="J572" i="4" s="1"/>
  <c r="I575" i="4"/>
  <c r="J575" i="4" s="1"/>
  <c r="I578" i="4"/>
  <c r="J578" i="4" s="1"/>
  <c r="I579" i="4"/>
  <c r="J579" i="4" s="1"/>
  <c r="I573" i="4"/>
  <c r="J573" i="4" s="1"/>
  <c r="I574" i="4"/>
  <c r="J574" i="4" s="1"/>
  <c r="I571" i="4"/>
  <c r="J571" i="4" s="1"/>
  <c r="I568" i="4"/>
  <c r="J568" i="4" s="1"/>
  <c r="I569" i="4"/>
  <c r="J569" i="4" s="1"/>
  <c r="I570" i="4"/>
  <c r="J570" i="4" s="1"/>
  <c r="I564" i="4"/>
  <c r="J564" i="4" s="1"/>
  <c r="I566" i="4"/>
  <c r="J566" i="4" s="1"/>
  <c r="I565" i="4"/>
  <c r="J565" i="4" s="1"/>
  <c r="I567" i="4"/>
  <c r="J567" i="4" s="1"/>
  <c r="I563" i="4"/>
  <c r="J563" i="4" s="1"/>
  <c r="I561" i="4"/>
  <c r="J561" i="4" s="1"/>
  <c r="I559" i="4"/>
  <c r="J559" i="4" s="1"/>
  <c r="I557" i="4"/>
  <c r="J557" i="4" s="1"/>
  <c r="I556" i="4"/>
  <c r="J556" i="4" s="1"/>
  <c r="I560" i="4"/>
  <c r="J560" i="4" s="1"/>
  <c r="I555" i="4"/>
  <c r="J555" i="4" s="1"/>
  <c r="I562" i="4"/>
  <c r="J562" i="4" s="1"/>
  <c r="I558" i="4"/>
  <c r="J558" i="4" s="1"/>
  <c r="I552" i="4"/>
  <c r="J552" i="4" s="1"/>
  <c r="I554" i="4"/>
  <c r="J554" i="4" s="1"/>
  <c r="I553" i="4"/>
  <c r="J553" i="4" s="1"/>
  <c r="I548" i="4"/>
  <c r="J548" i="4" s="1"/>
  <c r="I550" i="4"/>
  <c r="J550" i="4" s="1"/>
  <c r="I549" i="4"/>
  <c r="J549" i="4" s="1"/>
  <c r="I551" i="4"/>
  <c r="J551" i="4" s="1"/>
  <c r="I547" i="4"/>
  <c r="J547" i="4" s="1"/>
  <c r="I546" i="4"/>
  <c r="J546" i="4" s="1"/>
  <c r="I545" i="4"/>
  <c r="J545" i="4" s="1"/>
  <c r="I544" i="4"/>
  <c r="J544" i="4" s="1"/>
  <c r="I540" i="4"/>
  <c r="J540" i="4" s="1"/>
  <c r="I543" i="4"/>
  <c r="J543" i="4" s="1"/>
  <c r="I541" i="4"/>
  <c r="J541" i="4" s="1"/>
  <c r="I542" i="4"/>
  <c r="J542" i="4" s="1"/>
  <c r="I539" i="4"/>
  <c r="J539" i="4" s="1"/>
  <c r="I536" i="4"/>
  <c r="J536" i="4" s="1"/>
  <c r="I535" i="4"/>
  <c r="J535" i="4" s="1"/>
  <c r="I532" i="4"/>
  <c r="J532" i="4" s="1"/>
  <c r="I534" i="4"/>
  <c r="J534" i="4" s="1"/>
  <c r="I533" i="4"/>
  <c r="J533" i="4" s="1"/>
  <c r="I537" i="4"/>
  <c r="J537" i="4" s="1"/>
  <c r="I531" i="4"/>
  <c r="J531" i="4" s="1"/>
  <c r="I538" i="4"/>
  <c r="J538" i="4" s="1"/>
  <c r="I529" i="4"/>
  <c r="J529" i="4" s="1"/>
  <c r="I530" i="4"/>
  <c r="J530" i="4" s="1"/>
  <c r="I527" i="4"/>
  <c r="J527" i="4" s="1"/>
  <c r="I528" i="4"/>
  <c r="J528" i="4" s="1"/>
  <c r="I526" i="4"/>
  <c r="J526" i="4" s="1"/>
  <c r="I525" i="4"/>
  <c r="J525" i="4" s="1"/>
  <c r="I524" i="4"/>
  <c r="J524" i="4" s="1"/>
  <c r="I519" i="4"/>
  <c r="J519" i="4" s="1"/>
  <c r="I512" i="4"/>
  <c r="J512" i="4" s="1"/>
  <c r="I517" i="4"/>
  <c r="J517" i="4" s="1"/>
  <c r="I516" i="4"/>
  <c r="J516" i="4" s="1"/>
  <c r="I523" i="4"/>
  <c r="J523" i="4" s="1"/>
  <c r="I520" i="4"/>
  <c r="J520" i="4" s="1"/>
  <c r="I515" i="4"/>
  <c r="J515" i="4" s="1"/>
  <c r="I518" i="4"/>
  <c r="J518" i="4" s="1"/>
  <c r="I514" i="4"/>
  <c r="J514" i="4" s="1"/>
  <c r="I521" i="4"/>
  <c r="J521" i="4" s="1"/>
  <c r="I522" i="4"/>
  <c r="J522" i="4" s="1"/>
  <c r="I513" i="4"/>
  <c r="J513" i="4" s="1"/>
  <c r="I511" i="4"/>
  <c r="J511" i="4" s="1"/>
  <c r="I502" i="4"/>
  <c r="J502" i="4" s="1"/>
  <c r="I508" i="4"/>
  <c r="J508" i="4" s="1"/>
  <c r="I505" i="4"/>
  <c r="J505" i="4" s="1"/>
  <c r="I510" i="4"/>
  <c r="J510" i="4" s="1"/>
  <c r="I501" i="4"/>
  <c r="J501" i="4" s="1"/>
  <c r="I504" i="4"/>
  <c r="J504" i="4" s="1"/>
  <c r="I509" i="4"/>
  <c r="J509" i="4" s="1"/>
  <c r="I507" i="4"/>
  <c r="J507" i="4" s="1"/>
  <c r="I503" i="4"/>
  <c r="J503" i="4" s="1"/>
  <c r="I506" i="4"/>
  <c r="J506" i="4" s="1"/>
  <c r="I499" i="4"/>
  <c r="J499" i="4" s="1"/>
  <c r="I500" i="4"/>
  <c r="J500" i="4" s="1"/>
  <c r="I496" i="4"/>
  <c r="J496" i="4" s="1"/>
  <c r="I495" i="4"/>
  <c r="J495" i="4" s="1"/>
  <c r="I497" i="4"/>
  <c r="J497" i="4" s="1"/>
  <c r="I498" i="4"/>
  <c r="J498" i="4" s="1"/>
  <c r="I490" i="4"/>
  <c r="J490" i="4" s="1"/>
  <c r="I493" i="4"/>
  <c r="J493" i="4" s="1"/>
  <c r="I489" i="4"/>
  <c r="J489" i="4" s="1"/>
  <c r="I492" i="4"/>
  <c r="J492" i="4" s="1"/>
  <c r="I494" i="4"/>
  <c r="J494" i="4" s="1"/>
  <c r="I491" i="4"/>
  <c r="J491" i="4" s="1"/>
  <c r="I483" i="4"/>
  <c r="J483" i="4" s="1"/>
  <c r="I482" i="4"/>
  <c r="J482" i="4" s="1"/>
  <c r="I484" i="4"/>
  <c r="J484" i="4" s="1"/>
  <c r="I487" i="4"/>
  <c r="J487" i="4" s="1"/>
  <c r="I486" i="4"/>
  <c r="J486" i="4" s="1"/>
  <c r="I488" i="4"/>
  <c r="J488" i="4" s="1"/>
  <c r="I485" i="4"/>
  <c r="J485" i="4" s="1"/>
  <c r="I476" i="4"/>
  <c r="J476" i="4" s="1"/>
  <c r="I479" i="4"/>
  <c r="J479" i="4" s="1"/>
  <c r="I480" i="4"/>
  <c r="J480" i="4" s="1"/>
  <c r="I475" i="4"/>
  <c r="J475" i="4" s="1"/>
  <c r="I477" i="4"/>
  <c r="J477" i="4" s="1"/>
  <c r="I478" i="4"/>
  <c r="J478" i="4" s="1"/>
  <c r="I481" i="4"/>
  <c r="J481" i="4" s="1"/>
  <c r="I469" i="4"/>
  <c r="J469" i="4" s="1"/>
  <c r="I473" i="4"/>
  <c r="J473" i="4" s="1"/>
  <c r="I470" i="4"/>
  <c r="J470" i="4" s="1"/>
  <c r="I474" i="4"/>
  <c r="J474" i="4" s="1"/>
  <c r="I471" i="4"/>
  <c r="J471" i="4" s="1"/>
  <c r="I472" i="4"/>
  <c r="J472" i="4" s="1"/>
  <c r="I468" i="4"/>
  <c r="J468" i="4" s="1"/>
  <c r="I467" i="4"/>
  <c r="J467" i="4" s="1"/>
  <c r="I462" i="4"/>
  <c r="J462" i="4" s="1"/>
  <c r="I463" i="4"/>
  <c r="J463" i="4" s="1"/>
  <c r="I465" i="4"/>
  <c r="J465" i="4" s="1"/>
  <c r="I461" i="4"/>
  <c r="J461" i="4" s="1"/>
  <c r="I464" i="4"/>
  <c r="J464" i="4" s="1"/>
  <c r="I466" i="4"/>
  <c r="J466" i="4" s="1"/>
  <c r="I459" i="4"/>
  <c r="J459" i="4" s="1"/>
  <c r="I455" i="4"/>
  <c r="J455" i="4" s="1"/>
  <c r="I456" i="4"/>
  <c r="J456" i="4" s="1"/>
  <c r="I457" i="4"/>
  <c r="J457" i="4" s="1"/>
  <c r="I458" i="4"/>
  <c r="J458" i="4" s="1"/>
  <c r="I460" i="4"/>
  <c r="J460" i="4" s="1"/>
  <c r="I451" i="4"/>
  <c r="J451" i="4" s="1"/>
  <c r="I453" i="4"/>
  <c r="J453" i="4" s="1"/>
  <c r="I454" i="4"/>
  <c r="J454" i="4" s="1"/>
  <c r="I449" i="4"/>
  <c r="J449" i="4" s="1"/>
  <c r="I450" i="4"/>
  <c r="J450" i="4" s="1"/>
  <c r="I452" i="4"/>
  <c r="J452" i="4" s="1"/>
  <c r="I448" i="4"/>
  <c r="J448" i="4" s="1"/>
  <c r="I444" i="4"/>
  <c r="J444" i="4" s="1"/>
  <c r="I441" i="4"/>
  <c r="J441" i="4" s="1"/>
  <c r="I447" i="4"/>
  <c r="J447" i="4" s="1"/>
  <c r="I442" i="4"/>
  <c r="J442" i="4" s="1"/>
  <c r="I446" i="4"/>
  <c r="J446" i="4" s="1"/>
  <c r="I443" i="4"/>
  <c r="J443" i="4" s="1"/>
  <c r="I445" i="4"/>
  <c r="J445" i="4" s="1"/>
  <c r="I437" i="4"/>
  <c r="J437" i="4" s="1"/>
  <c r="I434" i="4"/>
  <c r="J434" i="4" s="1"/>
  <c r="I439" i="4"/>
  <c r="J439" i="4" s="1"/>
  <c r="I432" i="4"/>
  <c r="J432" i="4" s="1"/>
  <c r="I440" i="4"/>
  <c r="J440" i="4" s="1"/>
  <c r="I438" i="4"/>
  <c r="J438" i="4" s="1"/>
  <c r="I431" i="4"/>
  <c r="J431" i="4" s="1"/>
  <c r="I436" i="4"/>
  <c r="J436" i="4" s="1"/>
  <c r="I435" i="4"/>
  <c r="J435" i="4" s="1"/>
  <c r="I433" i="4"/>
  <c r="J433" i="4" s="1"/>
  <c r="I428" i="4"/>
  <c r="J428" i="4" s="1"/>
  <c r="I425" i="4"/>
  <c r="J425" i="4" s="1"/>
  <c r="I429" i="4"/>
  <c r="J429" i="4" s="1"/>
  <c r="I426" i="4"/>
  <c r="J426" i="4" s="1"/>
  <c r="I430" i="4"/>
  <c r="J430" i="4" s="1"/>
  <c r="I427" i="4"/>
  <c r="J427" i="4" s="1"/>
  <c r="I415" i="4"/>
  <c r="J415" i="4" s="1"/>
  <c r="I424" i="4"/>
  <c r="J424" i="4" s="1"/>
  <c r="I422" i="4"/>
  <c r="J422" i="4" s="1"/>
  <c r="I418" i="4"/>
  <c r="J418" i="4" s="1"/>
  <c r="I419" i="4"/>
  <c r="J419" i="4" s="1"/>
  <c r="I417" i="4"/>
  <c r="J417" i="4" s="1"/>
  <c r="I416" i="4"/>
  <c r="J416" i="4" s="1"/>
  <c r="I414" i="4"/>
  <c r="J414" i="4" s="1"/>
  <c r="I421" i="4"/>
  <c r="J421" i="4" s="1"/>
  <c r="I420" i="4"/>
  <c r="J420" i="4" s="1"/>
  <c r="I423" i="4"/>
  <c r="J423" i="4" s="1"/>
  <c r="I412" i="4"/>
  <c r="J412" i="4" s="1"/>
  <c r="I410" i="4"/>
  <c r="J410" i="4" s="1"/>
  <c r="I413" i="4"/>
  <c r="J413" i="4" s="1"/>
  <c r="I411" i="4"/>
  <c r="J411" i="4" s="1"/>
  <c r="I409" i="4"/>
  <c r="J409" i="4" s="1"/>
  <c r="I407" i="4"/>
  <c r="J407" i="4" s="1"/>
  <c r="I403" i="4"/>
  <c r="J403" i="4" s="1"/>
  <c r="I406" i="4"/>
  <c r="J406" i="4" s="1"/>
  <c r="I404" i="4"/>
  <c r="J404" i="4" s="1"/>
  <c r="I402" i="4"/>
  <c r="J402" i="4" s="1"/>
  <c r="I405" i="4"/>
  <c r="J405" i="4" s="1"/>
  <c r="I408" i="4"/>
  <c r="J408" i="4" s="1"/>
  <c r="I396" i="4"/>
  <c r="J396" i="4" s="1"/>
  <c r="I395" i="4"/>
  <c r="J395" i="4" s="1"/>
  <c r="I391" i="4"/>
  <c r="J391" i="4" s="1"/>
  <c r="I394" i="4"/>
  <c r="J394" i="4" s="1"/>
  <c r="I401" i="4"/>
  <c r="J401" i="4" s="1"/>
  <c r="I400" i="4"/>
  <c r="J400" i="4" s="1"/>
  <c r="I393" i="4"/>
  <c r="J393" i="4" s="1"/>
  <c r="I398" i="4"/>
  <c r="J398" i="4" s="1"/>
  <c r="I399" i="4"/>
  <c r="J399" i="4" s="1"/>
  <c r="I392" i="4"/>
  <c r="J392" i="4" s="1"/>
  <c r="I397" i="4"/>
  <c r="J397" i="4" s="1"/>
  <c r="I388" i="4"/>
  <c r="J388" i="4" s="1"/>
  <c r="I387" i="4"/>
  <c r="J387" i="4" s="1"/>
  <c r="I389" i="4"/>
  <c r="J389" i="4" s="1"/>
  <c r="I390" i="4"/>
  <c r="J390" i="4" s="1"/>
  <c r="I386" i="4"/>
  <c r="J386" i="4" s="1"/>
  <c r="I380" i="4"/>
  <c r="J380" i="4" s="1"/>
  <c r="I384" i="4"/>
  <c r="J384" i="4" s="1"/>
  <c r="I381" i="4"/>
  <c r="J381" i="4" s="1"/>
  <c r="I385" i="4"/>
  <c r="J385" i="4" s="1"/>
  <c r="I379" i="4"/>
  <c r="J379" i="4" s="1"/>
  <c r="I382" i="4"/>
  <c r="J382" i="4" s="1"/>
  <c r="I383" i="4"/>
  <c r="J383" i="4" s="1"/>
  <c r="I378" i="4"/>
  <c r="J378" i="4" s="1"/>
  <c r="I376" i="4"/>
  <c r="J376" i="4" s="1"/>
  <c r="I377" i="4"/>
  <c r="J377" i="4" s="1"/>
  <c r="I371" i="4"/>
  <c r="J371" i="4" s="1"/>
  <c r="I374" i="4"/>
  <c r="J374" i="4" s="1"/>
  <c r="I369" i="4"/>
  <c r="J369" i="4" s="1"/>
  <c r="I372" i="4"/>
  <c r="J372" i="4" s="1"/>
  <c r="I370" i="4"/>
  <c r="J370" i="4" s="1"/>
  <c r="I375" i="4"/>
  <c r="J375" i="4" s="1"/>
  <c r="I373" i="4"/>
  <c r="J373" i="4" s="1"/>
  <c r="I367" i="4"/>
  <c r="J367" i="4" s="1"/>
  <c r="I368" i="4"/>
  <c r="J368" i="4" s="1"/>
  <c r="I366" i="4"/>
  <c r="J366" i="4" s="1"/>
  <c r="I361" i="4"/>
  <c r="J361" i="4" s="1"/>
  <c r="I363" i="4"/>
  <c r="J363" i="4" s="1"/>
  <c r="I365" i="4"/>
  <c r="J365" i="4" s="1"/>
  <c r="I364" i="4"/>
  <c r="J364" i="4" s="1"/>
  <c r="I358" i="4"/>
  <c r="J358" i="4" s="1"/>
  <c r="I360" i="4"/>
  <c r="J360" i="4" s="1"/>
  <c r="I359" i="4"/>
  <c r="J359" i="4" s="1"/>
  <c r="I362" i="4"/>
  <c r="J362" i="4" s="1"/>
  <c r="I352" i="4"/>
  <c r="J352" i="4" s="1"/>
  <c r="I354" i="4"/>
  <c r="J354" i="4" s="1"/>
  <c r="I357" i="4"/>
  <c r="J357" i="4" s="1"/>
  <c r="I355" i="4"/>
  <c r="J355" i="4" s="1"/>
  <c r="I356" i="4"/>
  <c r="J356" i="4" s="1"/>
  <c r="I353" i="4"/>
  <c r="J353" i="4" s="1"/>
  <c r="I351" i="4"/>
  <c r="J351" i="4" s="1"/>
  <c r="I345" i="4"/>
  <c r="J345" i="4" s="1"/>
  <c r="I350" i="4"/>
  <c r="J350" i="4" s="1"/>
  <c r="I344" i="4"/>
  <c r="J344" i="4" s="1"/>
  <c r="I346" i="4"/>
  <c r="J346" i="4" s="1"/>
  <c r="I349" i="4"/>
  <c r="J349" i="4" s="1"/>
  <c r="I347" i="4"/>
  <c r="J347" i="4" s="1"/>
  <c r="I348" i="4"/>
  <c r="J348" i="4" s="1"/>
  <c r="I336" i="4"/>
  <c r="J336" i="4" s="1"/>
  <c r="I343" i="4"/>
  <c r="J343" i="4" s="1"/>
  <c r="I341" i="4"/>
  <c r="J341" i="4" s="1"/>
  <c r="I340" i="4"/>
  <c r="J340" i="4" s="1"/>
  <c r="I337" i="4"/>
  <c r="J337" i="4" s="1"/>
  <c r="I338" i="4"/>
  <c r="J338" i="4" s="1"/>
  <c r="I339" i="4"/>
  <c r="J339" i="4" s="1"/>
  <c r="I342" i="4"/>
  <c r="J342" i="4" s="1"/>
  <c r="I335" i="4"/>
  <c r="J335" i="4" s="1"/>
  <c r="I334" i="4"/>
  <c r="J334" i="4" s="1"/>
  <c r="I333" i="4"/>
  <c r="J333" i="4" s="1"/>
  <c r="I332" i="4"/>
  <c r="J332" i="4" s="1"/>
  <c r="I327" i="4"/>
  <c r="J327" i="4" s="1"/>
  <c r="I328" i="4"/>
  <c r="J328" i="4" s="1"/>
  <c r="I325" i="4"/>
  <c r="J325" i="4" s="1"/>
  <c r="I330" i="4"/>
  <c r="J330" i="4" s="1"/>
  <c r="I331" i="4"/>
  <c r="J331" i="4" s="1"/>
  <c r="I329" i="4"/>
  <c r="J329" i="4" s="1"/>
  <c r="I326" i="4"/>
  <c r="J326" i="4" s="1"/>
  <c r="I323" i="4"/>
  <c r="J323" i="4" s="1"/>
  <c r="I324" i="4"/>
  <c r="J324" i="4" s="1"/>
  <c r="I320" i="4"/>
  <c r="J320" i="4" s="1"/>
  <c r="I321" i="4"/>
  <c r="J321" i="4" s="1"/>
  <c r="I322" i="4"/>
  <c r="J322" i="4" s="1"/>
  <c r="I319" i="4"/>
  <c r="J319" i="4" s="1"/>
  <c r="I314" i="4"/>
  <c r="J314" i="4" s="1"/>
  <c r="I316" i="4"/>
  <c r="J316" i="4" s="1"/>
  <c r="I318" i="4"/>
  <c r="J318" i="4" s="1"/>
  <c r="I317" i="4"/>
  <c r="J317" i="4" s="1"/>
  <c r="I315" i="4"/>
  <c r="J315" i="4" s="1"/>
  <c r="I311" i="4"/>
  <c r="J311" i="4" s="1"/>
  <c r="I312" i="4"/>
  <c r="J312" i="4" s="1"/>
  <c r="I313" i="4"/>
  <c r="J313" i="4" s="1"/>
  <c r="I310" i="4"/>
  <c r="J310" i="4" s="1"/>
  <c r="I306" i="4"/>
  <c r="J306" i="4" s="1"/>
  <c r="I309" i="4"/>
  <c r="J309" i="4" s="1"/>
  <c r="I307" i="4"/>
  <c r="J307" i="4" s="1"/>
  <c r="I305" i="4"/>
  <c r="J305" i="4" s="1"/>
  <c r="I308" i="4"/>
  <c r="J308" i="4" s="1"/>
  <c r="I304" i="4"/>
  <c r="J304" i="4" s="1"/>
  <c r="I303" i="4"/>
  <c r="J303" i="4" s="1"/>
  <c r="I301" i="4"/>
  <c r="J301" i="4" s="1"/>
  <c r="I302" i="4"/>
  <c r="J302" i="4" s="1"/>
  <c r="I300" i="4"/>
  <c r="J300" i="4" s="1"/>
  <c r="I299" i="4"/>
  <c r="J299" i="4" s="1"/>
  <c r="I296" i="4"/>
  <c r="J296" i="4" s="1"/>
  <c r="I297" i="4"/>
  <c r="J297" i="4" s="1"/>
  <c r="I298" i="4"/>
  <c r="J298" i="4" s="1"/>
  <c r="I291" i="4"/>
  <c r="J291" i="4" s="1"/>
  <c r="I295" i="4"/>
  <c r="J295" i="4" s="1"/>
  <c r="I292" i="4"/>
  <c r="J292" i="4" s="1"/>
  <c r="I290" i="4"/>
  <c r="J290" i="4" s="1"/>
  <c r="I294" i="4"/>
  <c r="J294" i="4" s="1"/>
  <c r="I293" i="4"/>
  <c r="J293" i="4" s="1"/>
  <c r="I289" i="4"/>
  <c r="J289" i="4" s="1"/>
  <c r="I286" i="4"/>
  <c r="J286" i="4" s="1"/>
  <c r="I287" i="4"/>
  <c r="J287" i="4" s="1"/>
  <c r="I285" i="4"/>
  <c r="J285" i="4" s="1"/>
  <c r="I288" i="4"/>
  <c r="J288" i="4" s="1"/>
  <c r="I284" i="4"/>
  <c r="J284" i="4" s="1"/>
  <c r="I281" i="4"/>
  <c r="J281" i="4" s="1"/>
  <c r="I279" i="4"/>
  <c r="J279" i="4" s="1"/>
  <c r="I282" i="4"/>
  <c r="J282" i="4" s="1"/>
  <c r="I280" i="4"/>
  <c r="J280" i="4" s="1"/>
  <c r="I283" i="4"/>
  <c r="J283" i="4" s="1"/>
  <c r="I276" i="4"/>
  <c r="J276" i="4" s="1"/>
  <c r="I275" i="4"/>
  <c r="J275" i="4" s="1"/>
  <c r="I273" i="4"/>
  <c r="J273" i="4" s="1"/>
  <c r="I274" i="4"/>
  <c r="J274" i="4" s="1"/>
  <c r="I272" i="4"/>
  <c r="J272" i="4" s="1"/>
  <c r="I277" i="4"/>
  <c r="J277" i="4" s="1"/>
  <c r="I278" i="4"/>
  <c r="J278" i="4" s="1"/>
  <c r="I269" i="4"/>
  <c r="J269" i="4" s="1"/>
  <c r="I267" i="4"/>
  <c r="J267" i="4" s="1"/>
  <c r="I266" i="4"/>
  <c r="J266" i="4" s="1"/>
  <c r="I265" i="4"/>
  <c r="J265" i="4" s="1"/>
  <c r="I271" i="4"/>
  <c r="J271" i="4" s="1"/>
  <c r="I268" i="4"/>
  <c r="J268" i="4" s="1"/>
  <c r="I270" i="4"/>
  <c r="J270" i="4" s="1"/>
  <c r="I264" i="4"/>
  <c r="J264" i="4" s="1"/>
  <c r="I261" i="4"/>
  <c r="J261" i="4" s="1"/>
  <c r="I259" i="4"/>
  <c r="J259" i="4" s="1"/>
  <c r="I258" i="4"/>
  <c r="J258" i="4" s="1"/>
  <c r="I262" i="4"/>
  <c r="J262" i="4" s="1"/>
  <c r="I260" i="4"/>
  <c r="J260" i="4" s="1"/>
  <c r="I263" i="4"/>
  <c r="J263" i="4" s="1"/>
  <c r="I248" i="4"/>
  <c r="J248" i="4" s="1"/>
  <c r="I251" i="4"/>
  <c r="J251" i="4" s="1"/>
  <c r="I256" i="4"/>
  <c r="J256" i="4" s="1"/>
  <c r="I252" i="4"/>
  <c r="J252" i="4" s="1"/>
  <c r="I254" i="4"/>
  <c r="J254" i="4" s="1"/>
  <c r="I246" i="4"/>
  <c r="J246" i="4" s="1"/>
  <c r="I247" i="4"/>
  <c r="J247" i="4" s="1"/>
  <c r="I255" i="4"/>
  <c r="J255" i="4" s="1"/>
  <c r="I250" i="4"/>
  <c r="J250" i="4" s="1"/>
  <c r="I253" i="4"/>
  <c r="J253" i="4" s="1"/>
  <c r="I257" i="4"/>
  <c r="J257" i="4" s="1"/>
  <c r="I249" i="4"/>
  <c r="J249" i="4" s="1"/>
  <c r="I241" i="4"/>
  <c r="J241" i="4" s="1"/>
  <c r="I244" i="4"/>
  <c r="J244" i="4" s="1"/>
  <c r="I242" i="4"/>
  <c r="J242" i="4" s="1"/>
  <c r="I245" i="4"/>
  <c r="J245" i="4" s="1"/>
  <c r="I243" i="4"/>
  <c r="J243" i="4" s="1"/>
  <c r="I239" i="4"/>
  <c r="J239" i="4" s="1"/>
  <c r="I240" i="4"/>
  <c r="J240" i="4" s="1"/>
  <c r="I229" i="4"/>
  <c r="J229" i="4" s="1"/>
  <c r="I236" i="4"/>
  <c r="J236" i="4" s="1"/>
  <c r="I231" i="4"/>
  <c r="J231" i="4" s="1"/>
  <c r="I230" i="4"/>
  <c r="J230" i="4" s="1"/>
  <c r="I238" i="4"/>
  <c r="J238" i="4" s="1"/>
  <c r="I227" i="4"/>
  <c r="J227" i="4" s="1"/>
  <c r="I233" i="4"/>
  <c r="J233" i="4" s="1"/>
  <c r="I232" i="4"/>
  <c r="J232" i="4" s="1"/>
  <c r="I235" i="4"/>
  <c r="J235" i="4" s="1"/>
  <c r="I237" i="4"/>
  <c r="J237" i="4" s="1"/>
  <c r="I226" i="4"/>
  <c r="J226" i="4" s="1"/>
  <c r="I234" i="4"/>
  <c r="J234" i="4" s="1"/>
  <c r="I228" i="4"/>
  <c r="J228" i="4" s="1"/>
  <c r="I221" i="4"/>
  <c r="J221" i="4" s="1"/>
  <c r="I224" i="4"/>
  <c r="J224" i="4" s="1"/>
  <c r="I218" i="4"/>
  <c r="J218" i="4" s="1"/>
  <c r="I225" i="4"/>
  <c r="J225" i="4" s="1"/>
  <c r="I219" i="4"/>
  <c r="J219" i="4" s="1"/>
  <c r="I222" i="4"/>
  <c r="J222" i="4" s="1"/>
  <c r="I223" i="4"/>
  <c r="J223" i="4" s="1"/>
  <c r="I220" i="4"/>
  <c r="J220" i="4" s="1"/>
  <c r="I214" i="4"/>
  <c r="J214" i="4" s="1"/>
  <c r="I216" i="4"/>
  <c r="J216" i="4" s="1"/>
  <c r="I211" i="4"/>
  <c r="J211" i="4" s="1"/>
  <c r="I217" i="4"/>
  <c r="J217" i="4" s="1"/>
  <c r="I212" i="4"/>
  <c r="J212" i="4" s="1"/>
  <c r="I213" i="4"/>
  <c r="J213" i="4" s="1"/>
  <c r="I215" i="4"/>
  <c r="J215" i="4" s="1"/>
  <c r="I206" i="4"/>
  <c r="J206" i="4" s="1"/>
  <c r="I210" i="4"/>
  <c r="J210" i="4" s="1"/>
  <c r="I208" i="4"/>
  <c r="J208" i="4" s="1"/>
  <c r="I209" i="4"/>
  <c r="J209" i="4" s="1"/>
  <c r="I207" i="4"/>
  <c r="J207" i="4" s="1"/>
  <c r="I201" i="4"/>
  <c r="J201" i="4" s="1"/>
  <c r="I203" i="4"/>
  <c r="J203" i="4" s="1"/>
  <c r="I204" i="4"/>
  <c r="J204" i="4" s="1"/>
  <c r="I199" i="4"/>
  <c r="J199" i="4" s="1"/>
  <c r="I198" i="4"/>
  <c r="J198" i="4" s="1"/>
  <c r="I200" i="4"/>
  <c r="J200" i="4" s="1"/>
  <c r="I202" i="4"/>
  <c r="J202" i="4" s="1"/>
  <c r="I205" i="4"/>
  <c r="J205" i="4" s="1"/>
  <c r="I196" i="4"/>
  <c r="J196" i="4" s="1"/>
  <c r="I197" i="4"/>
  <c r="J197" i="4" s="1"/>
  <c r="I195" i="4"/>
  <c r="J195" i="4" s="1"/>
  <c r="I192" i="4"/>
  <c r="J192" i="4" s="1"/>
  <c r="I194" i="4"/>
  <c r="J194" i="4" s="1"/>
  <c r="I193" i="4"/>
  <c r="J193" i="4" s="1"/>
  <c r="I191" i="4"/>
  <c r="J191" i="4" s="1"/>
  <c r="I185" i="4"/>
  <c r="J185" i="4" s="1"/>
  <c r="I187" i="4"/>
  <c r="J187" i="4" s="1"/>
  <c r="I188" i="4"/>
  <c r="J188" i="4" s="1"/>
  <c r="I184" i="4"/>
  <c r="J184" i="4" s="1"/>
  <c r="I190" i="4"/>
  <c r="J190" i="4" s="1"/>
  <c r="I189" i="4"/>
  <c r="J189" i="4" s="1"/>
  <c r="I182" i="4"/>
  <c r="J182" i="4" s="1"/>
  <c r="I183" i="4"/>
  <c r="J183" i="4" s="1"/>
  <c r="I186" i="4"/>
  <c r="J186" i="4" s="1"/>
  <c r="I179" i="4"/>
  <c r="J179" i="4" s="1"/>
  <c r="I178" i="4"/>
  <c r="J178" i="4" s="1"/>
  <c r="I181" i="4"/>
  <c r="J181" i="4" s="1"/>
  <c r="I180" i="4"/>
  <c r="J180" i="4" s="1"/>
  <c r="I168" i="4"/>
  <c r="J168" i="4" s="1"/>
  <c r="I169" i="4"/>
  <c r="J169" i="4" s="1"/>
  <c r="I171" i="4"/>
  <c r="J171" i="4" s="1"/>
  <c r="I167" i="4"/>
  <c r="J167" i="4" s="1"/>
  <c r="I176" i="4"/>
  <c r="J176" i="4" s="1"/>
  <c r="I173" i="4"/>
  <c r="J173" i="4" s="1"/>
  <c r="I170" i="4"/>
  <c r="J170" i="4" s="1"/>
  <c r="I172" i="4"/>
  <c r="J172" i="4" s="1"/>
  <c r="I164" i="4"/>
  <c r="J164" i="4" s="1"/>
  <c r="I165" i="4"/>
  <c r="J165" i="4" s="1"/>
  <c r="I177" i="4"/>
  <c r="J177" i="4" s="1"/>
  <c r="I166" i="4"/>
  <c r="J166" i="4" s="1"/>
  <c r="I175" i="4"/>
  <c r="J175" i="4" s="1"/>
  <c r="I174" i="4"/>
  <c r="J174" i="4" s="1"/>
  <c r="I161" i="4"/>
  <c r="J161" i="4" s="1"/>
  <c r="I162" i="4"/>
  <c r="J162" i="4" s="1"/>
  <c r="I158" i="4"/>
  <c r="J158" i="4" s="1"/>
  <c r="I159" i="4"/>
  <c r="J159" i="4" s="1"/>
  <c r="I163" i="4"/>
  <c r="J163" i="4" s="1"/>
  <c r="I160" i="4"/>
  <c r="J160" i="4" s="1"/>
  <c r="I157" i="4"/>
  <c r="J157" i="4" s="1"/>
  <c r="I155" i="4"/>
  <c r="J155" i="4" s="1"/>
  <c r="I151" i="4"/>
  <c r="J151" i="4" s="1"/>
  <c r="I154" i="4"/>
  <c r="J154" i="4" s="1"/>
  <c r="I153" i="4"/>
  <c r="J153" i="4" s="1"/>
  <c r="I156" i="4"/>
  <c r="J156" i="4" s="1"/>
  <c r="I150" i="4"/>
  <c r="J150" i="4" s="1"/>
  <c r="I152" i="4"/>
  <c r="J152" i="4" s="1"/>
  <c r="I141" i="4"/>
  <c r="J141" i="4" s="1"/>
  <c r="I143" i="4"/>
  <c r="J143" i="4" s="1"/>
  <c r="I145" i="4"/>
  <c r="J145" i="4" s="1"/>
  <c r="I138" i="4"/>
  <c r="J138" i="4" s="1"/>
  <c r="I144" i="4"/>
  <c r="J144" i="4" s="1"/>
  <c r="I147" i="4"/>
  <c r="J147" i="4" s="1"/>
  <c r="I146" i="4"/>
  <c r="J146" i="4" s="1"/>
  <c r="I140" i="4"/>
  <c r="J140" i="4" s="1"/>
  <c r="I148" i="4"/>
  <c r="J148" i="4" s="1"/>
  <c r="I142" i="4"/>
  <c r="J142" i="4" s="1"/>
  <c r="I149" i="4"/>
  <c r="J149" i="4" s="1"/>
  <c r="I139" i="4"/>
  <c r="J139" i="4" s="1"/>
  <c r="I136" i="4"/>
  <c r="J136" i="4" s="1"/>
  <c r="I137" i="4"/>
  <c r="J137" i="4" s="1"/>
  <c r="I135" i="4"/>
  <c r="J135" i="4" s="1"/>
  <c r="I134" i="4"/>
  <c r="J134" i="4" s="1"/>
  <c r="I130" i="4"/>
  <c r="J130" i="4" s="1"/>
  <c r="I132" i="4"/>
  <c r="J132" i="4" s="1"/>
  <c r="I133" i="4"/>
  <c r="J133" i="4" s="1"/>
  <c r="I131" i="4"/>
  <c r="J131" i="4" s="1"/>
  <c r="I129" i="4"/>
  <c r="J129" i="4" s="1"/>
  <c r="I127" i="4"/>
  <c r="J127" i="4" s="1"/>
  <c r="I128" i="4"/>
  <c r="J128" i="4" s="1"/>
  <c r="I124" i="4"/>
  <c r="J124" i="4" s="1"/>
  <c r="I122" i="4"/>
  <c r="J122" i="4" s="1"/>
  <c r="I121" i="4"/>
  <c r="J121" i="4" s="1"/>
  <c r="I123" i="4"/>
  <c r="J123" i="4" s="1"/>
  <c r="I125" i="4"/>
  <c r="J125" i="4" s="1"/>
  <c r="I126" i="4"/>
  <c r="J126" i="4" s="1"/>
  <c r="I120" i="4"/>
  <c r="J120" i="4" s="1"/>
  <c r="I114" i="4"/>
  <c r="J114" i="4" s="1"/>
  <c r="I117" i="4"/>
  <c r="J117" i="4" s="1"/>
  <c r="I115" i="4"/>
  <c r="J115" i="4" s="1"/>
  <c r="I113" i="4"/>
  <c r="J113" i="4" s="1"/>
  <c r="I118" i="4"/>
  <c r="J118" i="4" s="1"/>
  <c r="I112" i="4"/>
  <c r="J112" i="4" s="1"/>
  <c r="I119" i="4"/>
  <c r="J119" i="4" s="1"/>
  <c r="I116" i="4"/>
  <c r="J116" i="4" s="1"/>
  <c r="I109" i="4"/>
  <c r="J109" i="4" s="1"/>
  <c r="I111" i="4"/>
  <c r="J111" i="4" s="1"/>
  <c r="I110" i="4"/>
  <c r="J110" i="4" s="1"/>
  <c r="I108" i="4"/>
  <c r="J108" i="4" s="1"/>
  <c r="I107" i="4"/>
  <c r="J107" i="4" s="1"/>
  <c r="I106" i="4"/>
  <c r="J106" i="4" s="1"/>
  <c r="I104" i="4"/>
  <c r="J104" i="4" s="1"/>
  <c r="I103" i="4"/>
  <c r="J103" i="4" s="1"/>
  <c r="I105" i="4"/>
  <c r="J105" i="4" s="1"/>
  <c r="I101" i="4"/>
  <c r="J101" i="4" s="1"/>
  <c r="I102" i="4"/>
  <c r="J102" i="4" s="1"/>
  <c r="I99" i="4"/>
  <c r="J99" i="4" s="1"/>
  <c r="I98" i="4"/>
  <c r="J98" i="4" s="1"/>
  <c r="I96" i="4"/>
  <c r="J96" i="4" s="1"/>
  <c r="I100" i="4"/>
  <c r="J100" i="4" s="1"/>
  <c r="I97" i="4"/>
  <c r="J97" i="4" s="1"/>
  <c r="I95" i="4"/>
  <c r="J95" i="4" s="1"/>
  <c r="I94" i="4"/>
  <c r="J94" i="4" s="1"/>
  <c r="I93" i="4"/>
  <c r="J93" i="4" s="1"/>
  <c r="I92" i="4"/>
  <c r="J92" i="4" s="1"/>
  <c r="I88" i="4"/>
  <c r="J88" i="4" s="1"/>
  <c r="I81" i="4"/>
  <c r="J81" i="4" s="1"/>
  <c r="I79" i="4"/>
  <c r="J79" i="4" s="1"/>
  <c r="I80" i="4"/>
  <c r="J80" i="4" s="1"/>
  <c r="I90" i="4"/>
  <c r="J90" i="4" s="1"/>
  <c r="I83" i="4"/>
  <c r="J83" i="4" s="1"/>
  <c r="I89" i="4"/>
  <c r="J89" i="4" s="1"/>
  <c r="I82" i="4"/>
  <c r="J82" i="4" s="1"/>
  <c r="I84" i="4"/>
  <c r="J84" i="4" s="1"/>
  <c r="I91" i="4"/>
  <c r="J91" i="4" s="1"/>
  <c r="I86" i="4"/>
  <c r="J86" i="4" s="1"/>
  <c r="I85" i="4"/>
  <c r="J85" i="4" s="1"/>
  <c r="I76" i="4"/>
  <c r="J76" i="4" s="1"/>
  <c r="I77" i="4"/>
  <c r="J77" i="4" s="1"/>
  <c r="I78" i="4"/>
  <c r="J78" i="4" s="1"/>
  <c r="I87" i="4"/>
  <c r="J87" i="4" s="1"/>
  <c r="I72" i="4"/>
  <c r="J72" i="4" s="1"/>
  <c r="I74" i="4"/>
  <c r="J74" i="4" s="1"/>
  <c r="I70" i="4"/>
  <c r="J70" i="4" s="1"/>
  <c r="I71" i="4"/>
  <c r="J71" i="4" s="1"/>
  <c r="I69" i="4"/>
  <c r="J69" i="4" s="1"/>
  <c r="I75" i="4"/>
  <c r="J75" i="4" s="1"/>
  <c r="I73" i="4"/>
  <c r="J73" i="4" s="1"/>
  <c r="I65" i="4"/>
  <c r="J65" i="4" s="1"/>
  <c r="I66" i="4"/>
  <c r="J66" i="4" s="1"/>
  <c r="I67" i="4"/>
  <c r="J67" i="4" s="1"/>
  <c r="I68" i="4"/>
  <c r="J68" i="4" s="1"/>
  <c r="I56" i="4"/>
  <c r="J56" i="4" s="1"/>
  <c r="I57" i="4"/>
  <c r="J57" i="4" s="1"/>
  <c r="I59" i="4"/>
  <c r="J59" i="4" s="1"/>
  <c r="I64" i="4"/>
  <c r="J64" i="4" s="1"/>
  <c r="I61" i="4"/>
  <c r="J61" i="4" s="1"/>
  <c r="I60" i="4"/>
  <c r="J60" i="4" s="1"/>
  <c r="I55" i="4"/>
  <c r="J55" i="4" s="1"/>
  <c r="I63" i="4"/>
  <c r="J63" i="4" s="1"/>
  <c r="I58" i="4"/>
  <c r="J58" i="4" s="1"/>
  <c r="I62" i="4"/>
  <c r="J62" i="4" s="1"/>
  <c r="I54" i="4"/>
  <c r="J54" i="4" s="1"/>
  <c r="I53" i="4"/>
  <c r="J53" i="4" s="1"/>
  <c r="I50" i="4"/>
  <c r="J50" i="4" s="1"/>
  <c r="I47" i="4"/>
  <c r="J47" i="4" s="1"/>
  <c r="I51" i="4"/>
  <c r="J51" i="4" s="1"/>
  <c r="I52" i="4"/>
  <c r="J52" i="4" s="1"/>
  <c r="I48" i="4"/>
  <c r="J48" i="4" s="1"/>
  <c r="I49" i="4"/>
  <c r="J49" i="4" s="1"/>
  <c r="I45" i="4"/>
  <c r="J45" i="4" s="1"/>
  <c r="I41" i="4"/>
  <c r="J41" i="4" s="1"/>
  <c r="I44" i="4"/>
  <c r="J44" i="4" s="1"/>
  <c r="I40" i="4"/>
  <c r="J40" i="4" s="1"/>
  <c r="I46" i="4"/>
  <c r="J46" i="4" s="1"/>
  <c r="I43" i="4"/>
  <c r="J43" i="4" s="1"/>
  <c r="I42" i="4"/>
  <c r="J42" i="4" s="1"/>
  <c r="I39" i="4"/>
  <c r="J39" i="4" s="1"/>
  <c r="I38" i="4"/>
  <c r="J38" i="4" s="1"/>
  <c r="I32" i="4"/>
  <c r="J32" i="4" s="1"/>
  <c r="I36" i="4"/>
  <c r="J36" i="4" s="1"/>
  <c r="I29" i="4"/>
  <c r="J29" i="4" s="1"/>
  <c r="I35" i="4"/>
  <c r="J35" i="4" s="1"/>
  <c r="I28" i="4"/>
  <c r="J28" i="4" s="1"/>
  <c r="I33" i="4"/>
  <c r="J33" i="4" s="1"/>
  <c r="I37" i="4"/>
  <c r="J37" i="4" s="1"/>
  <c r="I31" i="4"/>
  <c r="J31" i="4" s="1"/>
  <c r="I30" i="4"/>
  <c r="J30" i="4" s="1"/>
  <c r="I34" i="4"/>
  <c r="J34" i="4" s="1"/>
  <c r="I21" i="4"/>
  <c r="J21" i="4" s="1"/>
  <c r="I24" i="4"/>
  <c r="J24" i="4" s="1"/>
  <c r="I26" i="4"/>
  <c r="J26" i="4" s="1"/>
  <c r="I27" i="4"/>
  <c r="J27" i="4" s="1"/>
  <c r="I23" i="4"/>
  <c r="J23" i="4" s="1"/>
  <c r="I25" i="4"/>
  <c r="J25" i="4" s="1"/>
  <c r="I22" i="4"/>
  <c r="J22" i="4" s="1"/>
  <c r="I17" i="4"/>
  <c r="J17" i="4" s="1"/>
  <c r="I18" i="4"/>
  <c r="J18" i="4" s="1"/>
  <c r="I20" i="4"/>
  <c r="J20" i="4" s="1"/>
  <c r="I16" i="4"/>
  <c r="J16" i="4" s="1"/>
  <c r="I19" i="4"/>
  <c r="J19" i="4" s="1"/>
  <c r="I14" i="4"/>
  <c r="J14" i="4" s="1"/>
  <c r="I13" i="4"/>
  <c r="J13" i="4" s="1"/>
  <c r="I15" i="4"/>
  <c r="J15" i="4" s="1"/>
  <c r="I11" i="4"/>
  <c r="J11" i="4" s="1"/>
  <c r="I9" i="4"/>
  <c r="J9" i="4" s="1"/>
  <c r="I10" i="4"/>
  <c r="J10" i="4" s="1"/>
  <c r="I12" i="4"/>
  <c r="J12" i="4" s="1"/>
  <c r="I6" i="4"/>
  <c r="J6" i="4" s="1"/>
  <c r="I5" i="4"/>
  <c r="J5" i="4" s="1"/>
  <c r="I7" i="4"/>
  <c r="J7" i="4" s="1"/>
  <c r="I8" i="4"/>
  <c r="J8" i="4" s="1"/>
  <c r="I54" i="3"/>
  <c r="I53" i="3"/>
  <c r="I52" i="3"/>
  <c r="I42" i="3"/>
  <c r="I40" i="3"/>
  <c r="I34" i="3"/>
  <c r="I33" i="3"/>
  <c r="I32" i="3"/>
  <c r="I31" i="3"/>
  <c r="I30" i="3"/>
  <c r="I29" i="3"/>
  <c r="I20" i="3"/>
  <c r="I19" i="3"/>
  <c r="I18" i="3"/>
  <c r="I17" i="3"/>
  <c r="I16" i="3"/>
  <c r="I11" i="3"/>
  <c r="I10" i="3"/>
  <c r="I9" i="3"/>
  <c r="I8" i="3"/>
  <c r="I7" i="3"/>
  <c r="I6" i="3"/>
  <c r="I5" i="3"/>
  <c r="J21" i="2" l="1"/>
  <c r="J20" i="2"/>
  <c r="K20" i="2" s="1"/>
  <c r="J40" i="2"/>
  <c r="F39" i="2"/>
  <c r="G39" i="2" s="1"/>
  <c r="G39" i="3" s="1"/>
  <c r="F38" i="2"/>
  <c r="F38" i="3" s="1"/>
  <c r="F51" i="2"/>
  <c r="F51" i="3" s="1"/>
  <c r="J19" i="2"/>
  <c r="K19" i="2" s="1"/>
  <c r="F29" i="2"/>
  <c r="G29" i="2" s="1"/>
  <c r="H29" i="2" s="1"/>
  <c r="F26" i="2"/>
  <c r="G26" i="2" s="1"/>
  <c r="H26" i="2" s="1"/>
  <c r="F16" i="2"/>
  <c r="G16" i="2" s="1"/>
  <c r="G16" i="3" s="1"/>
  <c r="F41" i="2"/>
  <c r="F41" i="3" s="1"/>
  <c r="F15" i="2"/>
  <c r="G15" i="2" s="1"/>
  <c r="H15" i="2" s="1"/>
  <c r="F40" i="2"/>
  <c r="G40" i="2" s="1"/>
  <c r="G40" i="3" s="1"/>
  <c r="F54" i="3"/>
  <c r="F49" i="2"/>
  <c r="G49" i="2" s="1"/>
  <c r="F25" i="2"/>
  <c r="G25" i="2" s="1"/>
  <c r="G25" i="3" s="1"/>
  <c r="F36" i="2"/>
  <c r="G36" i="2" s="1"/>
  <c r="H36" i="2" s="1"/>
  <c r="F12" i="2"/>
  <c r="F12" i="3" s="1"/>
  <c r="F47" i="2"/>
  <c r="G47" i="2" s="1"/>
  <c r="F23" i="2"/>
  <c r="F23" i="3" s="1"/>
  <c r="F10" i="2"/>
  <c r="G10" i="2" s="1"/>
  <c r="H10" i="2" s="1"/>
  <c r="F5" i="3"/>
  <c r="F53" i="3"/>
  <c r="G52" i="2"/>
  <c r="G52" i="3" s="1"/>
  <c r="G50" i="2"/>
  <c r="G50" i="3" s="1"/>
  <c r="F42" i="3"/>
  <c r="G19" i="2"/>
  <c r="H19" i="2" s="1"/>
  <c r="F6" i="3"/>
  <c r="F18" i="3"/>
  <c r="G44" i="2"/>
  <c r="G8" i="2"/>
  <c r="H8" i="2" s="1"/>
  <c r="G17" i="2"/>
  <c r="G17" i="3" s="1"/>
  <c r="G7" i="2"/>
  <c r="G7" i="3" s="1"/>
  <c r="F34" i="3"/>
  <c r="G31" i="2"/>
  <c r="H31" i="2" s="1"/>
  <c r="G21" i="2"/>
  <c r="G21" i="3" s="1"/>
  <c r="F32" i="3"/>
  <c r="G20" i="2"/>
  <c r="G20" i="3" s="1"/>
  <c r="G43" i="2"/>
  <c r="G43" i="3" s="1"/>
  <c r="G18" i="3"/>
  <c r="F9" i="3"/>
  <c r="G33" i="2"/>
  <c r="H33" i="2" s="1"/>
  <c r="G35" i="2"/>
  <c r="G35" i="3" s="1"/>
  <c r="G48" i="2"/>
  <c r="G48" i="3" s="1"/>
  <c r="F22" i="3"/>
  <c r="G46" i="2"/>
  <c r="G46" i="3" s="1"/>
  <c r="F24" i="3"/>
  <c r="E17" i="3"/>
  <c r="J17" i="3" s="1"/>
  <c r="E33" i="3"/>
  <c r="J33" i="3" s="1"/>
  <c r="F45" i="3"/>
  <c r="G11" i="2"/>
  <c r="G5" i="2"/>
  <c r="H5" i="2" s="1"/>
  <c r="G27" i="2"/>
  <c r="G27" i="3" s="1"/>
  <c r="G14" i="2"/>
  <c r="G14" i="3" s="1"/>
  <c r="F44" i="3"/>
  <c r="G28" i="2"/>
  <c r="G28" i="3" s="1"/>
  <c r="G13" i="2"/>
  <c r="H13" i="2" s="1"/>
  <c r="G30" i="2"/>
  <c r="G42" i="2"/>
  <c r="G37" i="2"/>
  <c r="G24" i="3"/>
  <c r="E29" i="3"/>
  <c r="J29" i="3" s="1"/>
  <c r="G22" i="3"/>
  <c r="G34" i="3"/>
  <c r="E5" i="3"/>
  <c r="J5" i="3" s="1"/>
  <c r="E27" i="3"/>
  <c r="J27" i="3" s="1"/>
  <c r="E42" i="3"/>
  <c r="J42" i="3" s="1"/>
  <c r="G54" i="3"/>
  <c r="E53" i="3"/>
  <c r="J53" i="3" s="1"/>
  <c r="E50" i="3"/>
  <c r="G32" i="3"/>
  <c r="E36" i="3"/>
  <c r="J36" i="3" s="1"/>
  <c r="G9" i="3"/>
  <c r="G45" i="3"/>
  <c r="E22" i="3"/>
  <c r="J22" i="3" s="1"/>
  <c r="E28" i="3"/>
  <c r="J28" i="3" s="1"/>
  <c r="E46" i="3"/>
  <c r="J46" i="3" s="1"/>
  <c r="E54" i="3"/>
  <c r="J54" i="3" s="1"/>
  <c r="E7" i="3"/>
  <c r="J7" i="3" s="1"/>
  <c r="E13" i="3"/>
  <c r="J13" i="3" s="1"/>
  <c r="E6" i="3"/>
  <c r="J6" i="3" s="1"/>
  <c r="E18" i="3"/>
  <c r="E12" i="3"/>
  <c r="E34" i="3"/>
  <c r="J34" i="3" s="1"/>
  <c r="J32" i="2"/>
  <c r="K32" i="2" s="1"/>
  <c r="E30" i="3"/>
  <c r="J30" i="3" s="1"/>
  <c r="E49" i="3"/>
  <c r="J49" i="3" s="1"/>
  <c r="J30" i="2"/>
  <c r="K30" i="2" s="1"/>
  <c r="J9" i="2"/>
  <c r="K9" i="2" s="1"/>
  <c r="K16" i="2"/>
  <c r="K40" i="2"/>
  <c r="J35" i="2"/>
  <c r="K35" i="2" s="1"/>
  <c r="J28" i="2"/>
  <c r="K28" i="2" s="1"/>
  <c r="E24" i="3"/>
  <c r="J24" i="3" s="1"/>
  <c r="J52" i="2"/>
  <c r="K52" i="2" s="1"/>
  <c r="J45" i="2"/>
  <c r="K45" i="2" s="1"/>
  <c r="E19" i="3"/>
  <c r="J19" i="3" s="1"/>
  <c r="J54" i="2"/>
  <c r="K54" i="2" s="1"/>
  <c r="E25" i="3"/>
  <c r="J25" i="3" s="1"/>
  <c r="E31" i="3"/>
  <c r="J31" i="3" s="1"/>
  <c r="K12" i="2"/>
  <c r="E37" i="3"/>
  <c r="J37" i="3" s="1"/>
  <c r="J41" i="2"/>
  <c r="K41" i="2" s="1"/>
  <c r="E41" i="3"/>
  <c r="J8" i="2"/>
  <c r="K8" i="2" s="1"/>
  <c r="J13" i="2"/>
  <c r="K13" i="2" s="1"/>
  <c r="H45" i="2"/>
  <c r="E10" i="3"/>
  <c r="H22" i="2"/>
  <c r="G53" i="3"/>
  <c r="H47" i="2"/>
  <c r="H53" i="2"/>
  <c r="H54" i="2"/>
  <c r="H32" i="2"/>
  <c r="H39" i="2"/>
  <c r="E11" i="3"/>
  <c r="E8" i="3"/>
  <c r="J18" i="2"/>
  <c r="K18" i="2" s="1"/>
  <c r="J53" i="2"/>
  <c r="K53" i="2" s="1"/>
  <c r="E47" i="3"/>
  <c r="I26" i="3"/>
  <c r="J37" i="2"/>
  <c r="K37" i="2" s="1"/>
  <c r="J24" i="2"/>
  <c r="K24" i="2" s="1"/>
  <c r="H24" i="2"/>
  <c r="E40" i="3"/>
  <c r="J51" i="2"/>
  <c r="K51" i="2" s="1"/>
  <c r="I15" i="3"/>
  <c r="I12" i="3"/>
  <c r="I13" i="3"/>
  <c r="I44" i="3"/>
  <c r="I45" i="3"/>
  <c r="J27" i="2"/>
  <c r="K27" i="2" s="1"/>
  <c r="I46" i="3"/>
  <c r="I49" i="3"/>
  <c r="I50" i="3"/>
  <c r="E39" i="3"/>
  <c r="J39" i="3" s="1"/>
  <c r="J6" i="2"/>
  <c r="K6" i="2" s="1"/>
  <c r="H6" i="2"/>
  <c r="J17" i="2"/>
  <c r="K17" i="2" s="1"/>
  <c r="J46" i="2"/>
  <c r="K46" i="2" s="1"/>
  <c r="J11" i="2"/>
  <c r="K11" i="2" s="1"/>
  <c r="I24" i="3"/>
  <c r="I21" i="3"/>
  <c r="J5" i="2"/>
  <c r="K5" i="2" s="1"/>
  <c r="E21" i="3"/>
  <c r="J44" i="2"/>
  <c r="K44" i="2" s="1"/>
  <c r="E52" i="3"/>
  <c r="E15" i="3"/>
  <c r="J15" i="3" s="1"/>
  <c r="E20" i="3"/>
  <c r="J48" i="2"/>
  <c r="K48" i="2" s="1"/>
  <c r="E45" i="3"/>
  <c r="J33" i="2"/>
  <c r="K33" i="2" s="1"/>
  <c r="E9" i="3"/>
  <c r="I43" i="3"/>
  <c r="E32" i="3"/>
  <c r="H18" i="2"/>
  <c r="I38" i="3"/>
  <c r="I39" i="3"/>
  <c r="I36" i="3"/>
  <c r="I35" i="3"/>
  <c r="J22" i="2"/>
  <c r="K22" i="2" s="1"/>
  <c r="E23" i="3"/>
  <c r="I28" i="3"/>
  <c r="E51" i="3"/>
  <c r="J31" i="2"/>
  <c r="K31" i="2" s="1"/>
  <c r="I14" i="3"/>
  <c r="J47" i="2"/>
  <c r="K47" i="2" s="1"/>
  <c r="H9" i="2"/>
  <c r="J42" i="2"/>
  <c r="K42" i="2" s="1"/>
  <c r="E35" i="3"/>
  <c r="G6" i="3"/>
  <c r="E16" i="3"/>
  <c r="I25" i="3"/>
  <c r="E44" i="3"/>
  <c r="J44" i="3" s="1"/>
  <c r="K21" i="2"/>
  <c r="J50" i="2"/>
  <c r="I22" i="3"/>
  <c r="I47" i="3"/>
  <c r="E14" i="3"/>
  <c r="E26" i="3"/>
  <c r="E38" i="3"/>
  <c r="E43" i="3"/>
  <c r="J43" i="3" s="1"/>
  <c r="E48" i="3"/>
  <c r="H34" i="2"/>
  <c r="J14" i="2"/>
  <c r="K14" i="2" s="1"/>
  <c r="J34" i="2"/>
  <c r="K34" i="2" s="1"/>
  <c r="J7" i="2"/>
  <c r="K7" i="2" s="1"/>
  <c r="H49" i="2"/>
  <c r="J43" i="2"/>
  <c r="K43" i="2" s="1"/>
  <c r="F39" i="3" l="1"/>
  <c r="G41" i="2"/>
  <c r="G41" i="3" s="1"/>
  <c r="G38" i="2"/>
  <c r="H38" i="2" s="1"/>
  <c r="G12" i="2"/>
  <c r="G12" i="3" s="1"/>
  <c r="K12" i="3" s="1"/>
  <c r="H40" i="2"/>
  <c r="H40" i="3" s="1"/>
  <c r="G51" i="2"/>
  <c r="F16" i="3"/>
  <c r="G29" i="3"/>
  <c r="K29" i="3" s="1"/>
  <c r="G19" i="3"/>
  <c r="K19" i="3" s="1"/>
  <c r="F26" i="3"/>
  <c r="G26" i="3"/>
  <c r="K26" i="3" s="1"/>
  <c r="F15" i="3"/>
  <c r="H16" i="2"/>
  <c r="H16" i="3" s="1"/>
  <c r="F29" i="3"/>
  <c r="G10" i="3"/>
  <c r="K10" i="3" s="1"/>
  <c r="F49" i="3"/>
  <c r="F36" i="3"/>
  <c r="G49" i="3"/>
  <c r="K49" i="3" s="1"/>
  <c r="G15" i="3"/>
  <c r="K15" i="3" s="1"/>
  <c r="H25" i="2"/>
  <c r="H25" i="3" s="1"/>
  <c r="F25" i="3"/>
  <c r="F40" i="3"/>
  <c r="H50" i="2"/>
  <c r="H50" i="3" s="1"/>
  <c r="G47" i="3"/>
  <c r="K47" i="3" s="1"/>
  <c r="H52" i="2"/>
  <c r="H52" i="3" s="1"/>
  <c r="F47" i="3"/>
  <c r="F10" i="3"/>
  <c r="G23" i="2"/>
  <c r="G23" i="3" s="1"/>
  <c r="K23" i="3" s="1"/>
  <c r="G36" i="3"/>
  <c r="K36" i="3" s="1"/>
  <c r="G51" i="3"/>
  <c r="K51" i="3" s="1"/>
  <c r="G8" i="3"/>
  <c r="K8" i="3" s="1"/>
  <c r="G44" i="3"/>
  <c r="K44" i="3" s="1"/>
  <c r="H51" i="2"/>
  <c r="H51" i="3" s="1"/>
  <c r="H44" i="2"/>
  <c r="H44" i="3" s="1"/>
  <c r="G31" i="3"/>
  <c r="K31" i="3" s="1"/>
  <c r="H17" i="2"/>
  <c r="H17" i="3" s="1"/>
  <c r="H7" i="2"/>
  <c r="H7" i="3" s="1"/>
  <c r="H20" i="2"/>
  <c r="H20" i="3" s="1"/>
  <c r="H21" i="2"/>
  <c r="H21" i="3" s="1"/>
  <c r="H43" i="2"/>
  <c r="H43" i="3" s="1"/>
  <c r="H48" i="2"/>
  <c r="H48" i="3" s="1"/>
  <c r="H35" i="2"/>
  <c r="H35" i="3" s="1"/>
  <c r="H46" i="2"/>
  <c r="H46" i="3" s="1"/>
  <c r="G13" i="3"/>
  <c r="K13" i="3" s="1"/>
  <c r="G33" i="3"/>
  <c r="K33" i="3" s="1"/>
  <c r="H28" i="2"/>
  <c r="H28" i="3" s="1"/>
  <c r="G11" i="3"/>
  <c r="K11" i="3" s="1"/>
  <c r="H11" i="2"/>
  <c r="H11" i="3" s="1"/>
  <c r="H27" i="2"/>
  <c r="H27" i="3" s="1"/>
  <c r="G5" i="3"/>
  <c r="K5" i="3" s="1"/>
  <c r="H14" i="2"/>
  <c r="H14" i="3" s="1"/>
  <c r="H42" i="2"/>
  <c r="H42" i="3" s="1"/>
  <c r="H37" i="2"/>
  <c r="H37" i="3" s="1"/>
  <c r="H41" i="2"/>
  <c r="H41" i="3" s="1"/>
  <c r="G37" i="3"/>
  <c r="K37" i="3" s="1"/>
  <c r="H30" i="2"/>
  <c r="H30" i="3" s="1"/>
  <c r="G30" i="3"/>
  <c r="K30" i="3" s="1"/>
  <c r="G42" i="3"/>
  <c r="K42" i="3" s="1"/>
  <c r="L42" i="3" s="1"/>
  <c r="G38" i="3"/>
  <c r="K38" i="3" s="1"/>
  <c r="K20" i="3"/>
  <c r="H33" i="3"/>
  <c r="H19" i="3"/>
  <c r="H32" i="3"/>
  <c r="K18" i="3"/>
  <c r="H15" i="3"/>
  <c r="H9" i="3"/>
  <c r="H47" i="3"/>
  <c r="K41" i="3"/>
  <c r="H8" i="3"/>
  <c r="K34" i="3"/>
  <c r="K25" i="3"/>
  <c r="H29" i="3"/>
  <c r="H39" i="3"/>
  <c r="H13" i="3"/>
  <c r="H34" i="3"/>
  <c r="H38" i="3"/>
  <c r="H5" i="3"/>
  <c r="H24" i="3"/>
  <c r="H49" i="3"/>
  <c r="H26" i="3"/>
  <c r="H45" i="3"/>
  <c r="H22" i="3"/>
  <c r="J50" i="3"/>
  <c r="K28" i="3"/>
  <c r="H53" i="3"/>
  <c r="H31" i="3"/>
  <c r="K48" i="3"/>
  <c r="H10" i="3"/>
  <c r="H36" i="3"/>
  <c r="H54" i="3"/>
  <c r="H6" i="3"/>
  <c r="H18" i="3"/>
  <c r="K54" i="3"/>
  <c r="J18" i="3"/>
  <c r="J12" i="3"/>
  <c r="K7" i="3"/>
  <c r="K6" i="3"/>
  <c r="K22" i="3"/>
  <c r="K24" i="3"/>
  <c r="J10" i="3"/>
  <c r="L41" i="3"/>
  <c r="K46" i="3"/>
  <c r="L46" i="3" s="1"/>
  <c r="K52" i="3"/>
  <c r="K17" i="3"/>
  <c r="K53" i="3"/>
  <c r="J41" i="3"/>
  <c r="K14" i="3"/>
  <c r="K21" i="3"/>
  <c r="L53" i="3"/>
  <c r="J38" i="3"/>
  <c r="K50" i="2"/>
  <c r="L43" i="3"/>
  <c r="J16" i="3"/>
  <c r="K16" i="3"/>
  <c r="J26" i="3"/>
  <c r="J14" i="3"/>
  <c r="J32" i="3"/>
  <c r="K45" i="3"/>
  <c r="L45" i="3" s="1"/>
  <c r="J52" i="3"/>
  <c r="J8" i="3"/>
  <c r="J40" i="3"/>
  <c r="K9" i="3"/>
  <c r="J51" i="3"/>
  <c r="J35" i="3"/>
  <c r="J23" i="3"/>
  <c r="K39" i="3"/>
  <c r="J20" i="3"/>
  <c r="K50" i="3"/>
  <c r="K32" i="3"/>
  <c r="J9" i="3"/>
  <c r="K40" i="3"/>
  <c r="J11" i="3"/>
  <c r="L44" i="3"/>
  <c r="L47" i="3"/>
  <c r="J47" i="3"/>
  <c r="L48" i="3"/>
  <c r="J48" i="3"/>
  <c r="K35" i="3"/>
  <c r="K27" i="3"/>
  <c r="J21" i="3"/>
  <c r="J45" i="3"/>
  <c r="K43" i="3"/>
  <c r="H12" i="2" l="1"/>
  <c r="H12" i="3" s="1"/>
  <c r="L52" i="3"/>
  <c r="H23" i="2"/>
  <c r="H23" i="3" s="1"/>
  <c r="L23" i="3" s="1"/>
  <c r="L49" i="3"/>
  <c r="L14" i="3"/>
  <c r="L30" i="3"/>
  <c r="L19" i="3"/>
  <c r="L20" i="3"/>
  <c r="L12" i="3"/>
  <c r="L50" i="3"/>
  <c r="L33" i="3"/>
  <c r="L51" i="3"/>
  <c r="L9" i="3"/>
  <c r="L32" i="3"/>
  <c r="L37" i="3"/>
  <c r="L18" i="3"/>
  <c r="L34" i="3"/>
  <c r="L15" i="3"/>
  <c r="L8" i="3"/>
  <c r="L25" i="3"/>
  <c r="L26" i="3"/>
  <c r="L31" i="3"/>
  <c r="L39" i="3"/>
  <c r="L7" i="3"/>
  <c r="L29" i="3"/>
  <c r="L11" i="3"/>
  <c r="L13" i="3"/>
  <c r="L21" i="3"/>
  <c r="L5" i="3"/>
  <c r="L24" i="3"/>
  <c r="L16" i="3"/>
  <c r="L10" i="3"/>
  <c r="L38" i="3"/>
  <c r="L35" i="3"/>
  <c r="L6" i="3"/>
  <c r="L17" i="3"/>
  <c r="L54" i="3"/>
  <c r="L36" i="3"/>
  <c r="L40" i="3"/>
  <c r="L22" i="3"/>
  <c r="L27" i="3"/>
  <c r="L28" i="3"/>
</calcChain>
</file>

<file path=xl/sharedStrings.xml><?xml version="1.0" encoding="utf-8"?>
<sst xmlns="http://schemas.openxmlformats.org/spreadsheetml/2006/main" count="17608" uniqueCount="1902">
  <si>
    <t>Item Name</t>
  </si>
  <si>
    <t>Category</t>
  </si>
  <si>
    <t>Qty on Hand</t>
  </si>
  <si>
    <t>Soonest Expiry</t>
  </si>
  <si>
    <t>Recommended Action</t>
  </si>
  <si>
    <t>White Sandwich Bread</t>
  </si>
  <si>
    <t>Bread &amp; Bakery</t>
  </si>
  <si>
    <t>Bananas</t>
  </si>
  <si>
    <t>Fresh Produce</t>
  </si>
  <si>
    <t>Milk (1 gallon)</t>
  </si>
  <si>
    <t>Dairy &amp; Refrigerated</t>
  </si>
  <si>
    <t>Orange Juice (64 oz)</t>
  </si>
  <si>
    <t>Beverages</t>
  </si>
  <si>
    <t>Infant Formula (Powder)</t>
  </si>
  <si>
    <t>Baby &amp; Infant</t>
  </si>
  <si>
    <t>Whole Wheat Bread</t>
  </si>
  <si>
    <t>Eggs (1 dozen)</t>
  </si>
  <si>
    <t>Best Pantry</t>
  </si>
  <si>
    <t>Expiry Status</t>
  </si>
  <si>
    <t>Priority Score</t>
  </si>
  <si>
    <t>Harvest Hope Community Food Bank  |  Current Inventory</t>
  </si>
  <si>
    <t>Quantities update automatically from the Donations Log and Distribution History.  Last calculated: June 25, 2026</t>
  </si>
  <si>
    <t>Item ID</t>
  </si>
  <si>
    <t>Unit</t>
  </si>
  <si>
    <t>Days Until Expiry</t>
  </si>
  <si>
    <t>Avg Weekly Demand</t>
  </si>
  <si>
    <t>Weeks of Supply</t>
  </si>
  <si>
    <t>Stock Status</t>
  </si>
  <si>
    <t>Priority</t>
  </si>
  <si>
    <t>FI001</t>
  </si>
  <si>
    <t>Canned Tuna</t>
  </si>
  <si>
    <t>Canned Protein</t>
  </si>
  <si>
    <t>Can (5 oz)</t>
  </si>
  <si>
    <t>High</t>
  </si>
  <si>
    <t>FI002</t>
  </si>
  <si>
    <t>Canned Chicken</t>
  </si>
  <si>
    <t>Can (12.5 oz)</t>
  </si>
  <si>
    <t>FI003</t>
  </si>
  <si>
    <t>Canned Salmon</t>
  </si>
  <si>
    <t>Can (14.75 oz)</t>
  </si>
  <si>
    <t>FI004</t>
  </si>
  <si>
    <t>Canned Black Beans</t>
  </si>
  <si>
    <t>Can (15 oz)</t>
  </si>
  <si>
    <t>FI005</t>
  </si>
  <si>
    <t>Canned Kidney Beans</t>
  </si>
  <si>
    <t>Medium</t>
  </si>
  <si>
    <t>FI006</t>
  </si>
  <si>
    <t>Canned Chickpeas</t>
  </si>
  <si>
    <t>FI007</t>
  </si>
  <si>
    <t>Peanut Butter</t>
  </si>
  <si>
    <t>Jar (16 oz)</t>
  </si>
  <si>
    <t>FI008</t>
  </si>
  <si>
    <t>Canned Corn</t>
  </si>
  <si>
    <t>Canned Vegetables</t>
  </si>
  <si>
    <t>FI009</t>
  </si>
  <si>
    <t>Canned Green Beans</t>
  </si>
  <si>
    <t>Can (14.5 oz)</t>
  </si>
  <si>
    <t>FI010</t>
  </si>
  <si>
    <t>Canned Peas</t>
  </si>
  <si>
    <t>FI011</t>
  </si>
  <si>
    <t>Canned Diced Tomatoes</t>
  </si>
  <si>
    <t>FI012</t>
  </si>
  <si>
    <t>Canned Mixed Vegetables</t>
  </si>
  <si>
    <t>Low</t>
  </si>
  <si>
    <t>FI013</t>
  </si>
  <si>
    <t>Canned Peaches</t>
  </si>
  <si>
    <t>Canned Fruit</t>
  </si>
  <si>
    <t>FI014</t>
  </si>
  <si>
    <t>Canned Pears</t>
  </si>
  <si>
    <t>FI015</t>
  </si>
  <si>
    <t>Canned Mandarin Oranges</t>
  </si>
  <si>
    <t>Can (11 oz)</t>
  </si>
  <si>
    <t>FI016</t>
  </si>
  <si>
    <t>White Rice (5 lb)</t>
  </si>
  <si>
    <t>Dry Goods</t>
  </si>
  <si>
    <t>Bag (5 lb)</t>
  </si>
  <si>
    <t>FI017</t>
  </si>
  <si>
    <t>Brown Rice (5 lb)</t>
  </si>
  <si>
    <t>FI018</t>
  </si>
  <si>
    <t>Pasta - Spaghetti</t>
  </si>
  <si>
    <t>Box (16 oz)</t>
  </si>
  <si>
    <t>FI019</t>
  </si>
  <si>
    <t>Pasta - Penne</t>
  </si>
  <si>
    <t>FI020</t>
  </si>
  <si>
    <t>Instant Oatmeal</t>
  </si>
  <si>
    <t>Box (18 oz)</t>
  </si>
  <si>
    <t>FI021</t>
  </si>
  <si>
    <t>All-Purpose Flour (5 lb)</t>
  </si>
  <si>
    <t>FI022</t>
  </si>
  <si>
    <t>Cornmeal (2 lb)</t>
  </si>
  <si>
    <t>Bag (2 lb)</t>
  </si>
  <si>
    <t>FI023</t>
  </si>
  <si>
    <t>Breakfast Cereal</t>
  </si>
  <si>
    <t>Breakfast</t>
  </si>
  <si>
    <t>FI024</t>
  </si>
  <si>
    <t>Pancake Mix</t>
  </si>
  <si>
    <t>Box (32 oz)</t>
  </si>
  <si>
    <t>FI025</t>
  </si>
  <si>
    <t>Granola Bars</t>
  </si>
  <si>
    <t>Box (8 bars)</t>
  </si>
  <si>
    <t>FI026</t>
  </si>
  <si>
    <t>Canned Chicken Noodle Soup</t>
  </si>
  <si>
    <t>Soups &amp; Meals</t>
  </si>
  <si>
    <t>Can (10.75 oz)</t>
  </si>
  <si>
    <t>FI027</t>
  </si>
  <si>
    <t>Canned Tomato Soup</t>
  </si>
  <si>
    <t>FI028</t>
  </si>
  <si>
    <t>Canned Vegetable Soup</t>
  </si>
  <si>
    <t>Can (19 oz)</t>
  </si>
  <si>
    <t>FI029</t>
  </si>
  <si>
    <t>Canned Chili with Beans</t>
  </si>
  <si>
    <t>FI030</t>
  </si>
  <si>
    <t>Canned Beef Stew</t>
  </si>
  <si>
    <t>Can (20 oz)</t>
  </si>
  <si>
    <t>FI031</t>
  </si>
  <si>
    <t>Can (12.4 oz)</t>
  </si>
  <si>
    <t>Critical</t>
  </si>
  <si>
    <t>FI032</t>
  </si>
  <si>
    <t>Baby Food - Vegetable</t>
  </si>
  <si>
    <t>Jar (4 oz)</t>
  </si>
  <si>
    <t>FI033</t>
  </si>
  <si>
    <t>Baby Food - Fruit</t>
  </si>
  <si>
    <t>FI034</t>
  </si>
  <si>
    <t>Diapers - Size 1-2</t>
  </si>
  <si>
    <t>Pack (36 ct)</t>
  </si>
  <si>
    <t>FI035</t>
  </si>
  <si>
    <t>Diapers - Size 3-4</t>
  </si>
  <si>
    <t>Pack (32 ct)</t>
  </si>
  <si>
    <t>FI036</t>
  </si>
  <si>
    <t>Gallon</t>
  </si>
  <si>
    <t>FI037</t>
  </si>
  <si>
    <t>Dozen</t>
  </si>
  <si>
    <t>FI038</t>
  </si>
  <si>
    <t>Cheddar Cheese (block)</t>
  </si>
  <si>
    <t>Block (16 oz)</t>
  </si>
  <si>
    <t>FI039</t>
  </si>
  <si>
    <t>Loaf</t>
  </si>
  <si>
    <t>FI040</t>
  </si>
  <si>
    <t>FI041</t>
  </si>
  <si>
    <t>Flour Tortillas</t>
  </si>
  <si>
    <t>Pack (20 ct)</t>
  </si>
  <si>
    <t>FI042</t>
  </si>
  <si>
    <t>Apples</t>
  </si>
  <si>
    <t>Bag (3 lb)</t>
  </si>
  <si>
    <t>FI043</t>
  </si>
  <si>
    <t>Bunch (~7)</t>
  </si>
  <si>
    <t>FI044</t>
  </si>
  <si>
    <t>Baby Carrots</t>
  </si>
  <si>
    <t>Bag (1 lb)</t>
  </si>
  <si>
    <t>FI045</t>
  </si>
  <si>
    <t>Potatoes (5 lb)</t>
  </si>
  <si>
    <t>FI046</t>
  </si>
  <si>
    <t>Yellow Onions (3 lb)</t>
  </si>
  <si>
    <t>FI047</t>
  </si>
  <si>
    <t>Apple Juice (64 oz)</t>
  </si>
  <si>
    <t>Bottle (64 oz)</t>
  </si>
  <si>
    <t>FI048</t>
  </si>
  <si>
    <t>FI049</t>
  </si>
  <si>
    <t>Cooking Oil (32 oz)</t>
  </si>
  <si>
    <t>Pantry Staples</t>
  </si>
  <si>
    <t>Bottle (32 oz)</t>
  </si>
  <si>
    <t>FI050</t>
  </si>
  <si>
    <t>Pasta Sauce</t>
  </si>
  <si>
    <t>Jar (24 oz)</t>
  </si>
  <si>
    <t>Harvest Hope Community Food Bank  |  AI Distribution Recommendations</t>
  </si>
  <si>
    <t>Auto-calculated from Current Inventory and Demand Weights. Sort by Priority Score (col K) to see most urgent items. Refreshes whenever inventory changes.</t>
  </si>
  <si>
    <t>Suggested Qty</t>
  </si>
  <si>
    <t>Harvest Hope Community Food Bank  |  Donations Log</t>
  </si>
  <si>
    <t>To log a new donation: enter Date (col B), Item ID (col C), Qty Received (col G), Expiration Date (col H), and Donor Type (col K). Other fields fill automatically.</t>
  </si>
  <si>
    <t>Donation ID</t>
  </si>
  <si>
    <t>Date</t>
  </si>
  <si>
    <t>Qty Received</t>
  </si>
  <si>
    <t>Expiration Date</t>
  </si>
  <si>
    <t>Donor Type</t>
  </si>
  <si>
    <t>Notes</t>
  </si>
  <si>
    <t>School Drive</t>
  </si>
  <si>
    <t>Corporate Drive</t>
  </si>
  <si>
    <t>Government Surplus</t>
  </si>
  <si>
    <t>Church Drive</t>
  </si>
  <si>
    <t>Restaurant Partner</t>
  </si>
  <si>
    <t>Community Drive</t>
  </si>
  <si>
    <t>Individual Donor</t>
  </si>
  <si>
    <t>Grocery Rescue</t>
  </si>
  <si>
    <t>Harvest Hope Community Food Bank  |  Distribution History</t>
  </si>
  <si>
    <t>To log a distribution: enter Date (col B), Pantry ID (col C), Item ID (col E), and Qty Distributed (col I). Other fields fill automatically.</t>
  </si>
  <si>
    <t>Dist. ID</t>
  </si>
  <si>
    <t>Pantry ID</t>
  </si>
  <si>
    <t>Pantry Name</t>
  </si>
  <si>
    <t>Qty Distributed</t>
  </si>
  <si>
    <t>DIST-0001</t>
  </si>
  <si>
    <t>PP001</t>
  </si>
  <si>
    <t>Riverside Community Pantry</t>
  </si>
  <si>
    <t>DIST-0002</t>
  </si>
  <si>
    <t>DIST-0003</t>
  </si>
  <si>
    <t>DIST-0004</t>
  </si>
  <si>
    <t>DIST-0005</t>
  </si>
  <si>
    <t>DIST-0006</t>
  </si>
  <si>
    <t>DIST-0007</t>
  </si>
  <si>
    <t>DIST-0008</t>
  </si>
  <si>
    <t>DIST-0009</t>
  </si>
  <si>
    <t>DIST-0010</t>
  </si>
  <si>
    <t>DIST-0011</t>
  </si>
  <si>
    <t>DIST-0012</t>
  </si>
  <si>
    <t>DIST-0013</t>
  </si>
  <si>
    <t>DIST-0014</t>
  </si>
  <si>
    <t>DIST-0015</t>
  </si>
  <si>
    <t>DIST-0016</t>
  </si>
  <si>
    <t>DIST-0017</t>
  </si>
  <si>
    <t>DIST-0018</t>
  </si>
  <si>
    <t>DIST-0019</t>
  </si>
  <si>
    <t>PP004</t>
  </si>
  <si>
    <t>Oakdale School Family Pantry</t>
  </si>
  <si>
    <t>DIST-0020</t>
  </si>
  <si>
    <t>DIST-0021</t>
  </si>
  <si>
    <t>DIST-0022</t>
  </si>
  <si>
    <t>DIST-0023</t>
  </si>
  <si>
    <t>DIST-0024</t>
  </si>
  <si>
    <t>DIST-0025</t>
  </si>
  <si>
    <t>DIST-0026</t>
  </si>
  <si>
    <t>DIST-0027</t>
  </si>
  <si>
    <t>DIST-0028</t>
  </si>
  <si>
    <t>DIST-0029</t>
  </si>
  <si>
    <t>DIST-0030</t>
  </si>
  <si>
    <t>DIST-0031</t>
  </si>
  <si>
    <t>DIST-0032</t>
  </si>
  <si>
    <t>DIST-0033</t>
  </si>
  <si>
    <t>DIST-0034</t>
  </si>
  <si>
    <t>DIST-0035</t>
  </si>
  <si>
    <t>DIST-0036</t>
  </si>
  <si>
    <t>DIST-0037</t>
  </si>
  <si>
    <t>DIST-0038</t>
  </si>
  <si>
    <t>DIST-0039</t>
  </si>
  <si>
    <t>DIST-0040</t>
  </si>
  <si>
    <t>DIST-0041</t>
  </si>
  <si>
    <t>DIST-0042</t>
  </si>
  <si>
    <t>DIST-0043</t>
  </si>
  <si>
    <t>DIST-0044</t>
  </si>
  <si>
    <t>DIST-0045</t>
  </si>
  <si>
    <t>PP002</t>
  </si>
  <si>
    <t>St. Augustine's Shelter Pantry</t>
  </si>
  <si>
    <t>DIST-0046</t>
  </si>
  <si>
    <t>DIST-0047</t>
  </si>
  <si>
    <t>DIST-0048</t>
  </si>
  <si>
    <t>DIST-0049</t>
  </si>
  <si>
    <t>DIST-0050</t>
  </si>
  <si>
    <t>DIST-0051</t>
  </si>
  <si>
    <t>DIST-0052</t>
  </si>
  <si>
    <t>DIST-0053</t>
  </si>
  <si>
    <t>DIST-0054</t>
  </si>
  <si>
    <t>DIST-0055</t>
  </si>
  <si>
    <t>DIST-0056</t>
  </si>
  <si>
    <t>DIST-0057</t>
  </si>
  <si>
    <t>DIST-0058</t>
  </si>
  <si>
    <t>DIST-0059</t>
  </si>
  <si>
    <t>DIST-0060</t>
  </si>
  <si>
    <t>DIST-0061</t>
  </si>
  <si>
    <t>DIST-0062</t>
  </si>
  <si>
    <t>DIST-0063</t>
  </si>
  <si>
    <t>DIST-0064</t>
  </si>
  <si>
    <t>DIST-0065</t>
  </si>
  <si>
    <t>DIST-0066</t>
  </si>
  <si>
    <t>DIST-0067</t>
  </si>
  <si>
    <t>DIST-0068</t>
  </si>
  <si>
    <t>DIST-0069</t>
  </si>
  <si>
    <t>DIST-0070</t>
  </si>
  <si>
    <t>DIST-0071</t>
  </si>
  <si>
    <t>DIST-0072</t>
  </si>
  <si>
    <t>DIST-0073</t>
  </si>
  <si>
    <t>DIST-0074</t>
  </si>
  <si>
    <t>DIST-0075</t>
  </si>
  <si>
    <t>DIST-0092</t>
  </si>
  <si>
    <t>DIST-0093</t>
  </si>
  <si>
    <t>DIST-0094</t>
  </si>
  <si>
    <t>DIST-0095</t>
  </si>
  <si>
    <t>DIST-0096</t>
  </si>
  <si>
    <t>DIST-0097</t>
  </si>
  <si>
    <t>DIST-0098</t>
  </si>
  <si>
    <t>DIST-0099</t>
  </si>
  <si>
    <t>DIST-0100</t>
  </si>
  <si>
    <t>DIST-0101</t>
  </si>
  <si>
    <t>DIST-0102</t>
  </si>
  <si>
    <t>DIST-0103</t>
  </si>
  <si>
    <t>DIST-0104</t>
  </si>
  <si>
    <t>DIST-0105</t>
  </si>
  <si>
    <t>DIST-0106</t>
  </si>
  <si>
    <t>DIST-0107</t>
  </si>
  <si>
    <t>DIST-0108</t>
  </si>
  <si>
    <t>DIST-0109</t>
  </si>
  <si>
    <t>DIST-0110</t>
  </si>
  <si>
    <t>DIST-0111</t>
  </si>
  <si>
    <t>DIST-0112</t>
  </si>
  <si>
    <t>DIST-0113</t>
  </si>
  <si>
    <t>DIST-0114</t>
  </si>
  <si>
    <t>DIST-0115</t>
  </si>
  <si>
    <t>DIST-0116</t>
  </si>
  <si>
    <t>DIST-0117</t>
  </si>
  <si>
    <t>DIST-0118</t>
  </si>
  <si>
    <t>DIST-0076</t>
  </si>
  <si>
    <t>PP003</t>
  </si>
  <si>
    <t>Maplewood Senior Center</t>
  </si>
  <si>
    <t>DIST-0077</t>
  </si>
  <si>
    <t>DIST-0078</t>
  </si>
  <si>
    <t>DIST-0079</t>
  </si>
  <si>
    <t>DIST-0080</t>
  </si>
  <si>
    <t>DIST-0081</t>
  </si>
  <si>
    <t>DIST-0082</t>
  </si>
  <si>
    <t>DIST-0083</t>
  </si>
  <si>
    <t>DIST-0084</t>
  </si>
  <si>
    <t>DIST-0085</t>
  </si>
  <si>
    <t>DIST-0086</t>
  </si>
  <si>
    <t>DIST-0087</t>
  </si>
  <si>
    <t>DIST-0088</t>
  </si>
  <si>
    <t>DIST-0089</t>
  </si>
  <si>
    <t>DIST-0090</t>
  </si>
  <si>
    <t>DIST-0091</t>
  </si>
  <si>
    <t>DIST-0124</t>
  </si>
  <si>
    <t>DIST-0125</t>
  </si>
  <si>
    <t>DIST-0126</t>
  </si>
  <si>
    <t>DIST-0127</t>
  </si>
  <si>
    <t>DIST-0128</t>
  </si>
  <si>
    <t>DIST-0129</t>
  </si>
  <si>
    <t>DIST-0130</t>
  </si>
  <si>
    <t>DIST-0131</t>
  </si>
  <si>
    <t>DIST-0132</t>
  </si>
  <si>
    <t>DIST-0133</t>
  </si>
  <si>
    <t>DIST-0134</t>
  </si>
  <si>
    <t>DIST-0135</t>
  </si>
  <si>
    <t>DIST-0136</t>
  </si>
  <si>
    <t>DIST-0137</t>
  </si>
  <si>
    <t>DIST-0138</t>
  </si>
  <si>
    <t>DIST-0139</t>
  </si>
  <si>
    <t>DIST-0140</t>
  </si>
  <si>
    <t>DIST-0141</t>
  </si>
  <si>
    <t>DIST-0142</t>
  </si>
  <si>
    <t>DIST-0143</t>
  </si>
  <si>
    <t>DIST-0144</t>
  </si>
  <si>
    <t>DIST-0145</t>
  </si>
  <si>
    <t>DIST-0119</t>
  </si>
  <si>
    <t>DIST-0120</t>
  </si>
  <si>
    <t>DIST-0121</t>
  </si>
  <si>
    <t>DIST-0122</t>
  </si>
  <si>
    <t>DIST-0123</t>
  </si>
  <si>
    <t>DIST-0146</t>
  </si>
  <si>
    <t>DIST-0147</t>
  </si>
  <si>
    <t>DIST-0148</t>
  </si>
  <si>
    <t>DIST-0149</t>
  </si>
  <si>
    <t>DIST-0150</t>
  </si>
  <si>
    <t>DIST-0151</t>
  </si>
  <si>
    <t>DIST-0152</t>
  </si>
  <si>
    <t>DIST-0153</t>
  </si>
  <si>
    <t>DIST-0154</t>
  </si>
  <si>
    <t>DIST-0155</t>
  </si>
  <si>
    <t>DIST-0156</t>
  </si>
  <si>
    <t>DIST-0157</t>
  </si>
  <si>
    <t>DIST-0158</t>
  </si>
  <si>
    <t>DIST-0159</t>
  </si>
  <si>
    <t>DIST-0160</t>
  </si>
  <si>
    <t>DIST-0161</t>
  </si>
  <si>
    <t>DIST-0162</t>
  </si>
  <si>
    <t>DIST-0163</t>
  </si>
  <si>
    <t>DIST-0164</t>
  </si>
  <si>
    <t>DIST-0165</t>
  </si>
  <si>
    <t>DIST-0166</t>
  </si>
  <si>
    <t>DIST-0167</t>
  </si>
  <si>
    <t>DIST-0168</t>
  </si>
  <si>
    <t>DIST-0169</t>
  </si>
  <si>
    <t>DIST-0170</t>
  </si>
  <si>
    <t>DIST-0171</t>
  </si>
  <si>
    <t>DIST-0172</t>
  </si>
  <si>
    <t>DIST-0173</t>
  </si>
  <si>
    <t>DIST-0174</t>
  </si>
  <si>
    <t>DIST-0175</t>
  </si>
  <si>
    <t>DIST-0176</t>
  </si>
  <si>
    <t>DIST-0177</t>
  </si>
  <si>
    <t>DIST-0178</t>
  </si>
  <si>
    <t>DIST-0179</t>
  </si>
  <si>
    <t>DIST-0180</t>
  </si>
  <si>
    <t>DIST-0181</t>
  </si>
  <si>
    <t>DIST-0182</t>
  </si>
  <si>
    <t>DIST-0183</t>
  </si>
  <si>
    <t>DIST-0184</t>
  </si>
  <si>
    <t>DIST-0185</t>
  </si>
  <si>
    <t>DIST-0200</t>
  </si>
  <si>
    <t>DIST-0201</t>
  </si>
  <si>
    <t>DIST-0202</t>
  </si>
  <si>
    <t>DIST-0203</t>
  </si>
  <si>
    <t>DIST-0204</t>
  </si>
  <si>
    <t>DIST-0205</t>
  </si>
  <si>
    <t>DIST-0206</t>
  </si>
  <si>
    <t>DIST-0207</t>
  </si>
  <si>
    <t>DIST-0186</t>
  </si>
  <si>
    <t>DIST-0187</t>
  </si>
  <si>
    <t>DIST-0188</t>
  </si>
  <si>
    <t>DIST-0189</t>
  </si>
  <si>
    <t>DIST-0190</t>
  </si>
  <si>
    <t>DIST-0191</t>
  </si>
  <si>
    <t>DIST-0192</t>
  </si>
  <si>
    <t>DIST-0193</t>
  </si>
  <si>
    <t>DIST-0194</t>
  </si>
  <si>
    <t>DIST-0195</t>
  </si>
  <si>
    <t>DIST-0196</t>
  </si>
  <si>
    <t>DIST-0197</t>
  </si>
  <si>
    <t>DIST-0198</t>
  </si>
  <si>
    <t>DIST-0199</t>
  </si>
  <si>
    <t>DIST-0208</t>
  </si>
  <si>
    <t>DIST-0209</t>
  </si>
  <si>
    <t>DIST-0210</t>
  </si>
  <si>
    <t>DIST-0211</t>
  </si>
  <si>
    <t>DIST-0212</t>
  </si>
  <si>
    <t>DIST-0213</t>
  </si>
  <si>
    <t>DIST-0214</t>
  </si>
  <si>
    <t>DIST-0215</t>
  </si>
  <si>
    <t>DIST-0216</t>
  </si>
  <si>
    <t>DIST-0217</t>
  </si>
  <si>
    <t>DIST-0218</t>
  </si>
  <si>
    <t>DIST-0219</t>
  </si>
  <si>
    <t>DIST-0220</t>
  </si>
  <si>
    <t>DIST-0221</t>
  </si>
  <si>
    <t>DIST-0222</t>
  </si>
  <si>
    <t>DIST-0223</t>
  </si>
  <si>
    <t>DIST-0224</t>
  </si>
  <si>
    <t>DIST-0225</t>
  </si>
  <si>
    <t>DIST-0226</t>
  </si>
  <si>
    <t>DIST-0227</t>
  </si>
  <si>
    <t>DIST-0228</t>
  </si>
  <si>
    <t>DIST-0229</t>
  </si>
  <si>
    <t>DIST-0230</t>
  </si>
  <si>
    <t>DIST-0231</t>
  </si>
  <si>
    <t>DIST-0232</t>
  </si>
  <si>
    <t>DIST-0233</t>
  </si>
  <si>
    <t>DIST-0234</t>
  </si>
  <si>
    <t>DIST-0235</t>
  </si>
  <si>
    <t>DIST-0236</t>
  </si>
  <si>
    <t>DIST-0237</t>
  </si>
  <si>
    <t>DIST-0238</t>
  </si>
  <si>
    <t>DIST-0239</t>
  </si>
  <si>
    <t>DIST-0240</t>
  </si>
  <si>
    <t>DIST-0241</t>
  </si>
  <si>
    <t>DIST-0242</t>
  </si>
  <si>
    <t>DIST-0243</t>
  </si>
  <si>
    <t>DIST-0244</t>
  </si>
  <si>
    <t>DIST-0245</t>
  </si>
  <si>
    <t>DIST-0246</t>
  </si>
  <si>
    <t>DIST-0247</t>
  </si>
  <si>
    <t>DIST-0248</t>
  </si>
  <si>
    <t>DIST-0249</t>
  </si>
  <si>
    <t>DIST-0250</t>
  </si>
  <si>
    <t>DIST-0251</t>
  </si>
  <si>
    <t>DIST-0252</t>
  </si>
  <si>
    <t>DIST-0253</t>
  </si>
  <si>
    <t>DIST-0254</t>
  </si>
  <si>
    <t>DIST-0255</t>
  </si>
  <si>
    <t>DIST-0256</t>
  </si>
  <si>
    <t>DIST-0257</t>
  </si>
  <si>
    <t>DIST-0258</t>
  </si>
  <si>
    <t>DIST-0259</t>
  </si>
  <si>
    <t>DIST-0260</t>
  </si>
  <si>
    <t>DIST-0261</t>
  </si>
  <si>
    <t>DIST-0262</t>
  </si>
  <si>
    <t>DIST-0263</t>
  </si>
  <si>
    <t>DIST-0264</t>
  </si>
  <si>
    <t>DIST-0265</t>
  </si>
  <si>
    <t>DIST-0266</t>
  </si>
  <si>
    <t>DIST-0272</t>
  </si>
  <si>
    <t>DIST-0273</t>
  </si>
  <si>
    <t>DIST-0274</t>
  </si>
  <si>
    <t>DIST-0275</t>
  </si>
  <si>
    <t>DIST-0276</t>
  </si>
  <si>
    <t>DIST-0277</t>
  </si>
  <si>
    <t>DIST-0278</t>
  </si>
  <si>
    <t>DIST-0279</t>
  </si>
  <si>
    <t>DIST-0267</t>
  </si>
  <si>
    <t>DIST-0268</t>
  </si>
  <si>
    <t>DIST-0269</t>
  </si>
  <si>
    <t>DIST-0270</t>
  </si>
  <si>
    <t>DIST-0271</t>
  </si>
  <si>
    <t>DIST-0286</t>
  </si>
  <si>
    <t>DIST-0287</t>
  </si>
  <si>
    <t>DIST-0288</t>
  </si>
  <si>
    <t>DIST-0289</t>
  </si>
  <si>
    <t>DIST-0290</t>
  </si>
  <si>
    <t>DIST-0291</t>
  </si>
  <si>
    <t>DIST-0292</t>
  </si>
  <si>
    <t>DIST-0293</t>
  </si>
  <si>
    <t>DIST-0294</t>
  </si>
  <si>
    <t>DIST-0295</t>
  </si>
  <si>
    <t>DIST-0296</t>
  </si>
  <si>
    <t>DIST-0280</t>
  </si>
  <si>
    <t>DIST-0281</t>
  </si>
  <si>
    <t>DIST-0282</t>
  </si>
  <si>
    <t>DIST-0283</t>
  </si>
  <si>
    <t>DIST-0284</t>
  </si>
  <si>
    <t>DIST-0285</t>
  </si>
  <si>
    <t>DIST-0297</t>
  </si>
  <si>
    <t>DIST-0298</t>
  </si>
  <si>
    <t>DIST-0299</t>
  </si>
  <si>
    <t>DIST-0300</t>
  </si>
  <si>
    <t>DIST-0301</t>
  </si>
  <si>
    <t>DIST-0302</t>
  </si>
  <si>
    <t>DIST-0303</t>
  </si>
  <si>
    <t>DIST-0319</t>
  </si>
  <si>
    <t>DIST-0320</t>
  </si>
  <si>
    <t>DIST-0321</t>
  </si>
  <si>
    <t>DIST-0322</t>
  </si>
  <si>
    <t>DIST-0323</t>
  </si>
  <si>
    <t>DIST-0324</t>
  </si>
  <si>
    <t>DIST-0325</t>
  </si>
  <si>
    <t>DIST-0326</t>
  </si>
  <si>
    <t>DIST-0327</t>
  </si>
  <si>
    <t>DIST-0328</t>
  </si>
  <si>
    <t>DIST-0329</t>
  </si>
  <si>
    <t>DIST-0330</t>
  </si>
  <si>
    <t>DIST-0331</t>
  </si>
  <si>
    <t>DIST-0332</t>
  </si>
  <si>
    <t>DIST-0333</t>
  </si>
  <si>
    <t>DIST-0334</t>
  </si>
  <si>
    <t>DIST-0335</t>
  </si>
  <si>
    <t>DIST-0336</t>
  </si>
  <si>
    <t>DIST-0337</t>
  </si>
  <si>
    <t>DIST-0338</t>
  </si>
  <si>
    <t>DIST-0339</t>
  </si>
  <si>
    <t>DIST-0340</t>
  </si>
  <si>
    <t>DIST-0341</t>
  </si>
  <si>
    <t>DIST-0304</t>
  </si>
  <si>
    <t>DIST-0305</t>
  </si>
  <si>
    <t>DIST-0306</t>
  </si>
  <si>
    <t>DIST-0307</t>
  </si>
  <si>
    <t>DIST-0308</t>
  </si>
  <si>
    <t>DIST-0309</t>
  </si>
  <si>
    <t>DIST-0310</t>
  </si>
  <si>
    <t>DIST-0311</t>
  </si>
  <si>
    <t>DIST-0312</t>
  </si>
  <si>
    <t>DIST-0313</t>
  </si>
  <si>
    <t>DIST-0314</t>
  </si>
  <si>
    <t>DIST-0315</t>
  </si>
  <si>
    <t>DIST-0316</t>
  </si>
  <si>
    <t>DIST-0317</t>
  </si>
  <si>
    <t>DIST-0318</t>
  </si>
  <si>
    <t>DIST-0349</t>
  </si>
  <si>
    <t>DIST-0350</t>
  </si>
  <si>
    <t>DIST-0351</t>
  </si>
  <si>
    <t>DIST-0352</t>
  </si>
  <si>
    <t>DIST-0353</t>
  </si>
  <si>
    <t>DIST-0354</t>
  </si>
  <si>
    <t>DIST-0355</t>
  </si>
  <si>
    <t>DIST-0356</t>
  </si>
  <si>
    <t>DIST-0357</t>
  </si>
  <si>
    <t>DIST-0358</t>
  </si>
  <si>
    <t>DIST-0359</t>
  </si>
  <si>
    <t>DIST-0360</t>
  </si>
  <si>
    <t>DIST-0361</t>
  </si>
  <si>
    <t>DIST-0362</t>
  </si>
  <si>
    <t>DIST-0363</t>
  </si>
  <si>
    <t>DIST-0364</t>
  </si>
  <si>
    <t>DIST-0365</t>
  </si>
  <si>
    <t>DIST-0366</t>
  </si>
  <si>
    <t>DIST-0367</t>
  </si>
  <si>
    <t>DIST-0368</t>
  </si>
  <si>
    <t>DIST-0369</t>
  </si>
  <si>
    <t>DIST-0370</t>
  </si>
  <si>
    <t>DIST-0371</t>
  </si>
  <si>
    <t>DIST-0372</t>
  </si>
  <si>
    <t>DIST-0342</t>
  </si>
  <si>
    <t>DIST-0343</t>
  </si>
  <si>
    <t>DIST-0344</t>
  </si>
  <si>
    <t>DIST-0345</t>
  </si>
  <si>
    <t>DIST-0346</t>
  </si>
  <si>
    <t>DIST-0347</t>
  </si>
  <si>
    <t>DIST-0348</t>
  </si>
  <si>
    <t>DIST-0373</t>
  </si>
  <si>
    <t>DIST-0374</t>
  </si>
  <si>
    <t>DIST-0375</t>
  </si>
  <si>
    <t>DIST-0376</t>
  </si>
  <si>
    <t>DIST-0377</t>
  </si>
  <si>
    <t>DIST-0378</t>
  </si>
  <si>
    <t>DIST-0379</t>
  </si>
  <si>
    <t>DIST-0380</t>
  </si>
  <si>
    <t>DIST-0381</t>
  </si>
  <si>
    <t>DIST-0382</t>
  </si>
  <si>
    <t>DIST-0383</t>
  </si>
  <si>
    <t>DIST-0384</t>
  </si>
  <si>
    <t>DIST-0385</t>
  </si>
  <si>
    <t>DIST-0386</t>
  </si>
  <si>
    <t>DIST-0387</t>
  </si>
  <si>
    <t>DIST-0388</t>
  </si>
  <si>
    <t>DIST-0389</t>
  </si>
  <si>
    <t>DIST-0390</t>
  </si>
  <si>
    <t>DIST-0391</t>
  </si>
  <si>
    <t>DIST-0392</t>
  </si>
  <si>
    <t>DIST-0428</t>
  </si>
  <si>
    <t>DIST-0429</t>
  </si>
  <si>
    <t>DIST-0430</t>
  </si>
  <si>
    <t>DIST-0431</t>
  </si>
  <si>
    <t>DIST-0432</t>
  </si>
  <si>
    <t>DIST-0412</t>
  </si>
  <si>
    <t>DIST-0413</t>
  </si>
  <si>
    <t>DIST-0414</t>
  </si>
  <si>
    <t>DIST-0415</t>
  </si>
  <si>
    <t>DIST-0416</t>
  </si>
  <si>
    <t>DIST-0417</t>
  </si>
  <si>
    <t>DIST-0418</t>
  </si>
  <si>
    <t>DIST-0419</t>
  </si>
  <si>
    <t>DIST-0420</t>
  </si>
  <si>
    <t>DIST-0421</t>
  </si>
  <si>
    <t>DIST-0422</t>
  </si>
  <si>
    <t>DIST-0423</t>
  </si>
  <si>
    <t>DIST-0424</t>
  </si>
  <si>
    <t>DIST-0425</t>
  </si>
  <si>
    <t>DIST-0426</t>
  </si>
  <si>
    <t>DIST-0427</t>
  </si>
  <si>
    <t>DIST-0393</t>
  </si>
  <si>
    <t>DIST-0394</t>
  </si>
  <si>
    <t>DIST-0395</t>
  </si>
  <si>
    <t>DIST-0396</t>
  </si>
  <si>
    <t>DIST-0397</t>
  </si>
  <si>
    <t>DIST-0398</t>
  </si>
  <si>
    <t>DIST-0399</t>
  </si>
  <si>
    <t>DIST-0400</t>
  </si>
  <si>
    <t>DIST-0401</t>
  </si>
  <si>
    <t>DIST-0402</t>
  </si>
  <si>
    <t>DIST-0403</t>
  </si>
  <si>
    <t>DIST-0404</t>
  </si>
  <si>
    <t>DIST-0405</t>
  </si>
  <si>
    <t>DIST-0406</t>
  </si>
  <si>
    <t>DIST-0407</t>
  </si>
  <si>
    <t>DIST-0408</t>
  </si>
  <si>
    <t>DIST-0409</t>
  </si>
  <si>
    <t>DIST-0410</t>
  </si>
  <si>
    <t>DIST-0411</t>
  </si>
  <si>
    <t>DIST-0433</t>
  </si>
  <si>
    <t>DIST-0434</t>
  </si>
  <si>
    <t>DIST-0435</t>
  </si>
  <si>
    <t>DIST-0436</t>
  </si>
  <si>
    <t>DIST-0437</t>
  </si>
  <si>
    <t>DIST-0438</t>
  </si>
  <si>
    <t>DIST-0439</t>
  </si>
  <si>
    <t>DIST-0440</t>
  </si>
  <si>
    <t>DIST-0441</t>
  </si>
  <si>
    <t>DIST-0442</t>
  </si>
  <si>
    <t>DIST-0443</t>
  </si>
  <si>
    <t>DIST-0444</t>
  </si>
  <si>
    <t>DIST-0445</t>
  </si>
  <si>
    <t>DIST-0446</t>
  </si>
  <si>
    <t>DIST-0447</t>
  </si>
  <si>
    <t>DIST-0448</t>
  </si>
  <si>
    <t>DIST-0449</t>
  </si>
  <si>
    <t>DIST-0450</t>
  </si>
  <si>
    <t>DIST-0451</t>
  </si>
  <si>
    <t>DIST-0452</t>
  </si>
  <si>
    <t>DIST-0453</t>
  </si>
  <si>
    <t>DIST-0454</t>
  </si>
  <si>
    <t>DIST-0455</t>
  </si>
  <si>
    <t>DIST-0456</t>
  </si>
  <si>
    <t>DIST-0457</t>
  </si>
  <si>
    <t>DIST-0458</t>
  </si>
  <si>
    <t>DIST-0459</t>
  </si>
  <si>
    <t>DIST-0460</t>
  </si>
  <si>
    <t>DIST-0461</t>
  </si>
  <si>
    <t>DIST-0462</t>
  </si>
  <si>
    <t>DIST-0463</t>
  </si>
  <si>
    <t>DIST-0464</t>
  </si>
  <si>
    <t>DIST-0465</t>
  </si>
  <si>
    <t>DIST-0466</t>
  </si>
  <si>
    <t>DIST-0467</t>
  </si>
  <si>
    <t>DIST-0468</t>
  </si>
  <si>
    <t>DIST-0469</t>
  </si>
  <si>
    <t>DIST-0470</t>
  </si>
  <si>
    <t>DIST-0471</t>
  </si>
  <si>
    <t>DIST-0472</t>
  </si>
  <si>
    <t>DIST-0473</t>
  </si>
  <si>
    <t>DIST-0474</t>
  </si>
  <si>
    <t>DIST-0475</t>
  </si>
  <si>
    <t>DIST-0476</t>
  </si>
  <si>
    <t>DIST-0477</t>
  </si>
  <si>
    <t>DIST-0478</t>
  </si>
  <si>
    <t>DIST-0479</t>
  </si>
  <si>
    <t>DIST-0480</t>
  </si>
  <si>
    <t>DIST-0481</t>
  </si>
  <si>
    <t>DIST-0482</t>
  </si>
  <si>
    <t>DIST-0483</t>
  </si>
  <si>
    <t>DIST-0484</t>
  </si>
  <si>
    <t>DIST-0485</t>
  </si>
  <si>
    <t>DIST-0486</t>
  </si>
  <si>
    <t>DIST-0487</t>
  </si>
  <si>
    <t>DIST-0488</t>
  </si>
  <si>
    <t>DIST-0489</t>
  </si>
  <si>
    <t>DIST-0490</t>
  </si>
  <si>
    <t>DIST-0491</t>
  </si>
  <si>
    <t>DIST-0492</t>
  </si>
  <si>
    <t>DIST-0493</t>
  </si>
  <si>
    <t>DIST-0494</t>
  </si>
  <si>
    <t>DIST-0495</t>
  </si>
  <si>
    <t>DIST-0496</t>
  </si>
  <si>
    <t>DIST-0497</t>
  </si>
  <si>
    <t>DIST-0498</t>
  </si>
  <si>
    <t>DIST-0499</t>
  </si>
  <si>
    <t>DIST-0500</t>
  </si>
  <si>
    <t>DIST-0501</t>
  </si>
  <si>
    <t>DIST-0502</t>
  </si>
  <si>
    <t>DIST-0503</t>
  </si>
  <si>
    <t>DIST-0504</t>
  </si>
  <si>
    <t>DIST-0505</t>
  </si>
  <si>
    <t>DIST-0506</t>
  </si>
  <si>
    <t>DIST-0507</t>
  </si>
  <si>
    <t>DIST-0508</t>
  </si>
  <si>
    <t>DIST-0509</t>
  </si>
  <si>
    <t>DIST-0510</t>
  </si>
  <si>
    <t>DIST-0511</t>
  </si>
  <si>
    <t>DIST-0512</t>
  </si>
  <si>
    <t>DIST-0513</t>
  </si>
  <si>
    <t>DIST-0514</t>
  </si>
  <si>
    <t>DIST-0515</t>
  </si>
  <si>
    <t>DIST-0516</t>
  </si>
  <si>
    <t>DIST-0517</t>
  </si>
  <si>
    <t>DIST-0518</t>
  </si>
  <si>
    <t>DIST-0519</t>
  </si>
  <si>
    <t>DIST-0520</t>
  </si>
  <si>
    <t>DIST-0521</t>
  </si>
  <si>
    <t>DIST-0522</t>
  </si>
  <si>
    <t>DIST-0523</t>
  </si>
  <si>
    <t>DIST-0524</t>
  </si>
  <si>
    <t>DIST-0525</t>
  </si>
  <si>
    <t>DIST-0526</t>
  </si>
  <si>
    <t>DIST-0527</t>
  </si>
  <si>
    <t>DIST-0528</t>
  </si>
  <si>
    <t>DIST-0529</t>
  </si>
  <si>
    <t>DIST-0530</t>
  </si>
  <si>
    <t>DIST-0531</t>
  </si>
  <si>
    <t>DIST-0532</t>
  </si>
  <si>
    <t>DIST-0533</t>
  </si>
  <si>
    <t>DIST-0534</t>
  </si>
  <si>
    <t>DIST-0535</t>
  </si>
  <si>
    <t>DIST-0536</t>
  </si>
  <si>
    <t>DIST-0537</t>
  </si>
  <si>
    <t>DIST-0538</t>
  </si>
  <si>
    <t>DIST-0539</t>
  </si>
  <si>
    <t>DIST-0540</t>
  </si>
  <si>
    <t>DIST-0541</t>
  </si>
  <si>
    <t>DIST-0542</t>
  </si>
  <si>
    <t>DIST-0543</t>
  </si>
  <si>
    <t>DIST-0544</t>
  </si>
  <si>
    <t>DIST-0545</t>
  </si>
  <si>
    <t>DIST-0546</t>
  </si>
  <si>
    <t>DIST-0547</t>
  </si>
  <si>
    <t>DIST-0548</t>
  </si>
  <si>
    <t>DIST-0549</t>
  </si>
  <si>
    <t>DIST-0550</t>
  </si>
  <si>
    <t>DIST-0551</t>
  </si>
  <si>
    <t>DIST-0552</t>
  </si>
  <si>
    <t>DIST-0553</t>
  </si>
  <si>
    <t>DIST-0554</t>
  </si>
  <si>
    <t>DIST-0555</t>
  </si>
  <si>
    <t>DIST-0556</t>
  </si>
  <si>
    <t>DIST-0557</t>
  </si>
  <si>
    <t>DIST-0558</t>
  </si>
  <si>
    <t>DIST-0559</t>
  </si>
  <si>
    <t>DIST-0560</t>
  </si>
  <si>
    <t>DIST-0561</t>
  </si>
  <si>
    <t>DIST-0562</t>
  </si>
  <si>
    <t>DIST-0563</t>
  </si>
  <si>
    <t>DIST-0564</t>
  </si>
  <si>
    <t>DIST-0565</t>
  </si>
  <si>
    <t>DIST-0566</t>
  </si>
  <si>
    <t>DIST-0567</t>
  </si>
  <si>
    <t>DIST-0568</t>
  </si>
  <si>
    <t>DIST-0569</t>
  </si>
  <si>
    <t>DIST-0570</t>
  </si>
  <si>
    <t>DIST-0571</t>
  </si>
  <si>
    <t>DIST-0572</t>
  </si>
  <si>
    <t>DIST-0573</t>
  </si>
  <si>
    <t>DIST-0574</t>
  </si>
  <si>
    <t>DIST-0575</t>
  </si>
  <si>
    <t>DIST-0576</t>
  </si>
  <si>
    <t>DIST-0577</t>
  </si>
  <si>
    <t>DIST-0578</t>
  </si>
  <si>
    <t>DIST-0579</t>
  </si>
  <si>
    <t>DIST-0580</t>
  </si>
  <si>
    <t>DIST-0581</t>
  </si>
  <si>
    <t>DIST-0582</t>
  </si>
  <si>
    <t>DIST-0583</t>
  </si>
  <si>
    <t>DIST-0584</t>
  </si>
  <si>
    <t>DIST-0585</t>
  </si>
  <si>
    <t>DIST-0586</t>
  </si>
  <si>
    <t>DIST-0587</t>
  </si>
  <si>
    <t>DIST-0588</t>
  </si>
  <si>
    <t>DIST-0589</t>
  </si>
  <si>
    <t>DIST-0601</t>
  </si>
  <si>
    <t>DIST-0602</t>
  </si>
  <si>
    <t>DIST-0603</t>
  </si>
  <si>
    <t>DIST-0604</t>
  </si>
  <si>
    <t>DIST-0605</t>
  </si>
  <si>
    <t>DIST-0606</t>
  </si>
  <si>
    <t>DIST-0607</t>
  </si>
  <si>
    <t>DIST-0608</t>
  </si>
  <si>
    <t>DIST-0609</t>
  </si>
  <si>
    <t>DIST-0610</t>
  </si>
  <si>
    <t>DIST-0611</t>
  </si>
  <si>
    <t>DIST-0590</t>
  </si>
  <si>
    <t>DIST-0591</t>
  </si>
  <si>
    <t>DIST-0592</t>
  </si>
  <si>
    <t>DIST-0593</t>
  </si>
  <si>
    <t>DIST-0594</t>
  </si>
  <si>
    <t>DIST-0595</t>
  </si>
  <si>
    <t>DIST-0596</t>
  </si>
  <si>
    <t>DIST-0597</t>
  </si>
  <si>
    <t>DIST-0598</t>
  </si>
  <si>
    <t>DIST-0599</t>
  </si>
  <si>
    <t>DIST-0600</t>
  </si>
  <si>
    <t>DIST-0633</t>
  </si>
  <si>
    <t>DIST-0634</t>
  </si>
  <si>
    <t>DIST-0635</t>
  </si>
  <si>
    <t>DIST-0636</t>
  </si>
  <si>
    <t>DIST-0637</t>
  </si>
  <si>
    <t>DIST-0638</t>
  </si>
  <si>
    <t>DIST-0639</t>
  </si>
  <si>
    <t>DIST-0612</t>
  </si>
  <si>
    <t>DIST-0613</t>
  </si>
  <si>
    <t>DIST-0614</t>
  </si>
  <si>
    <t>DIST-0615</t>
  </si>
  <si>
    <t>DIST-0616</t>
  </si>
  <si>
    <t>DIST-0617</t>
  </si>
  <si>
    <t>DIST-0618</t>
  </si>
  <si>
    <t>DIST-0619</t>
  </si>
  <si>
    <t>DIST-0620</t>
  </si>
  <si>
    <t>DIST-0621</t>
  </si>
  <si>
    <t>DIST-0622</t>
  </si>
  <si>
    <t>DIST-0623</t>
  </si>
  <si>
    <t>DIST-0624</t>
  </si>
  <si>
    <t>DIST-0625</t>
  </si>
  <si>
    <t>DIST-0626</t>
  </si>
  <si>
    <t>DIST-0627</t>
  </si>
  <si>
    <t>DIST-0628</t>
  </si>
  <si>
    <t>DIST-0629</t>
  </si>
  <si>
    <t>DIST-0630</t>
  </si>
  <si>
    <t>DIST-0631</t>
  </si>
  <si>
    <t>DIST-0632</t>
  </si>
  <si>
    <t>DIST-0640</t>
  </si>
  <si>
    <t>DIST-0641</t>
  </si>
  <si>
    <t>DIST-0642</t>
  </si>
  <si>
    <t>DIST-0643</t>
  </si>
  <si>
    <t>DIST-0644</t>
  </si>
  <si>
    <t>DIST-0645</t>
  </si>
  <si>
    <t>DIST-0646</t>
  </si>
  <si>
    <t>DIST-0647</t>
  </si>
  <si>
    <t>DIST-0648</t>
  </si>
  <si>
    <t>DIST-0649</t>
  </si>
  <si>
    <t>DIST-0650</t>
  </si>
  <si>
    <t>DIST-0651</t>
  </si>
  <si>
    <t>DIST-0652</t>
  </si>
  <si>
    <t>DIST-0653</t>
  </si>
  <si>
    <t>DIST-0654</t>
  </si>
  <si>
    <t>DIST-0655</t>
  </si>
  <si>
    <t>DIST-0656</t>
  </si>
  <si>
    <t>DIST-0657</t>
  </si>
  <si>
    <t>DIST-0658</t>
  </si>
  <si>
    <t>DIST-0659</t>
  </si>
  <si>
    <t>DIST-0660</t>
  </si>
  <si>
    <t>DIST-0661</t>
  </si>
  <si>
    <t>DIST-0662</t>
  </si>
  <si>
    <t>DIST-0663</t>
  </si>
  <si>
    <t>DIST-0664</t>
  </si>
  <si>
    <t>DIST-0665</t>
  </si>
  <si>
    <t>DIST-0666</t>
  </si>
  <si>
    <t>DIST-0667</t>
  </si>
  <si>
    <t>DIST-0668</t>
  </si>
  <si>
    <t>DIST-0669</t>
  </si>
  <si>
    <t>DIST-0670</t>
  </si>
  <si>
    <t>DIST-0671</t>
  </si>
  <si>
    <t>DIST-0672</t>
  </si>
  <si>
    <t>DIST-0673</t>
  </si>
  <si>
    <t>DIST-0674</t>
  </si>
  <si>
    <t>DIST-0675</t>
  </si>
  <si>
    <t>DIST-0676</t>
  </si>
  <si>
    <t>DIST-0677</t>
  </si>
  <si>
    <t>DIST-0678</t>
  </si>
  <si>
    <t>DIST-0679</t>
  </si>
  <si>
    <t>DIST-0680</t>
  </si>
  <si>
    <t>DIST-0681</t>
  </si>
  <si>
    <t>DIST-0682</t>
  </si>
  <si>
    <t>DIST-0683</t>
  </si>
  <si>
    <t>DIST-0684</t>
  </si>
  <si>
    <t>DIST-0685</t>
  </si>
  <si>
    <t>DIST-0686</t>
  </si>
  <si>
    <t>DIST-0687</t>
  </si>
  <si>
    <t>DIST-0688</t>
  </si>
  <si>
    <t>DIST-0689</t>
  </si>
  <si>
    <t>DIST-0690</t>
  </si>
  <si>
    <t>DIST-0691</t>
  </si>
  <si>
    <t>DIST-0692</t>
  </si>
  <si>
    <t>DIST-0693</t>
  </si>
  <si>
    <t>DIST-0694</t>
  </si>
  <si>
    <t>DIST-0695</t>
  </si>
  <si>
    <t>DIST-0696</t>
  </si>
  <si>
    <t>DIST-0697</t>
  </si>
  <si>
    <t>DIST-0698</t>
  </si>
  <si>
    <t>DIST-0699</t>
  </si>
  <si>
    <t>DIST-0711</t>
  </si>
  <si>
    <t>DIST-0712</t>
  </si>
  <si>
    <t>DIST-0713</t>
  </si>
  <si>
    <t>DIST-0714</t>
  </si>
  <si>
    <t>DIST-0715</t>
  </si>
  <si>
    <t>DIST-0716</t>
  </si>
  <si>
    <t>DIST-0717</t>
  </si>
  <si>
    <t>DIST-0718</t>
  </si>
  <si>
    <t>DIST-0719</t>
  </si>
  <si>
    <t>DIST-0720</t>
  </si>
  <si>
    <t>DIST-0721</t>
  </si>
  <si>
    <t>DIST-0722</t>
  </si>
  <si>
    <t>DIST-0723</t>
  </si>
  <si>
    <t>DIST-0724</t>
  </si>
  <si>
    <t>DIST-0725</t>
  </si>
  <si>
    <t>DIST-0726</t>
  </si>
  <si>
    <t>DIST-0727</t>
  </si>
  <si>
    <t>DIST-0728</t>
  </si>
  <si>
    <t>DIST-0729</t>
  </si>
  <si>
    <t>DIST-0730</t>
  </si>
  <si>
    <t>DIST-0731</t>
  </si>
  <si>
    <t>DIST-0700</t>
  </si>
  <si>
    <t>DIST-0701</t>
  </si>
  <si>
    <t>DIST-0702</t>
  </si>
  <si>
    <t>DIST-0703</t>
  </si>
  <si>
    <t>DIST-0704</t>
  </si>
  <si>
    <t>DIST-0705</t>
  </si>
  <si>
    <t>DIST-0706</t>
  </si>
  <si>
    <t>DIST-0707</t>
  </si>
  <si>
    <t>DIST-0708</t>
  </si>
  <si>
    <t>DIST-0709</t>
  </si>
  <si>
    <t>DIST-0710</t>
  </si>
  <si>
    <t>DIST-0732</t>
  </si>
  <si>
    <t>DIST-0733</t>
  </si>
  <si>
    <t>DIST-0734</t>
  </si>
  <si>
    <t>DIST-0735</t>
  </si>
  <si>
    <t>DIST-0736</t>
  </si>
  <si>
    <t>DIST-0737</t>
  </si>
  <si>
    <t>DIST-0738</t>
  </si>
  <si>
    <t>DIST-0739</t>
  </si>
  <si>
    <t>DIST-0740</t>
  </si>
  <si>
    <t>DIST-0741</t>
  </si>
  <si>
    <t>DIST-0742</t>
  </si>
  <si>
    <t>DIST-0743</t>
  </si>
  <si>
    <t>DIST-0753</t>
  </si>
  <si>
    <t>DIST-0754</t>
  </si>
  <si>
    <t>DIST-0755</t>
  </si>
  <si>
    <t>DIST-0756</t>
  </si>
  <si>
    <t>DIST-0757</t>
  </si>
  <si>
    <t>DIST-0758</t>
  </si>
  <si>
    <t>DIST-0759</t>
  </si>
  <si>
    <t>DIST-0760</t>
  </si>
  <si>
    <t>DIST-0761</t>
  </si>
  <si>
    <t>DIST-0762</t>
  </si>
  <si>
    <t>DIST-0763</t>
  </si>
  <si>
    <t>DIST-0764</t>
  </si>
  <si>
    <t>DIST-0765</t>
  </si>
  <si>
    <t>DIST-0766</t>
  </si>
  <si>
    <t>DIST-0767</t>
  </si>
  <si>
    <t>DIST-0768</t>
  </si>
  <si>
    <t>DIST-0769</t>
  </si>
  <si>
    <t>DIST-0770</t>
  </si>
  <si>
    <t>DIST-0771</t>
  </si>
  <si>
    <t>DIST-0772</t>
  </si>
  <si>
    <t>DIST-0773</t>
  </si>
  <si>
    <t>DIST-0744</t>
  </si>
  <si>
    <t>DIST-0745</t>
  </si>
  <si>
    <t>DIST-0746</t>
  </si>
  <si>
    <t>DIST-0747</t>
  </si>
  <si>
    <t>DIST-0748</t>
  </si>
  <si>
    <t>DIST-0749</t>
  </si>
  <si>
    <t>DIST-0750</t>
  </si>
  <si>
    <t>DIST-0751</t>
  </si>
  <si>
    <t>DIST-0752</t>
  </si>
  <si>
    <t>DIST-0774</t>
  </si>
  <si>
    <t>DIST-0775</t>
  </si>
  <si>
    <t>DIST-0776</t>
  </si>
  <si>
    <t>DIST-0777</t>
  </si>
  <si>
    <t>DIST-0778</t>
  </si>
  <si>
    <t>DIST-0779</t>
  </si>
  <si>
    <t>DIST-0780</t>
  </si>
  <si>
    <t>DIST-0781</t>
  </si>
  <si>
    <t>DIST-0782</t>
  </si>
  <si>
    <t>DIST-0783</t>
  </si>
  <si>
    <t>DIST-0784</t>
  </si>
  <si>
    <t>DIST-0785</t>
  </si>
  <si>
    <t>DIST-0786</t>
  </si>
  <si>
    <t>DIST-0787</t>
  </si>
  <si>
    <t>DIST-0788</t>
  </si>
  <si>
    <t>DIST-0789</t>
  </si>
  <si>
    <t>DIST-0790</t>
  </si>
  <si>
    <t>DIST-0791</t>
  </si>
  <si>
    <t>DIST-0792</t>
  </si>
  <si>
    <t>DIST-0793</t>
  </si>
  <si>
    <t>DIST-0794</t>
  </si>
  <si>
    <t>DIST-0795</t>
  </si>
  <si>
    <t>DIST-0796</t>
  </si>
  <si>
    <t>DIST-0797</t>
  </si>
  <si>
    <t>DIST-0798</t>
  </si>
  <si>
    <t>DIST-0799</t>
  </si>
  <si>
    <t>DIST-0800</t>
  </si>
  <si>
    <t>DIST-0801</t>
  </si>
  <si>
    <t>DIST-0802</t>
  </si>
  <si>
    <t>DIST-0803</t>
  </si>
  <si>
    <t>DIST-0804</t>
  </si>
  <si>
    <t>DIST-0805</t>
  </si>
  <si>
    <t>DIST-0806</t>
  </si>
  <si>
    <t>DIST-0807</t>
  </si>
  <si>
    <t>DIST-0808</t>
  </si>
  <si>
    <t>DIST-0809</t>
  </si>
  <si>
    <t>DIST-0810</t>
  </si>
  <si>
    <t>DIST-0811</t>
  </si>
  <si>
    <t>DIST-0812</t>
  </si>
  <si>
    <t>DIST-0813</t>
  </si>
  <si>
    <t>DIST-0814</t>
  </si>
  <si>
    <t>DIST-0815</t>
  </si>
  <si>
    <t>DIST-0816</t>
  </si>
  <si>
    <t>DIST-0817</t>
  </si>
  <si>
    <t>DIST-0818</t>
  </si>
  <si>
    <t>DIST-0819</t>
  </si>
  <si>
    <t>DIST-0820</t>
  </si>
  <si>
    <t>DIST-0821</t>
  </si>
  <si>
    <t>DIST-0822</t>
  </si>
  <si>
    <t>DIST-0823</t>
  </si>
  <si>
    <t>DIST-0836</t>
  </si>
  <si>
    <t>DIST-0837</t>
  </si>
  <si>
    <t>DIST-0838</t>
  </si>
  <si>
    <t>DIST-0839</t>
  </si>
  <si>
    <t>DIST-0840</t>
  </si>
  <si>
    <t>DIST-0841</t>
  </si>
  <si>
    <t>DIST-0824</t>
  </si>
  <si>
    <t>DIST-0825</t>
  </si>
  <si>
    <t>DIST-0826</t>
  </si>
  <si>
    <t>DIST-0827</t>
  </si>
  <si>
    <t>DIST-0828</t>
  </si>
  <si>
    <t>DIST-0829</t>
  </si>
  <si>
    <t>DIST-0830</t>
  </si>
  <si>
    <t>DIST-0831</t>
  </si>
  <si>
    <t>DIST-0832</t>
  </si>
  <si>
    <t>DIST-0833</t>
  </si>
  <si>
    <t>DIST-0834</t>
  </si>
  <si>
    <t>DIST-0835</t>
  </si>
  <si>
    <t>DIST-0849</t>
  </si>
  <si>
    <t>DIST-0850</t>
  </si>
  <si>
    <t>DIST-0851</t>
  </si>
  <si>
    <t>DIST-0852</t>
  </si>
  <si>
    <t>DIST-0853</t>
  </si>
  <si>
    <t>DIST-0854</t>
  </si>
  <si>
    <t>DIST-0855</t>
  </si>
  <si>
    <t>DIST-0856</t>
  </si>
  <si>
    <t>DIST-0842</t>
  </si>
  <si>
    <t>DIST-0843</t>
  </si>
  <si>
    <t>DIST-0844</t>
  </si>
  <si>
    <t>DIST-0845</t>
  </si>
  <si>
    <t>DIST-0846</t>
  </si>
  <si>
    <t>DIST-0847</t>
  </si>
  <si>
    <t>DIST-0848</t>
  </si>
  <si>
    <t>DIST-0857</t>
  </si>
  <si>
    <t>DIST-0858</t>
  </si>
  <si>
    <t>DIST-0859</t>
  </si>
  <si>
    <t>DIST-0860</t>
  </si>
  <si>
    <t>DIST-0861</t>
  </si>
  <si>
    <t>DIST-0862</t>
  </si>
  <si>
    <t>DIST-0863</t>
  </si>
  <si>
    <t>DIST-0864</t>
  </si>
  <si>
    <t>DIST-0865</t>
  </si>
  <si>
    <t>DIST-0866</t>
  </si>
  <si>
    <t>DIST-0867</t>
  </si>
  <si>
    <t>DIST-0868</t>
  </si>
  <si>
    <t>DIST-0869</t>
  </si>
  <si>
    <t>DIST-0870</t>
  </si>
  <si>
    <t>DIST-0871</t>
  </si>
  <si>
    <t>DIST-0872</t>
  </si>
  <si>
    <t>DIST-0873</t>
  </si>
  <si>
    <t>DIST-0874</t>
  </si>
  <si>
    <t>DIST-0875</t>
  </si>
  <si>
    <t>DIST-0876</t>
  </si>
  <si>
    <t>DIST-0877</t>
  </si>
  <si>
    <t>DIST-0878</t>
  </si>
  <si>
    <t>DIST-0879</t>
  </si>
  <si>
    <t>DIST-0880</t>
  </si>
  <si>
    <t>DIST-0881</t>
  </si>
  <si>
    <t>DIST-0882</t>
  </si>
  <si>
    <t>DIST-0883</t>
  </si>
  <si>
    <t>DIST-0884</t>
  </si>
  <si>
    <t>DIST-0885</t>
  </si>
  <si>
    <t>DIST-0886</t>
  </si>
  <si>
    <t>DIST-0887</t>
  </si>
  <si>
    <t>DIST-0888</t>
  </si>
  <si>
    <t>DIST-0889</t>
  </si>
  <si>
    <t>DIST-0890</t>
  </si>
  <si>
    <t>DIST-0891</t>
  </si>
  <si>
    <t>DIST-0892</t>
  </si>
  <si>
    <t>DIST-0893</t>
  </si>
  <si>
    <t>DIST-0894</t>
  </si>
  <si>
    <t>DIST-0917</t>
  </si>
  <si>
    <t>DIST-0918</t>
  </si>
  <si>
    <t>DIST-0919</t>
  </si>
  <si>
    <t>DIST-0920</t>
  </si>
  <si>
    <t>DIST-0921</t>
  </si>
  <si>
    <t>DIST-0922</t>
  </si>
  <si>
    <t>DIST-0895</t>
  </si>
  <si>
    <t>DIST-0896</t>
  </si>
  <si>
    <t>DIST-0897</t>
  </si>
  <si>
    <t>DIST-0898</t>
  </si>
  <si>
    <t>DIST-0899</t>
  </si>
  <si>
    <t>DIST-0900</t>
  </si>
  <si>
    <t>DIST-0901</t>
  </si>
  <si>
    <t>DIST-0902</t>
  </si>
  <si>
    <t>DIST-0903</t>
  </si>
  <si>
    <t>DIST-0904</t>
  </si>
  <si>
    <t>DIST-0905</t>
  </si>
  <si>
    <t>DIST-0906</t>
  </si>
  <si>
    <t>DIST-0907</t>
  </si>
  <si>
    <t>DIST-0908</t>
  </si>
  <si>
    <t>DIST-0909</t>
  </si>
  <si>
    <t>DIST-0910</t>
  </si>
  <si>
    <t>DIST-0911</t>
  </si>
  <si>
    <t>DIST-0912</t>
  </si>
  <si>
    <t>DIST-0913</t>
  </si>
  <si>
    <t>DIST-0914</t>
  </si>
  <si>
    <t>DIST-0915</t>
  </si>
  <si>
    <t>DIST-0916</t>
  </si>
  <si>
    <t>DIST-0923</t>
  </si>
  <si>
    <t>DIST-0924</t>
  </si>
  <si>
    <t>DIST-0925</t>
  </si>
  <si>
    <t>DIST-0926</t>
  </si>
  <si>
    <t>DIST-0927</t>
  </si>
  <si>
    <t>DIST-0928</t>
  </si>
  <si>
    <t>DIST-0929</t>
  </si>
  <si>
    <t>DIST-0930</t>
  </si>
  <si>
    <t>DIST-0931</t>
  </si>
  <si>
    <t>DIST-0932</t>
  </si>
  <si>
    <t>DIST-0933</t>
  </si>
  <si>
    <t>DIST-0934</t>
  </si>
  <si>
    <t>DIST-0935</t>
  </si>
  <si>
    <t>DIST-0936</t>
  </si>
  <si>
    <t>DIST-0937</t>
  </si>
  <si>
    <t>DIST-0943</t>
  </si>
  <si>
    <t>DIST-0944</t>
  </si>
  <si>
    <t>DIST-0945</t>
  </si>
  <si>
    <t>DIST-0946</t>
  </si>
  <si>
    <t>DIST-0947</t>
  </si>
  <si>
    <t>DIST-0948</t>
  </si>
  <si>
    <t>DIST-0949</t>
  </si>
  <si>
    <t>DIST-0950</t>
  </si>
  <si>
    <t>DIST-0951</t>
  </si>
  <si>
    <t>DIST-0952</t>
  </si>
  <si>
    <t>DIST-0938</t>
  </si>
  <si>
    <t>DIST-0939</t>
  </si>
  <si>
    <t>DIST-0940</t>
  </si>
  <si>
    <t>DIST-0941</t>
  </si>
  <si>
    <t>DIST-0942</t>
  </si>
  <si>
    <t>DIST-0953</t>
  </si>
  <si>
    <t>DIST-0954</t>
  </si>
  <si>
    <t>DIST-0955</t>
  </si>
  <si>
    <t>DIST-0956</t>
  </si>
  <si>
    <t>DIST-0957</t>
  </si>
  <si>
    <t>DIST-0958</t>
  </si>
  <si>
    <t>DIST-0959</t>
  </si>
  <si>
    <t>DIST-0960</t>
  </si>
  <si>
    <t>DIST-0961</t>
  </si>
  <si>
    <t>DIST-0962</t>
  </si>
  <si>
    <t>DIST-0963</t>
  </si>
  <si>
    <t>DIST-0964</t>
  </si>
  <si>
    <t>DIST-0965</t>
  </si>
  <si>
    <t>DIST-0966</t>
  </si>
  <si>
    <t>DIST-0967</t>
  </si>
  <si>
    <t>DIST-0975</t>
  </si>
  <si>
    <t>DIST-0976</t>
  </si>
  <si>
    <t>DIST-0977</t>
  </si>
  <si>
    <t>DIST-0978</t>
  </si>
  <si>
    <t>DIST-0979</t>
  </si>
  <si>
    <t>DIST-0980</t>
  </si>
  <si>
    <t>DIST-0981</t>
  </si>
  <si>
    <t>DIST-0982</t>
  </si>
  <si>
    <t>DIST-0983</t>
  </si>
  <si>
    <t>DIST-0984</t>
  </si>
  <si>
    <t>DIST-0985</t>
  </si>
  <si>
    <t>DIST-0986</t>
  </si>
  <si>
    <t>DIST-0987</t>
  </si>
  <si>
    <t>DIST-0988</t>
  </si>
  <si>
    <t>DIST-0989</t>
  </si>
  <si>
    <t>DIST-0990</t>
  </si>
  <si>
    <t>DIST-0991</t>
  </si>
  <si>
    <t>DIST-0992</t>
  </si>
  <si>
    <t>DIST-0993</t>
  </si>
  <si>
    <t>DIST-0994</t>
  </si>
  <si>
    <t>DIST-0995</t>
  </si>
  <si>
    <t>DIST-0968</t>
  </si>
  <si>
    <t>DIST-0969</t>
  </si>
  <si>
    <t>DIST-0970</t>
  </si>
  <si>
    <t>DIST-0971</t>
  </si>
  <si>
    <t>DIST-0972</t>
  </si>
  <si>
    <t>DIST-0973</t>
  </si>
  <si>
    <t>DIST-0974</t>
  </si>
  <si>
    <t>DIST-1029</t>
  </si>
  <si>
    <t>DIST-1030</t>
  </si>
  <si>
    <t>DIST-1031</t>
  </si>
  <si>
    <t>DIST-1032</t>
  </si>
  <si>
    <t>DIST-1033</t>
  </si>
  <si>
    <t>DIST-1034</t>
  </si>
  <si>
    <t>DIST-1035</t>
  </si>
  <si>
    <t>DIST-1036</t>
  </si>
  <si>
    <t>DIST-1037</t>
  </si>
  <si>
    <t>DIST-1038</t>
  </si>
  <si>
    <t>DIST-1039</t>
  </si>
  <si>
    <t>DIST-1018</t>
  </si>
  <si>
    <t>DIST-1019</t>
  </si>
  <si>
    <t>DIST-1020</t>
  </si>
  <si>
    <t>DIST-1021</t>
  </si>
  <si>
    <t>DIST-1022</t>
  </si>
  <si>
    <t>DIST-1023</t>
  </si>
  <si>
    <t>DIST-1024</t>
  </si>
  <si>
    <t>DIST-1025</t>
  </si>
  <si>
    <t>DIST-1026</t>
  </si>
  <si>
    <t>DIST-1027</t>
  </si>
  <si>
    <t>DIST-1028</t>
  </si>
  <si>
    <t>DIST-0996</t>
  </si>
  <si>
    <t>DIST-0997</t>
  </si>
  <si>
    <t>DIST-0998</t>
  </si>
  <si>
    <t>DIST-0999</t>
  </si>
  <si>
    <t>DIST-1000</t>
  </si>
  <si>
    <t>DIST-1001</t>
  </si>
  <si>
    <t>DIST-1002</t>
  </si>
  <si>
    <t>DIST-1003</t>
  </si>
  <si>
    <t>DIST-1004</t>
  </si>
  <si>
    <t>DIST-1005</t>
  </si>
  <si>
    <t>DIST-1006</t>
  </si>
  <si>
    <t>DIST-1007</t>
  </si>
  <si>
    <t>DIST-1008</t>
  </si>
  <si>
    <t>DIST-1009</t>
  </si>
  <si>
    <t>DIST-1010</t>
  </si>
  <si>
    <t>DIST-1011</t>
  </si>
  <si>
    <t>DIST-1012</t>
  </si>
  <si>
    <t>DIST-1013</t>
  </si>
  <si>
    <t>DIST-1014</t>
  </si>
  <si>
    <t>DIST-1015</t>
  </si>
  <si>
    <t>DIST-1016</t>
  </si>
  <si>
    <t>DIST-1017</t>
  </si>
  <si>
    <t>DIST-1048</t>
  </si>
  <si>
    <t>DIST-1049</t>
  </si>
  <si>
    <t>DIST-1050</t>
  </si>
  <si>
    <t>DIST-1051</t>
  </si>
  <si>
    <t>DIST-1052</t>
  </si>
  <si>
    <t>DIST-1053</t>
  </si>
  <si>
    <t>DIST-1054</t>
  </si>
  <si>
    <t>DIST-1055</t>
  </si>
  <si>
    <t>DIST-1056</t>
  </si>
  <si>
    <t>DIST-1057</t>
  </si>
  <si>
    <t>DIST-1058</t>
  </si>
  <si>
    <t>DIST-1059</t>
  </si>
  <si>
    <t>DIST-1060</t>
  </si>
  <si>
    <t>DIST-1061</t>
  </si>
  <si>
    <t>DIST-1062</t>
  </si>
  <si>
    <t>DIST-1063</t>
  </si>
  <si>
    <t>DIST-1064</t>
  </si>
  <si>
    <t>DIST-1065</t>
  </si>
  <si>
    <t>DIST-1066</t>
  </si>
  <si>
    <t>DIST-1067</t>
  </si>
  <si>
    <t>DIST-1068</t>
  </si>
  <si>
    <t>DIST-1069</t>
  </si>
  <si>
    <t>DIST-1070</t>
  </si>
  <si>
    <t>DIST-1071</t>
  </si>
  <si>
    <t>DIST-1072</t>
  </si>
  <si>
    <t>DIST-1073</t>
  </si>
  <si>
    <t>DIST-1074</t>
  </si>
  <si>
    <t>DIST-1075</t>
  </si>
  <si>
    <t>DIST-1076</t>
  </si>
  <si>
    <t>DIST-1040</t>
  </si>
  <si>
    <t>DIST-1041</t>
  </si>
  <si>
    <t>DIST-1042</t>
  </si>
  <si>
    <t>DIST-1043</t>
  </si>
  <si>
    <t>DIST-1044</t>
  </si>
  <si>
    <t>DIST-1045</t>
  </si>
  <si>
    <t>DIST-1046</t>
  </si>
  <si>
    <t>DIST-1047</t>
  </si>
  <si>
    <t>DIST-1088</t>
  </si>
  <si>
    <t>DIST-1089</t>
  </si>
  <si>
    <t>DIST-1090</t>
  </si>
  <si>
    <t>DIST-1091</t>
  </si>
  <si>
    <t>DIST-1092</t>
  </si>
  <si>
    <t>DIST-1093</t>
  </si>
  <si>
    <t>DIST-1094</t>
  </si>
  <si>
    <t>DIST-1095</t>
  </si>
  <si>
    <t>DIST-1096</t>
  </si>
  <si>
    <t>DIST-1097</t>
  </si>
  <si>
    <t>DIST-1077</t>
  </si>
  <si>
    <t>DIST-1078</t>
  </si>
  <si>
    <t>DIST-1079</t>
  </si>
  <si>
    <t>DIST-1080</t>
  </si>
  <si>
    <t>DIST-1081</t>
  </si>
  <si>
    <t>DIST-1082</t>
  </si>
  <si>
    <t>DIST-1083</t>
  </si>
  <si>
    <t>DIST-1084</t>
  </si>
  <si>
    <t>DIST-1085</t>
  </si>
  <si>
    <t>DIST-1086</t>
  </si>
  <si>
    <t>DIST-1087</t>
  </si>
  <si>
    <t>DIST-1098</t>
  </si>
  <si>
    <t>DIST-1099</t>
  </si>
  <si>
    <t>DIST-1100</t>
  </si>
  <si>
    <t>DIST-1101</t>
  </si>
  <si>
    <t>DIST-1102</t>
  </si>
  <si>
    <t>DIST-1103</t>
  </si>
  <si>
    <t>DIST-1104</t>
  </si>
  <si>
    <t>DIST-1105</t>
  </si>
  <si>
    <t>DIST-1106</t>
  </si>
  <si>
    <t>DIST-1107</t>
  </si>
  <si>
    <t>DIST-1108</t>
  </si>
  <si>
    <t>DIST-1109</t>
  </si>
  <si>
    <t>DIST-1110</t>
  </si>
  <si>
    <t>DIST-1111</t>
  </si>
  <si>
    <t>DIST-1112</t>
  </si>
  <si>
    <t>DIST-1113</t>
  </si>
  <si>
    <t>DIST-1114</t>
  </si>
  <si>
    <t>DIST-1115</t>
  </si>
  <si>
    <t>DIST-1116</t>
  </si>
  <si>
    <t>DIST-1117</t>
  </si>
  <si>
    <t>DIST-1118</t>
  </si>
  <si>
    <t>DIST-1119</t>
  </si>
  <si>
    <t>DIST-1120</t>
  </si>
  <si>
    <t>DIST-1121</t>
  </si>
  <si>
    <t>DIST-1122</t>
  </si>
  <si>
    <t>DIST-1123</t>
  </si>
  <si>
    <t>DIST-1124</t>
  </si>
  <si>
    <t>DIST-1125</t>
  </si>
  <si>
    <t>DIST-1126</t>
  </si>
  <si>
    <t>DIST-1127</t>
  </si>
  <si>
    <t>DIST-1128</t>
  </si>
  <si>
    <t>DIST-1141</t>
  </si>
  <si>
    <t>DIST-1142</t>
  </si>
  <si>
    <t>DIST-1143</t>
  </si>
  <si>
    <t>DIST-1144</t>
  </si>
  <si>
    <t>DIST-1145</t>
  </si>
  <si>
    <t>DIST-1146</t>
  </si>
  <si>
    <t>DIST-1147</t>
  </si>
  <si>
    <t>DIST-1148</t>
  </si>
  <si>
    <t>DIST-1149</t>
  </si>
  <si>
    <t>DIST-1150</t>
  </si>
  <si>
    <t>DIST-1151</t>
  </si>
  <si>
    <t>DIST-1152</t>
  </si>
  <si>
    <t>DIST-1153</t>
  </si>
  <si>
    <t>DIST-1154</t>
  </si>
  <si>
    <t>DIST-1155</t>
  </si>
  <si>
    <t>DIST-1156</t>
  </si>
  <si>
    <t>DIST-1157</t>
  </si>
  <si>
    <t>DIST-1129</t>
  </si>
  <si>
    <t>DIST-1130</t>
  </si>
  <si>
    <t>DIST-1131</t>
  </si>
  <si>
    <t>DIST-1132</t>
  </si>
  <si>
    <t>DIST-1133</t>
  </si>
  <si>
    <t>DIST-1134</t>
  </si>
  <si>
    <t>DIST-1135</t>
  </si>
  <si>
    <t>DIST-1136</t>
  </si>
  <si>
    <t>DIST-1137</t>
  </si>
  <si>
    <t>DIST-1138</t>
  </si>
  <si>
    <t>DIST-1139</t>
  </si>
  <si>
    <t>DIST-1140</t>
  </si>
  <si>
    <t>DIST-1158</t>
  </si>
  <si>
    <t>DIST-1159</t>
  </si>
  <si>
    <t>DIST-1160</t>
  </si>
  <si>
    <t>DIST-1161</t>
  </si>
  <si>
    <t>DIST-1162</t>
  </si>
  <si>
    <t>DIST-1163</t>
  </si>
  <si>
    <t>DIST-1164</t>
  </si>
  <si>
    <t>DIST-1165</t>
  </si>
  <si>
    <t>DIST-1166</t>
  </si>
  <si>
    <t>DIST-1167</t>
  </si>
  <si>
    <t>DIST-1168</t>
  </si>
  <si>
    <t>DIST-1169</t>
  </si>
  <si>
    <t>DIST-1170</t>
  </si>
  <si>
    <t>DIST-1171</t>
  </si>
  <si>
    <t>DIST-1172</t>
  </si>
  <si>
    <t>DIST-1173</t>
  </si>
  <si>
    <t>DIST-1174</t>
  </si>
  <si>
    <t>DIST-1175</t>
  </si>
  <si>
    <t>DIST-1176</t>
  </si>
  <si>
    <t>DIST-1177</t>
  </si>
  <si>
    <t>DIST-1178</t>
  </si>
  <si>
    <t>DIST-1179</t>
  </si>
  <si>
    <t>DIST-1180</t>
  </si>
  <si>
    <t>DIST-1181</t>
  </si>
  <si>
    <t>DIST-1182</t>
  </si>
  <si>
    <t>DIST-1183</t>
  </si>
  <si>
    <t>DIST-1184</t>
  </si>
  <si>
    <t>DIST-1185</t>
  </si>
  <si>
    <t>DIST-1186</t>
  </si>
  <si>
    <t>DIST-1187</t>
  </si>
  <si>
    <t>DIST-1188</t>
  </si>
  <si>
    <t>DIST-1189</t>
  </si>
  <si>
    <t>DIST-1190</t>
  </si>
  <si>
    <t>DIST-1191</t>
  </si>
  <si>
    <t>DIST-1192</t>
  </si>
  <si>
    <t>DIST-1193</t>
  </si>
  <si>
    <t>DIST-1194</t>
  </si>
  <si>
    <t>DIST-1195</t>
  </si>
  <si>
    <t>DIST-1196</t>
  </si>
  <si>
    <t>DIST-1197</t>
  </si>
  <si>
    <t>DIST-1198</t>
  </si>
  <si>
    <t>DIST-1199</t>
  </si>
  <si>
    <t>DIST-1200</t>
  </si>
  <si>
    <t>DIST-1201</t>
  </si>
  <si>
    <t>DIST-1202</t>
  </si>
  <si>
    <t>DIST-1203</t>
  </si>
  <si>
    <t>DIST-1204</t>
  </si>
  <si>
    <t>DIST-1205</t>
  </si>
  <si>
    <t>DIST-1206</t>
  </si>
  <si>
    <t>DIST-1207</t>
  </si>
  <si>
    <t>DIST-1208</t>
  </si>
  <si>
    <t>DIST-1209</t>
  </si>
  <si>
    <t>DIST-1210</t>
  </si>
  <si>
    <t>DIST-1211</t>
  </si>
  <si>
    <t>DIST-1212</t>
  </si>
  <si>
    <t>DIST-1213</t>
  </si>
  <si>
    <t>DIST-1214</t>
  </si>
  <si>
    <t>DIST-1215</t>
  </si>
  <si>
    <t>DIST-1216</t>
  </si>
  <si>
    <t>DIST-1217</t>
  </si>
  <si>
    <t>DIST-1218</t>
  </si>
  <si>
    <t>DIST-1219</t>
  </si>
  <si>
    <t>DIST-1220</t>
  </si>
  <si>
    <t>DIST-1221</t>
  </si>
  <si>
    <t>DIST-1222</t>
  </si>
  <si>
    <t>DIST-1223</t>
  </si>
  <si>
    <t>DIST-1224</t>
  </si>
  <si>
    <t>DIST-1225</t>
  </si>
  <si>
    <t>DIST-1226</t>
  </si>
  <si>
    <t>DIST-1227</t>
  </si>
  <si>
    <t>DIST-1249</t>
  </si>
  <si>
    <t>DIST-1250</t>
  </si>
  <si>
    <t>DIST-1251</t>
  </si>
  <si>
    <t>DIST-1252</t>
  </si>
  <si>
    <t>DIST-1253</t>
  </si>
  <si>
    <t>DIST-1254</t>
  </si>
  <si>
    <t>DIST-1255</t>
  </si>
  <si>
    <t>DIST-1256</t>
  </si>
  <si>
    <t>DIST-1257</t>
  </si>
  <si>
    <t>DIST-1258</t>
  </si>
  <si>
    <t>DIST-1259</t>
  </si>
  <si>
    <t>DIST-1260</t>
  </si>
  <si>
    <t>DIST-1228</t>
  </si>
  <si>
    <t>DIST-1229</t>
  </si>
  <si>
    <t>DIST-1230</t>
  </si>
  <si>
    <t>DIST-1231</t>
  </si>
  <si>
    <t>DIST-1232</t>
  </si>
  <si>
    <t>DIST-1233</t>
  </si>
  <si>
    <t>DIST-1234</t>
  </si>
  <si>
    <t>DIST-1235</t>
  </si>
  <si>
    <t>DIST-1236</t>
  </si>
  <si>
    <t>DIST-1237</t>
  </si>
  <si>
    <t>DIST-1238</t>
  </si>
  <si>
    <t>DIST-1239</t>
  </si>
  <si>
    <t>DIST-1240</t>
  </si>
  <si>
    <t>DIST-1241</t>
  </si>
  <si>
    <t>DIST-1242</t>
  </si>
  <si>
    <t>DIST-1243</t>
  </si>
  <si>
    <t>DIST-1244</t>
  </si>
  <si>
    <t>DIST-1245</t>
  </si>
  <si>
    <t>DIST-1246</t>
  </si>
  <si>
    <t>DIST-1247</t>
  </si>
  <si>
    <t>DIST-1248</t>
  </si>
  <si>
    <t>DIST-1290</t>
  </si>
  <si>
    <t>DIST-1291</t>
  </si>
  <si>
    <t>DIST-1292</t>
  </si>
  <si>
    <t>DIST-1293</t>
  </si>
  <si>
    <t>DIST-1294</t>
  </si>
  <si>
    <t>DIST-1295</t>
  </si>
  <si>
    <t>DIST-1296</t>
  </si>
  <si>
    <t>DIST-1297</t>
  </si>
  <si>
    <t>DIST-1298</t>
  </si>
  <si>
    <t>DIST-1299</t>
  </si>
  <si>
    <t>DIST-1300</t>
  </si>
  <si>
    <t>DIST-1301</t>
  </si>
  <si>
    <t>DIST-1302</t>
  </si>
  <si>
    <t>DIST-1303</t>
  </si>
  <si>
    <t>DIST-1304</t>
  </si>
  <si>
    <t>DIST-1305</t>
  </si>
  <si>
    <t>DIST-1306</t>
  </si>
  <si>
    <t>DIST-1307</t>
  </si>
  <si>
    <t>DIST-1279</t>
  </si>
  <si>
    <t>DIST-1280</t>
  </si>
  <si>
    <t>DIST-1281</t>
  </si>
  <si>
    <t>DIST-1282</t>
  </si>
  <si>
    <t>DIST-1283</t>
  </si>
  <si>
    <t>DIST-1284</t>
  </si>
  <si>
    <t>DIST-1285</t>
  </si>
  <si>
    <t>DIST-1286</t>
  </si>
  <si>
    <t>DIST-1287</t>
  </si>
  <si>
    <t>DIST-1288</t>
  </si>
  <si>
    <t>DIST-1289</t>
  </si>
  <si>
    <t>DIST-1261</t>
  </si>
  <si>
    <t>DIST-1262</t>
  </si>
  <si>
    <t>DIST-1263</t>
  </si>
  <si>
    <t>DIST-1264</t>
  </si>
  <si>
    <t>DIST-1265</t>
  </si>
  <si>
    <t>DIST-1266</t>
  </si>
  <si>
    <t>DIST-1267</t>
  </si>
  <si>
    <t>DIST-1268</t>
  </si>
  <si>
    <t>DIST-1269</t>
  </si>
  <si>
    <t>DIST-1270</t>
  </si>
  <si>
    <t>DIST-1271</t>
  </si>
  <si>
    <t>DIST-1272</t>
  </si>
  <si>
    <t>DIST-1273</t>
  </si>
  <si>
    <t>DIST-1274</t>
  </si>
  <si>
    <t>DIST-1275</t>
  </si>
  <si>
    <t>DIST-1276</t>
  </si>
  <si>
    <t>DIST-1277</t>
  </si>
  <si>
    <t>DIST-1278</t>
  </si>
  <si>
    <t>DIST-1308</t>
  </si>
  <si>
    <t>DIST-1309</t>
  </si>
  <si>
    <t>DIST-1310</t>
  </si>
  <si>
    <t>DIST-1311</t>
  </si>
  <si>
    <t>DIST-1312</t>
  </si>
  <si>
    <t>DIST-1313</t>
  </si>
  <si>
    <t>DIST-1314</t>
  </si>
  <si>
    <t>DIST-1327</t>
  </si>
  <si>
    <t>DIST-1328</t>
  </si>
  <si>
    <t>DIST-1329</t>
  </si>
  <si>
    <t>DIST-1330</t>
  </si>
  <si>
    <t>DIST-1331</t>
  </si>
  <si>
    <t>DIST-1332</t>
  </si>
  <si>
    <t>DIST-1333</t>
  </si>
  <si>
    <t>DIST-1334</t>
  </si>
  <si>
    <t>DIST-1335</t>
  </si>
  <si>
    <t>DIST-1336</t>
  </si>
  <si>
    <t>DIST-1315</t>
  </si>
  <si>
    <t>DIST-1316</t>
  </si>
  <si>
    <t>DIST-1317</t>
  </si>
  <si>
    <t>DIST-1318</t>
  </si>
  <si>
    <t>DIST-1319</t>
  </si>
  <si>
    <t>DIST-1320</t>
  </si>
  <si>
    <t>DIST-1321</t>
  </si>
  <si>
    <t>DIST-1322</t>
  </si>
  <si>
    <t>DIST-1323</t>
  </si>
  <si>
    <t>DIST-1324</t>
  </si>
  <si>
    <t>DIST-1325</t>
  </si>
  <si>
    <t>DIST-1326</t>
  </si>
  <si>
    <t>DIST-1337</t>
  </si>
  <si>
    <t>DIST-1338</t>
  </si>
  <si>
    <t>DIST-1339</t>
  </si>
  <si>
    <t>DIST-1340</t>
  </si>
  <si>
    <t>DIST-1341</t>
  </si>
  <si>
    <t>DIST-1342</t>
  </si>
  <si>
    <t>DIST-1343</t>
  </si>
  <si>
    <t>DIST-1344</t>
  </si>
  <si>
    <t>DIST-1345</t>
  </si>
  <si>
    <t>DIST-1346</t>
  </si>
  <si>
    <t>DIST-1347</t>
  </si>
  <si>
    <t>DIST-1348</t>
  </si>
  <si>
    <t>DIST-1349</t>
  </si>
  <si>
    <t>DIST-1350</t>
  </si>
  <si>
    <t>DIST-1351</t>
  </si>
  <si>
    <t>DIST-1352</t>
  </si>
  <si>
    <t>DIST-1353</t>
  </si>
  <si>
    <t>DIST-1354</t>
  </si>
  <si>
    <t>DIST-1355</t>
  </si>
  <si>
    <t>DIST-1356</t>
  </si>
  <si>
    <t>DIST-1357</t>
  </si>
  <si>
    <t>DIST-1358</t>
  </si>
  <si>
    <t>DIST-1359</t>
  </si>
  <si>
    <t>DIST-1360</t>
  </si>
  <si>
    <t>DIST-1361</t>
  </si>
  <si>
    <t>DIST-1362</t>
  </si>
  <si>
    <t>DIST-1363</t>
  </si>
  <si>
    <t>DIST-1364</t>
  </si>
  <si>
    <t>DIST-1365</t>
  </si>
  <si>
    <t>DIST-1366</t>
  </si>
  <si>
    <t>DIST-1367</t>
  </si>
  <si>
    <t>DIST-1368</t>
  </si>
  <si>
    <t>DIST-1369</t>
  </si>
  <si>
    <t>DIST-1370</t>
  </si>
  <si>
    <t>DIST-1371</t>
  </si>
  <si>
    <t>DIST-1372</t>
  </si>
  <si>
    <t>DIST-1373</t>
  </si>
  <si>
    <t>DIST-1374</t>
  </si>
  <si>
    <t>DIST-1375</t>
  </si>
  <si>
    <t>DIST-1376</t>
  </si>
  <si>
    <t>DIST-1377</t>
  </si>
  <si>
    <t>DIST-1378</t>
  </si>
  <si>
    <t>DIST-1379</t>
  </si>
  <si>
    <t>DIST-1380</t>
  </si>
  <si>
    <t>DIST-1381</t>
  </si>
  <si>
    <t>DIST-1382</t>
  </si>
  <si>
    <t>DIST-1383</t>
  </si>
  <si>
    <t>DIST-1384</t>
  </si>
  <si>
    <t>DIST-1385</t>
  </si>
  <si>
    <t>DIST-1386</t>
  </si>
  <si>
    <t>DIST-1387</t>
  </si>
  <si>
    <t>DIST-1388</t>
  </si>
  <si>
    <t>DIST-1389</t>
  </si>
  <si>
    <t>DIST-1390</t>
  </si>
  <si>
    <t>DIST-1391</t>
  </si>
  <si>
    <t>DIST-1392</t>
  </si>
  <si>
    <t>DIST-1393</t>
  </si>
  <si>
    <t>DIST-1394</t>
  </si>
  <si>
    <t>DIST-1413</t>
  </si>
  <si>
    <t>DIST-1414</t>
  </si>
  <si>
    <t>DIST-1415</t>
  </si>
  <si>
    <t>DIST-1416</t>
  </si>
  <si>
    <t>DIST-1417</t>
  </si>
  <si>
    <t>DIST-1395</t>
  </si>
  <si>
    <t>DIST-1396</t>
  </si>
  <si>
    <t>DIST-1397</t>
  </si>
  <si>
    <t>DIST-1398</t>
  </si>
  <si>
    <t>DIST-1399</t>
  </si>
  <si>
    <t>DIST-1400</t>
  </si>
  <si>
    <t>DIST-1401</t>
  </si>
  <si>
    <t>DIST-1402</t>
  </si>
  <si>
    <t>DIST-1403</t>
  </si>
  <si>
    <t>DIST-1404</t>
  </si>
  <si>
    <t>DIST-1405</t>
  </si>
  <si>
    <t>DIST-1406</t>
  </si>
  <si>
    <t>DIST-1407</t>
  </si>
  <si>
    <t>DIST-1408</t>
  </si>
  <si>
    <t>DIST-1409</t>
  </si>
  <si>
    <t>DIST-1410</t>
  </si>
  <si>
    <t>DIST-1411</t>
  </si>
  <si>
    <t>DIST-1412</t>
  </si>
  <si>
    <t>DIST-1423</t>
  </si>
  <si>
    <t>DIST-1424</t>
  </si>
  <si>
    <t>DIST-1425</t>
  </si>
  <si>
    <t>DIST-1426</t>
  </si>
  <si>
    <t>DIST-1427</t>
  </si>
  <si>
    <t>DIST-1428</t>
  </si>
  <si>
    <t>DIST-1429</t>
  </si>
  <si>
    <t>DIST-1430</t>
  </si>
  <si>
    <t>DIST-1431</t>
  </si>
  <si>
    <t>DIST-1432</t>
  </si>
  <si>
    <t>DIST-1433</t>
  </si>
  <si>
    <t>DIST-1434</t>
  </si>
  <si>
    <t>DIST-1435</t>
  </si>
  <si>
    <t>DIST-1436</t>
  </si>
  <si>
    <t>DIST-1437</t>
  </si>
  <si>
    <t>DIST-1438</t>
  </si>
  <si>
    <t>DIST-1439</t>
  </si>
  <si>
    <t>DIST-1418</t>
  </si>
  <si>
    <t>DIST-1419</t>
  </si>
  <si>
    <t>DIST-1420</t>
  </si>
  <si>
    <t>DIST-1421</t>
  </si>
  <si>
    <t>DIST-1422</t>
  </si>
  <si>
    <t>DIST-1440</t>
  </si>
  <si>
    <t>DIST-1441</t>
  </si>
  <si>
    <t>DIST-1442</t>
  </si>
  <si>
    <t>DIST-1443</t>
  </si>
  <si>
    <t>DIST-1444</t>
  </si>
  <si>
    <t>DIST-1445</t>
  </si>
  <si>
    <t>DIST-1446</t>
  </si>
  <si>
    <t>DIST-1457</t>
  </si>
  <si>
    <t>DIST-1458</t>
  </si>
  <si>
    <t>DIST-1459</t>
  </si>
  <si>
    <t>DIST-1460</t>
  </si>
  <si>
    <t>DIST-1461</t>
  </si>
  <si>
    <t>DIST-1462</t>
  </si>
  <si>
    <t>DIST-1463</t>
  </si>
  <si>
    <t>DIST-1464</t>
  </si>
  <si>
    <t>DIST-1465</t>
  </si>
  <si>
    <t>DIST-1466</t>
  </si>
  <si>
    <t>DIST-1467</t>
  </si>
  <si>
    <t>DIST-1468</t>
  </si>
  <si>
    <t>DIST-1469</t>
  </si>
  <si>
    <t>DIST-1470</t>
  </si>
  <si>
    <t>DIST-1471</t>
  </si>
  <si>
    <t>DIST-1472</t>
  </si>
  <si>
    <t>DIST-1473</t>
  </si>
  <si>
    <t>DIST-1474</t>
  </si>
  <si>
    <t>DIST-1475</t>
  </si>
  <si>
    <t>DIST-1447</t>
  </si>
  <si>
    <t>DIST-1448</t>
  </si>
  <si>
    <t>DIST-1449</t>
  </si>
  <si>
    <t>DIST-1450</t>
  </si>
  <si>
    <t>DIST-1451</t>
  </si>
  <si>
    <t>DIST-1452</t>
  </si>
  <si>
    <t>DIST-1453</t>
  </si>
  <si>
    <t>DIST-1454</t>
  </si>
  <si>
    <t>DIST-1455</t>
  </si>
  <si>
    <t>DIST-1456</t>
  </si>
  <si>
    <t>DIST-1476</t>
  </si>
  <si>
    <t>DIST-1477</t>
  </si>
  <si>
    <t>DIST-1478</t>
  </si>
  <si>
    <t>DIST-1479</t>
  </si>
  <si>
    <t>DIST-1480</t>
  </si>
  <si>
    <t>DIST-1481</t>
  </si>
  <si>
    <t>DIST-1482</t>
  </si>
  <si>
    <t>DIST-1483</t>
  </si>
  <si>
    <t>DIST-1484</t>
  </si>
  <si>
    <t>DIST-1485</t>
  </si>
  <si>
    <t>DIST-1486</t>
  </si>
  <si>
    <t>DIST-1487</t>
  </si>
  <si>
    <t>DIST-1488</t>
  </si>
  <si>
    <t>DIST-1489</t>
  </si>
  <si>
    <t>DIST-1490</t>
  </si>
  <si>
    <t>DIST-1491</t>
  </si>
  <si>
    <t>DIST-1492</t>
  </si>
  <si>
    <t>DIST-1493</t>
  </si>
  <si>
    <t>DIST-1494</t>
  </si>
  <si>
    <t>DIST-1495</t>
  </si>
  <si>
    <t>DIST-1496</t>
  </si>
  <si>
    <t>DIST-1497</t>
  </si>
  <si>
    <t>DIST-1498</t>
  </si>
  <si>
    <t>DIST-1499</t>
  </si>
  <si>
    <t>DIST-1500</t>
  </si>
  <si>
    <t>DIST-1501</t>
  </si>
  <si>
    <t>DIST-1502</t>
  </si>
  <si>
    <t>DIST-1503</t>
  </si>
  <si>
    <t>DIST-1504</t>
  </si>
  <si>
    <t>DIST-1505</t>
  </si>
  <si>
    <t>DIST-1506</t>
  </si>
  <si>
    <t>DIST-1507</t>
  </si>
  <si>
    <t>DIST-1508</t>
  </si>
  <si>
    <t>DIST-1509</t>
  </si>
  <si>
    <t>DIST-1510</t>
  </si>
  <si>
    <t>DIST-1511</t>
  </si>
  <si>
    <t>DIST-1512</t>
  </si>
  <si>
    <t>DIST-1513</t>
  </si>
  <si>
    <t>DIST-1514</t>
  </si>
  <si>
    <t>DIST-1515</t>
  </si>
  <si>
    <t>DIST-1516</t>
  </si>
  <si>
    <t>DIST-1517</t>
  </si>
  <si>
    <t>DIST-1518</t>
  </si>
  <si>
    <t>DIST-1519</t>
  </si>
  <si>
    <t>DIST-1520</t>
  </si>
  <si>
    <t>DIST-1521</t>
  </si>
  <si>
    <t>DIST-1522</t>
  </si>
  <si>
    <t>DIST-1523</t>
  </si>
  <si>
    <t>DIST-1524</t>
  </si>
  <si>
    <t>DIST-1525</t>
  </si>
  <si>
    <t>DIST-1526</t>
  </si>
  <si>
    <t>DIST-1527</t>
  </si>
  <si>
    <t>DIST-1528</t>
  </si>
  <si>
    <t>DIST-1529</t>
  </si>
  <si>
    <t>DIST-1530</t>
  </si>
  <si>
    <t>DIST-1531</t>
  </si>
  <si>
    <t>DIST-1532</t>
  </si>
  <si>
    <t>DIST-1533</t>
  </si>
  <si>
    <t>DIST-1534</t>
  </si>
  <si>
    <t>DIST-1535</t>
  </si>
  <si>
    <t>DIST-1536</t>
  </si>
  <si>
    <t>DIST-1537</t>
  </si>
  <si>
    <t>DIST-1538</t>
  </si>
  <si>
    <t>DIST-1539</t>
  </si>
  <si>
    <t>DIST-1540</t>
  </si>
  <si>
    <t>DIST-1541</t>
  </si>
  <si>
    <t>DIST-1542</t>
  </si>
  <si>
    <t>DIST-1543</t>
  </si>
  <si>
    <t>DIST-1544</t>
  </si>
  <si>
    <t>DIST-1545</t>
  </si>
  <si>
    <t>DIST-1546</t>
  </si>
  <si>
    <t>DIST-1563</t>
  </si>
  <si>
    <t>DIST-1564</t>
  </si>
  <si>
    <t>DIST-1565</t>
  </si>
  <si>
    <t>DIST-1566</t>
  </si>
  <si>
    <t>DIST-1567</t>
  </si>
  <si>
    <t>DIST-1568</t>
  </si>
  <si>
    <t>DIST-1569</t>
  </si>
  <si>
    <t>DIST-1547</t>
  </si>
  <si>
    <t>DIST-1548</t>
  </si>
  <si>
    <t>DIST-1549</t>
  </si>
  <si>
    <t>DIST-1550</t>
  </si>
  <si>
    <t>DIST-1551</t>
  </si>
  <si>
    <t>DIST-1552</t>
  </si>
  <si>
    <t>DIST-1553</t>
  </si>
  <si>
    <t>DIST-1554</t>
  </si>
  <si>
    <t>DIST-1555</t>
  </si>
  <si>
    <t>DIST-1556</t>
  </si>
  <si>
    <t>DIST-1557</t>
  </si>
  <si>
    <t>DIST-1558</t>
  </si>
  <si>
    <t>DIST-1559</t>
  </si>
  <si>
    <t>DIST-1560</t>
  </si>
  <si>
    <t>DIST-1561</t>
  </si>
  <si>
    <t>DIST-1562</t>
  </si>
  <si>
    <t>DIST-1583</t>
  </si>
  <si>
    <t>DIST-1584</t>
  </si>
  <si>
    <t>DIST-1585</t>
  </si>
  <si>
    <t>DIST-1586</t>
  </si>
  <si>
    <t>DIST-1587</t>
  </si>
  <si>
    <t>DIST-1588</t>
  </si>
  <si>
    <t>DIST-1589</t>
  </si>
  <si>
    <t>DIST-1590</t>
  </si>
  <si>
    <t>DIST-1591</t>
  </si>
  <si>
    <t>DIST-1592</t>
  </si>
  <si>
    <t>DIST-1593</t>
  </si>
  <si>
    <t>DIST-1594</t>
  </si>
  <si>
    <t>DIST-1595</t>
  </si>
  <si>
    <t>DIST-1596</t>
  </si>
  <si>
    <t>DIST-1597</t>
  </si>
  <si>
    <t>DIST-1598</t>
  </si>
  <si>
    <t>DIST-1570</t>
  </si>
  <si>
    <t>DIST-1571</t>
  </si>
  <si>
    <t>DIST-1572</t>
  </si>
  <si>
    <t>DIST-1573</t>
  </si>
  <si>
    <t>DIST-1574</t>
  </si>
  <si>
    <t>DIST-1575</t>
  </si>
  <si>
    <t>DIST-1576</t>
  </si>
  <si>
    <t>DIST-1577</t>
  </si>
  <si>
    <t>DIST-1578</t>
  </si>
  <si>
    <t>DIST-1579</t>
  </si>
  <si>
    <t>DIST-1580</t>
  </si>
  <si>
    <t>DIST-1581</t>
  </si>
  <si>
    <t>DIST-1582</t>
  </si>
  <si>
    <t>DIST-1599</t>
  </si>
  <si>
    <t>DIST-1600</t>
  </si>
  <si>
    <t>DIST-1601</t>
  </si>
  <si>
    <t>DIST-1602</t>
  </si>
  <si>
    <t>DIST-1603</t>
  </si>
  <si>
    <t>DIST-1604</t>
  </si>
  <si>
    <t>DIST-1605</t>
  </si>
  <si>
    <t>DIST-1606</t>
  </si>
  <si>
    <t>DIST-1607</t>
  </si>
  <si>
    <t>DIST-1608</t>
  </si>
  <si>
    <t>DIST-1609</t>
  </si>
  <si>
    <t>DIST-1610</t>
  </si>
  <si>
    <t>DIST-1611</t>
  </si>
  <si>
    <t>DIST-1612</t>
  </si>
  <si>
    <t>DIST-1613</t>
  </si>
  <si>
    <t>DIST-1614</t>
  </si>
  <si>
    <t>DIST-1615</t>
  </si>
  <si>
    <t>DIST-1616</t>
  </si>
  <si>
    <t>DIST-1617</t>
  </si>
  <si>
    <t>DIST-1618</t>
  </si>
  <si>
    <t>DIST-1619</t>
  </si>
  <si>
    <t>DIST-1620</t>
  </si>
  <si>
    <t>DIST-1621</t>
  </si>
  <si>
    <t>DIST-1622</t>
  </si>
  <si>
    <t>DIST-1623</t>
  </si>
  <si>
    <t>DIST-1624</t>
  </si>
  <si>
    <t>DIST-1625</t>
  </si>
  <si>
    <t>DIST-1626</t>
  </si>
  <si>
    <t>DIST-1627</t>
  </si>
  <si>
    <t>DIST-1628</t>
  </si>
  <si>
    <t>DIST-1629</t>
  </si>
  <si>
    <t>DIST-1630</t>
  </si>
  <si>
    <t>DIST-1631</t>
  </si>
  <si>
    <t>DIST-1632</t>
  </si>
  <si>
    <t>DIST-1633</t>
  </si>
  <si>
    <t>DIST-1634</t>
  </si>
  <si>
    <t>DIST-1635</t>
  </si>
  <si>
    <t>DIST-1636</t>
  </si>
  <si>
    <t>DIST-1637</t>
  </si>
  <si>
    <t>DIST-1638</t>
  </si>
  <si>
    <t>DIST-1639</t>
  </si>
  <si>
    <t>DIST-1640</t>
  </si>
  <si>
    <t>DIST-1641</t>
  </si>
  <si>
    <t>DIST-1642</t>
  </si>
  <si>
    <t>DIST-1643</t>
  </si>
  <si>
    <t>DIST-1644</t>
  </si>
  <si>
    <t>DIST-1645</t>
  </si>
  <si>
    <t>DIST-1646</t>
  </si>
  <si>
    <t>DIST-1647</t>
  </si>
  <si>
    <t>DIST-1648</t>
  </si>
  <si>
    <t>DIST-1649</t>
  </si>
  <si>
    <t>DIST-1650</t>
  </si>
  <si>
    <t>DIST-1651</t>
  </si>
  <si>
    <t>DIST-1652</t>
  </si>
  <si>
    <t>DIST-1653</t>
  </si>
  <si>
    <t>DIST-1654</t>
  </si>
  <si>
    <t>DIST-1655</t>
  </si>
  <si>
    <t>DIST-1656</t>
  </si>
  <si>
    <t>DIST-1657</t>
  </si>
  <si>
    <t>DIST-1658</t>
  </si>
  <si>
    <t>DIST-1659</t>
  </si>
  <si>
    <t>DIST-1660</t>
  </si>
  <si>
    <t>DIST-1661</t>
  </si>
  <si>
    <t>DIST-1662</t>
  </si>
  <si>
    <t>DIST-1663</t>
  </si>
  <si>
    <t>DIST-1664</t>
  </si>
  <si>
    <t>DIST-1665</t>
  </si>
  <si>
    <t>DIST-1666</t>
  </si>
  <si>
    <t>DIST-1667</t>
  </si>
  <si>
    <t>DIST-1668</t>
  </si>
  <si>
    <t>DIST-1669</t>
  </si>
  <si>
    <t>DIST-1670</t>
  </si>
  <si>
    <t>DIST-1671</t>
  </si>
  <si>
    <t>DIST-1672</t>
  </si>
  <si>
    <t>DIST-1673</t>
  </si>
  <si>
    <t>DIST-1674</t>
  </si>
  <si>
    <t>DIST-1675</t>
  </si>
  <si>
    <t>DIST-1676</t>
  </si>
  <si>
    <t>DIST-1677</t>
  </si>
  <si>
    <t>Harvest Hope Community Food Bank  |  Food Item Catalog</t>
  </si>
  <si>
    <t>Reference only — do not edit. Item IDs are used by the Donations Log and Distribution History sheets.</t>
  </si>
  <si>
    <t>Unit of Measure</t>
  </si>
  <si>
    <t>Shelf Life (Days)</t>
  </si>
  <si>
    <t>Priority Level</t>
  </si>
  <si>
    <t>Harvest Hope Community Food Bank  |  Partner Pantry Directory</t>
  </si>
  <si>
    <t>Reference only — do not edit. Pantry IDs are used by the Distribution History sheet.</t>
  </si>
  <si>
    <t>Address</t>
  </si>
  <si>
    <t>Population Served</t>
  </si>
  <si>
    <t>Weekly Capacity (Units)</t>
  </si>
  <si>
    <t>Operating Hours</t>
  </si>
  <si>
    <t>245 River Road</t>
  </si>
  <si>
    <t>General Families</t>
  </si>
  <si>
    <t>Mon/Wed/Fri 9am-2pm</t>
  </si>
  <si>
    <t>88 Hope Street</t>
  </si>
  <si>
    <t>Homeless &amp; Transitional</t>
  </si>
  <si>
    <t>Daily 7am-9am</t>
  </si>
  <si>
    <t>1202 Maple Avenue</t>
  </si>
  <si>
    <t>Elderly (60+)</t>
  </si>
  <si>
    <t>Tue/Thu 10am-1pm</t>
  </si>
  <si>
    <t>330 School Lane</t>
  </si>
  <si>
    <t>School-Age Families</t>
  </si>
  <si>
    <t>Mon/Thu 3pm-6pm</t>
  </si>
  <si>
    <t>Harvest Hope Community Food Bank  |  Pantry Demand Weights  (Reference)</t>
  </si>
  <si>
    <t>These weights drive the AI recommendation engine. 1.0 = maximum need, 0.0 = not needed.</t>
  </si>
  <si>
    <t>Best Pantry ID</t>
  </si>
  <si>
    <t>Best Pantry Name</t>
  </si>
  <si>
    <t>Best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</si>
</sst>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color rgb="FF333333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i/>
      <sz val="10"/>
      <color rgb="FFFFFFFF"/>
      <name val="Arial"/>
    </font>
    <font>
      <sz val="10"/>
      <color rgb="FF888888"/>
      <name val="Arial"/>
    </font>
    <font>
      <sz val="10"/>
      <color rgb="FF555555"/>
      <name val="Arial"/>
    </font>
    <font>
      <i/>
      <sz val="9"/>
      <color rgb="FF333333"/>
      <name val="Arial"/>
    </font>
    <font>
      <sz val="10"/>
      <color rgb="FF333333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E4E"/>
      </patternFill>
    </fill>
    <fill>
      <patternFill patternType="solid">
        <fgColor rgb="FF7FA68C"/>
      </patternFill>
    </fill>
    <fill>
      <patternFill patternType="solid">
        <fgColor rgb="FFFFFFFF"/>
      </patternFill>
    </fill>
    <fill>
      <patternFill patternType="solid">
        <fgColor rgb="FFD97A7A"/>
      </patternFill>
    </fill>
    <fill>
      <patternFill patternType="solid">
        <fgColor rgb="FFEBF2EE"/>
      </patternFill>
    </fill>
    <fill>
      <patternFill patternType="solid">
        <fgColor rgb="FFFEF6E0"/>
      </patternFill>
    </fill>
    <fill>
      <patternFill patternType="solid">
        <fgColor rgb="FFF5F7F7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3" fontId="1" fillId="6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left" vertical="center"/>
    </xf>
    <xf numFmtId="3" fontId="1" fillId="6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3" fontId="1" fillId="0" borderId="7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3" fontId="8" fillId="0" borderId="7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14" fontId="0" fillId="0" borderId="0" xfId="0" applyNumberFormat="1"/>
    <xf numFmtId="14" fontId="2" fillId="3" borderId="5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4" fontId="1" fillId="0" borderId="7" xfId="0" applyNumberFormat="1" applyFont="1" applyBorder="1" applyAlignment="1">
      <alignment horizontal="left" vertical="center"/>
    </xf>
    <xf numFmtId="14" fontId="8" fillId="0" borderId="7" xfId="0" applyNumberFormat="1" applyFont="1" applyBorder="1" applyAlignment="1">
      <alignment horizontal="left" vertical="center"/>
    </xf>
    <xf numFmtId="14" fontId="1" fillId="6" borderId="1" xfId="0" applyNumberFormat="1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46">
    <dxf>
      <font>
        <color rgb="FFC00000"/>
        <name val="Arial"/>
      </font>
      <fill>
        <patternFill patternType="solid">
          <fgColor rgb="FF888888"/>
        </patternFill>
      </fill>
    </dxf>
    <dxf>
      <font>
        <color rgb="FF1B5E20"/>
        <name val="Arial"/>
      </font>
      <fill>
        <patternFill patternType="solid">
          <fgColor rgb="FFC8E6C9"/>
        </patternFill>
      </fill>
    </dxf>
    <dxf>
      <font>
        <color rgb="FF333333"/>
        <name val="Arial"/>
      </font>
      <fill>
        <patternFill patternType="solid">
          <fgColor rgb="FFFEF6E0"/>
        </patternFill>
      </fill>
    </dxf>
    <dxf>
      <font>
        <b/>
        <color rgb="FF7A3400"/>
        <name val="Arial"/>
      </font>
      <fill>
        <patternFill patternType="solid">
          <fgColor rgb="FFF4B183"/>
        </patternFill>
      </fill>
    </dxf>
    <dxf>
      <font>
        <b/>
        <color rgb="FF6B0000"/>
        <name val="Arial"/>
      </font>
      <fill>
        <patternFill patternType="solid">
          <fgColor rgb="FFD97A7A"/>
        </patternFill>
      </fill>
    </dxf>
    <dxf>
      <font>
        <color rgb="FF1B5E20"/>
        <name val="Arial"/>
      </font>
      <fill>
        <patternFill patternType="solid">
          <fgColor rgb="FFC8E6C9"/>
        </patternFill>
      </fill>
    </dxf>
    <dxf>
      <font>
        <b/>
        <color rgb="FF7A3400"/>
        <name val="Arial"/>
      </font>
      <fill>
        <patternFill patternType="solid">
          <fgColor rgb="FFF4B183"/>
        </patternFill>
      </fill>
    </dxf>
    <dxf>
      <font>
        <b/>
        <color rgb="FF6B0000"/>
        <name val="Arial"/>
      </font>
      <fill>
        <patternFill patternType="solid">
          <fgColor rgb="FFD97A7A"/>
        </patternFill>
      </fill>
    </dxf>
    <dxf>
      <font>
        <color rgb="FF333333"/>
        <name val="Arial"/>
      </font>
      <fill>
        <patternFill patternType="solid">
          <fgColor rgb="FFFEF6E0"/>
        </patternFill>
      </fill>
    </dxf>
    <dxf>
      <font>
        <b/>
        <color rgb="FF7A3400"/>
        <name val="Arial"/>
      </font>
      <fill>
        <patternFill patternType="solid">
          <fgColor rgb="FFF4B183"/>
        </patternFill>
      </fill>
    </dxf>
    <dxf>
      <font>
        <b/>
        <color rgb="FF6B0000"/>
        <name val="Arial"/>
      </font>
      <fill>
        <patternFill patternType="solid">
          <fgColor rgb="FFD97A7A"/>
        </patternFill>
      </fill>
    </dxf>
    <dxf>
      <font>
        <b/>
        <color rgb="FFFFFFFF"/>
        <name val="Arial"/>
      </font>
      <fill>
        <patternFill patternType="solid">
          <fgColor rgb="FF888888"/>
        </patternFill>
      </fill>
    </dxf>
    <dxf>
      <font>
        <color rgb="FF1B5E20"/>
        <name val="Arial"/>
      </font>
      <fill>
        <patternFill patternType="solid">
          <fgColor rgb="FFC8E6C9"/>
        </patternFill>
      </fill>
    </dxf>
    <dxf>
      <font>
        <color rgb="FF333333"/>
        <name val="Arial"/>
      </font>
      <fill>
        <patternFill patternType="solid">
          <fgColor rgb="FFFEF6E0"/>
        </patternFill>
      </fill>
    </dxf>
    <dxf>
      <font>
        <b/>
        <color rgb="FF7A3400"/>
        <name val="Arial"/>
      </font>
      <fill>
        <patternFill patternType="solid">
          <fgColor rgb="FFF4B183"/>
        </patternFill>
      </fill>
    </dxf>
    <dxf>
      <font>
        <b/>
        <color rgb="FF6B0000"/>
        <name val="Arial"/>
      </font>
      <fill>
        <patternFill patternType="solid">
          <fgColor rgb="FFD97A7A"/>
        </patternFill>
      </fill>
    </dxf>
    <dxf>
      <font>
        <color rgb="FF1B5E20"/>
        <name val="Arial"/>
      </font>
      <fill>
        <patternFill patternType="solid">
          <fgColor rgb="FFC8E6C9"/>
        </patternFill>
      </fill>
    </dxf>
    <dxf>
      <font>
        <color rgb="FF1B5E20"/>
        <name val="Arial"/>
      </font>
      <fill>
        <patternFill patternType="solid">
          <fgColor rgb="FFC8E6C9"/>
        </patternFill>
      </fill>
    </dxf>
    <dxf>
      <font>
        <b/>
        <color rgb="FF7A3400"/>
        <name val="Arial"/>
      </font>
      <fill>
        <patternFill patternType="solid">
          <fgColor rgb="FFF4B183"/>
        </patternFill>
      </fill>
    </dxf>
    <dxf>
      <font>
        <b/>
        <color rgb="FF6B0000"/>
        <name val="Arial"/>
      </font>
      <fill>
        <patternFill patternType="solid">
          <fgColor rgb="FFD97A7A"/>
        </patternFill>
      </fill>
    </dxf>
    <dxf>
      <font>
        <color theme="4"/>
        <name val="Arial"/>
      </font>
      <fill>
        <patternFill patternType="solid">
          <fgColor rgb="FF888888"/>
        </patternFill>
      </fill>
    </dxf>
    <dxf>
      <font>
        <color rgb="FF333333"/>
        <name val="Arial"/>
      </font>
      <fill>
        <patternFill patternType="solid">
          <fgColor rgb="FFF5F7F7"/>
        </patternFill>
      </fill>
    </dxf>
    <dxf>
      <font>
        <color theme="4"/>
        <name val="Arial"/>
      </font>
      <fill>
        <patternFill patternType="solid">
          <fgColor rgb="FF888888"/>
        </patternFill>
      </fill>
    </dxf>
    <dxf>
      <font>
        <color rgb="FFC00000"/>
        <name val="Arial"/>
      </font>
      <fill>
        <patternFill patternType="solid">
          <fgColor rgb="FF888888"/>
        </patternFill>
      </fill>
    </dxf>
    <dxf>
      <font>
        <color rgb="FF1B5E20"/>
        <name val="Arial"/>
      </font>
      <fill>
        <patternFill patternType="solid">
          <fgColor rgb="FFC8E6C9"/>
        </patternFill>
      </fill>
    </dxf>
    <dxf>
      <font>
        <color rgb="FF333333"/>
        <name val="Arial"/>
      </font>
      <fill>
        <patternFill patternType="solid">
          <fgColor rgb="FFFEF6E0"/>
        </patternFill>
      </fill>
    </dxf>
    <dxf>
      <font>
        <b/>
        <color rgb="FF7A3400"/>
        <name val="Arial"/>
      </font>
      <fill>
        <patternFill patternType="solid">
          <fgColor rgb="FFF4B183"/>
        </patternFill>
      </fill>
    </dxf>
    <dxf>
      <font>
        <b/>
        <color rgb="FF6B0000"/>
        <name val="Arial"/>
      </font>
      <fill>
        <patternFill patternType="solid">
          <fgColor rgb="FFD97A7A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164" formatCode="mm/d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7FA6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mruColors>
      <color rgb="FF7FA6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792E5-9C79-43FB-86F1-643AF644314C}" name="Table1" displayName="Table1" ref="A4:L1112" totalsRowShown="0" headerRowDxfId="45" dataDxfId="43" headerRowBorderDxfId="44" tableBorderDxfId="42" totalsRowBorderDxfId="41">
  <autoFilter ref="A4:L1112" xr:uid="{5E1792E5-9C79-43FB-86F1-643AF644314C}"/>
  <sortState xmlns:xlrd2="http://schemas.microsoft.com/office/spreadsheetml/2017/richdata2" ref="A5:L1112">
    <sortCondition ref="B4:B1112"/>
  </sortState>
  <tableColumns count="12">
    <tableColumn id="1" xr3:uid="{212ED9FA-3B6C-4802-A614-180C47D89E90}" name="Donation ID" dataDxfId="40">
      <calculatedColumnFormula>IF(G5="","","DON-"&amp;TEXT(ROW()-4,"0000"))</calculatedColumnFormula>
    </tableColumn>
    <tableColumn id="2" xr3:uid="{98C6011F-735A-4FD5-8166-EBD1E0CD215E}" name="Date" dataDxfId="39"/>
    <tableColumn id="3" xr3:uid="{094D98D2-4894-41D0-BDE9-5B8E29C363DD}" name="Item ID" dataDxfId="38"/>
    <tableColumn id="4" xr3:uid="{D2FA72B3-630A-4560-963C-685C3DF3C50F}" name="Item Name" dataDxfId="37"/>
    <tableColumn id="5" xr3:uid="{CA6C6C00-7820-45A0-96EA-923C513F9124}" name="Category" dataDxfId="36"/>
    <tableColumn id="6" xr3:uid="{0938A7F5-67CC-43AC-B10B-F471576A4B04}" name="Unit" dataDxfId="35"/>
    <tableColumn id="7" xr3:uid="{47A7CD46-9B1A-463E-AF4A-461F29BC98EA}" name="Qty Received" dataDxfId="34"/>
    <tableColumn id="8" xr3:uid="{C5D832BE-925A-4670-8F6A-9737B16E3B3D}" name="Expiration Date" dataDxfId="33"/>
    <tableColumn id="9" xr3:uid="{CAED65F6-46F9-4C59-BC16-52083D7E8D89}" name="Days Until Expiry" dataDxfId="32">
      <calculatedColumnFormula>IF(H5="","",H5-TODAY())</calculatedColumnFormula>
    </tableColumn>
    <tableColumn id="10" xr3:uid="{4B03E802-B651-4DF2-9322-CAF42CBE87B6}" name="Expiry Status" dataDxfId="31">
      <calculatedColumnFormula>IF(I5="","",IF(I5&lt;=0,"EXPIRED",IF(I5&lt;=3,"CRITICAL",IF(I5&lt;=7,"WARNING",IF(I5&lt;=30,"NOTICE","OK")))))</calculatedColumnFormula>
    </tableColumn>
    <tableColumn id="11" xr3:uid="{30D099B3-16BE-4EB8-B85D-F1BF14469536}" name="Donor Type" dataDxfId="30"/>
    <tableColumn id="12" xr3:uid="{DB863B0A-A7CE-4E50-95B5-C7376EACB9E8}" name="Notes" dataDxfId="2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showGridLines="0" tabSelected="1" workbookViewId="0">
      <pane ySplit="4" topLeftCell="A17" activePane="bottomLeft" state="frozen"/>
      <selection pane="bottomLeft" activeCell="H40" sqref="H40"/>
    </sheetView>
  </sheetViews>
  <sheetFormatPr defaultRowHeight="14.5" x14ac:dyDescent="0.35"/>
  <cols>
    <col min="1" max="1" width="10" customWidth="1"/>
    <col min="2" max="2" width="30" customWidth="1"/>
    <col min="3" max="3" width="22" customWidth="1"/>
    <col min="4" max="4" width="16" customWidth="1"/>
    <col min="5" max="5" width="13" customWidth="1"/>
    <col min="6" max="6" width="16" customWidth="1"/>
    <col min="7" max="7" width="17" customWidth="1"/>
    <col min="8" max="8" width="14" customWidth="1"/>
    <col min="9" max="9" width="18" customWidth="1"/>
    <col min="10" max="10" width="15" customWidth="1"/>
    <col min="11" max="11" width="16" customWidth="1"/>
    <col min="12" max="12" width="12" customWidth="1"/>
  </cols>
  <sheetData>
    <row r="1" spans="1:12" ht="38" customHeight="1" x14ac:dyDescent="0.35">
      <c r="A1" s="78" t="s">
        <v>20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0" customHeight="1" x14ac:dyDescent="0.35">
      <c r="A2" s="76" t="s">
        <v>21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6" customHeight="1" x14ac:dyDescent="0.35"/>
    <row r="4" spans="1:12" ht="28" customHeight="1" x14ac:dyDescent="0.35">
      <c r="A4" s="1" t="s">
        <v>22</v>
      </c>
      <c r="B4" s="1" t="s">
        <v>0</v>
      </c>
      <c r="C4" s="1" t="s">
        <v>1</v>
      </c>
      <c r="D4" s="1" t="s">
        <v>23</v>
      </c>
      <c r="E4" s="1" t="s">
        <v>2</v>
      </c>
      <c r="F4" s="1" t="s">
        <v>3</v>
      </c>
      <c r="G4" s="1" t="s">
        <v>24</v>
      </c>
      <c r="H4" s="1" t="s">
        <v>18</v>
      </c>
      <c r="I4" s="1" t="s">
        <v>25</v>
      </c>
      <c r="J4" s="1" t="s">
        <v>26</v>
      </c>
      <c r="K4" s="1" t="s">
        <v>27</v>
      </c>
      <c r="L4" s="1" t="s">
        <v>28</v>
      </c>
    </row>
    <row r="5" spans="1:12" x14ac:dyDescent="0.35">
      <c r="A5" s="36" t="s">
        <v>61</v>
      </c>
      <c r="B5" s="36" t="s">
        <v>62</v>
      </c>
      <c r="C5" s="36" t="s">
        <v>53</v>
      </c>
      <c r="D5" s="36" t="s">
        <v>42</v>
      </c>
      <c r="E5" s="59">
        <f ca="1">MAX(0,SUMIFS('Donations Log'!G:G,'Donations Log'!C:C,A5,'Donations Log'!H:H,"&gt;="&amp;TODAY())-SUMIF('Distribution History'!E:E,A5,'Distribution History'!I:I))</f>
        <v>615</v>
      </c>
      <c r="F5" s="72">
        <f ca="1">IF(E5=0,"",IF(_xlfn.MINIFS('Donations Log'!H:H,'Donations Log'!C:C,A5,'Donations Log'!H:H,"&gt;"&amp;TODAY())=0,"",_xlfn.MINIFS('Donations Log'!H:H,'Donations Log'!C:C,A5,'Donations Log'!H:H,"&gt;"&amp;TODAY())))</f>
        <v>46572</v>
      </c>
      <c r="G5" s="73">
        <f t="shared" ref="G5:G36" ca="1" si="0">IF(F5="","",F5-TODAY())</f>
        <v>373</v>
      </c>
      <c r="H5" s="38" t="str">
        <f t="shared" ref="H5:H36" ca="1" si="1">IF(E5=0,"OUT OF STOCK",IF(G5="","UNKNOWN",IF(G5&lt;=0,"EXPIRED",IF(G5&lt;=3,"CRITICAL",IF(G5&lt;=7,"WARNING",IF(G5&lt;=30,"NOTICE","OK"))))))</f>
        <v>OK</v>
      </c>
      <c r="I5" s="74">
        <v>8.1999999999999993</v>
      </c>
      <c r="J5" s="38">
        <f t="shared" ref="J5:J36" ca="1" si="2">IFERROR(IF(I5=0,"N/A",IF(E5=0,"0.0",ROUND(E5/I5,1))),"N/A")</f>
        <v>75</v>
      </c>
      <c r="K5" s="38" t="str">
        <f t="shared" ref="K5:K36" ca="1" si="3">IF(E5=0,"OUT OF STOCK",IF(ISNUMBER(J5),IF(J5&lt;1,"CRITICAL LOW",IF(J5&lt;2,"LOW",IF(J5&lt;4,"ADEQUATE","WELL STOCKED"))),"ADEQUATE"))</f>
        <v>WELL STOCKED</v>
      </c>
      <c r="L5" s="56" t="s">
        <v>63</v>
      </c>
    </row>
    <row r="6" spans="1:12" x14ac:dyDescent="0.35">
      <c r="A6" s="36" t="s">
        <v>125</v>
      </c>
      <c r="B6" s="36" t="s">
        <v>126</v>
      </c>
      <c r="C6" s="36" t="s">
        <v>14</v>
      </c>
      <c r="D6" s="36" t="s">
        <v>127</v>
      </c>
      <c r="E6" s="59">
        <f ca="1">MAX(0,SUMIFS('Donations Log'!G:G,'Donations Log'!C:C,A6,'Donations Log'!H:H,"&gt;="&amp;TODAY())-SUMIF('Distribution History'!E:E,A6,'Distribution History'!I:I))</f>
        <v>218</v>
      </c>
      <c r="F6" s="72">
        <f ca="1">IF(E6=0,"",IF(_xlfn.MINIFS('Donations Log'!H:H,'Donations Log'!C:C,A6,'Donations Log'!H:H,"&gt;"&amp;TODAY())=0,"",_xlfn.MINIFS('Donations Log'!H:H,'Donations Log'!C:C,A6,'Donations Log'!H:H,"&gt;"&amp;TODAY())))</f>
        <v>46568</v>
      </c>
      <c r="G6" s="73">
        <f t="shared" ca="1" si="0"/>
        <v>369</v>
      </c>
      <c r="H6" s="38" t="str">
        <f t="shared" ca="1" si="1"/>
        <v>OK</v>
      </c>
      <c r="I6" s="74">
        <v>1.5</v>
      </c>
      <c r="J6" s="38">
        <f t="shared" ca="1" si="2"/>
        <v>145.30000000000001</v>
      </c>
      <c r="K6" s="38" t="str">
        <f t="shared" ca="1" si="3"/>
        <v>WELL STOCKED</v>
      </c>
      <c r="L6" s="75" t="s">
        <v>33</v>
      </c>
    </row>
    <row r="7" spans="1:12" x14ac:dyDescent="0.35">
      <c r="A7" s="36" t="s">
        <v>122</v>
      </c>
      <c r="B7" s="36" t="s">
        <v>123</v>
      </c>
      <c r="C7" s="36" t="s">
        <v>14</v>
      </c>
      <c r="D7" s="36" t="s">
        <v>124</v>
      </c>
      <c r="E7" s="59">
        <f ca="1">MAX(0,SUMIFS('Donations Log'!G:G,'Donations Log'!C:C,A7,'Donations Log'!H:H,"&gt;="&amp;TODAY())-SUMIF('Distribution History'!E:E,A7,'Distribution History'!I:I))</f>
        <v>297</v>
      </c>
      <c r="F7" s="72">
        <f ca="1">IF(E7=0,"",IF(_xlfn.MINIFS('Donations Log'!H:H,'Donations Log'!C:C,A7,'Donations Log'!H:H,"&gt;"&amp;TODAY())=0,"",_xlfn.MINIFS('Donations Log'!H:H,'Donations Log'!C:C,A7,'Donations Log'!H:H,"&gt;"&amp;TODAY())))</f>
        <v>46489</v>
      </c>
      <c r="G7" s="73">
        <f t="shared" ca="1" si="0"/>
        <v>290</v>
      </c>
      <c r="H7" s="38" t="str">
        <f t="shared" ca="1" si="1"/>
        <v>OK</v>
      </c>
      <c r="I7" s="74">
        <v>1.8</v>
      </c>
      <c r="J7" s="38">
        <f t="shared" ca="1" si="2"/>
        <v>165</v>
      </c>
      <c r="K7" s="38" t="str">
        <f t="shared" ca="1" si="3"/>
        <v>WELL STOCKED</v>
      </c>
      <c r="L7" s="75" t="s">
        <v>33</v>
      </c>
    </row>
    <row r="8" spans="1:12" x14ac:dyDescent="0.35">
      <c r="A8" s="36" t="s">
        <v>64</v>
      </c>
      <c r="B8" s="36" t="s">
        <v>65</v>
      </c>
      <c r="C8" s="36" t="s">
        <v>66</v>
      </c>
      <c r="D8" s="36" t="s">
        <v>42</v>
      </c>
      <c r="E8" s="59">
        <f ca="1">MAX(0,SUMIFS('Donations Log'!G:G,'Donations Log'!C:C,A8,'Donations Log'!H:H,"&gt;="&amp;TODAY())-SUMIF('Distribution History'!E:E,A8,'Distribution History'!I:I))</f>
        <v>545</v>
      </c>
      <c r="F8" s="72">
        <f ca="1">IF(E8=0,"",IF(_xlfn.MINIFS('Donations Log'!H:H,'Donations Log'!C:C,A8,'Donations Log'!H:H,"&gt;"&amp;TODAY())=0,"",_xlfn.MINIFS('Donations Log'!H:H,'Donations Log'!C:C,A8,'Donations Log'!H:H,"&gt;"&amp;TODAY())))</f>
        <v>46486</v>
      </c>
      <c r="G8" s="73">
        <f t="shared" ca="1" si="0"/>
        <v>287</v>
      </c>
      <c r="H8" s="38" t="str">
        <f t="shared" ca="1" si="1"/>
        <v>OK</v>
      </c>
      <c r="I8" s="74">
        <v>5.5</v>
      </c>
      <c r="J8" s="38">
        <f t="shared" ca="1" si="2"/>
        <v>99.1</v>
      </c>
      <c r="K8" s="38" t="str">
        <f t="shared" ca="1" si="3"/>
        <v>WELL STOCKED</v>
      </c>
      <c r="L8" s="56" t="s">
        <v>63</v>
      </c>
    </row>
    <row r="9" spans="1:12" x14ac:dyDescent="0.35">
      <c r="A9" s="36" t="s">
        <v>46</v>
      </c>
      <c r="B9" s="36" t="s">
        <v>47</v>
      </c>
      <c r="C9" s="36" t="s">
        <v>31</v>
      </c>
      <c r="D9" s="36" t="s">
        <v>42</v>
      </c>
      <c r="E9" s="59">
        <f ca="1">MAX(0,SUMIFS('Donations Log'!G:G,'Donations Log'!C:C,A9,'Donations Log'!H:H,"&gt;="&amp;TODAY())-SUMIF('Distribution History'!E:E,A9,'Distribution History'!I:I))</f>
        <v>1382</v>
      </c>
      <c r="F9" s="72">
        <f ca="1">IF(E9=0,"",IF(_xlfn.MINIFS('Donations Log'!H:H,'Donations Log'!C:C,A9,'Donations Log'!H:H,"&gt;"&amp;TODAY())=0,"",_xlfn.MINIFS('Donations Log'!H:H,'Donations Log'!C:C,A9,'Donations Log'!H:H,"&gt;"&amp;TODAY())))</f>
        <v>46436</v>
      </c>
      <c r="G9" s="73">
        <f t="shared" ca="1" si="0"/>
        <v>237</v>
      </c>
      <c r="H9" s="38" t="str">
        <f t="shared" ca="1" si="1"/>
        <v>OK</v>
      </c>
      <c r="I9" s="74">
        <v>9.9</v>
      </c>
      <c r="J9" s="38">
        <f t="shared" ca="1" si="2"/>
        <v>139.6</v>
      </c>
      <c r="K9" s="38" t="str">
        <f t="shared" ca="1" si="3"/>
        <v>WELL STOCKED</v>
      </c>
      <c r="L9" s="56" t="s">
        <v>45</v>
      </c>
    </row>
    <row r="10" spans="1:12" x14ac:dyDescent="0.35">
      <c r="A10" s="36" t="s">
        <v>104</v>
      </c>
      <c r="B10" s="36" t="s">
        <v>105</v>
      </c>
      <c r="C10" s="36" t="s">
        <v>102</v>
      </c>
      <c r="D10" s="36" t="s">
        <v>103</v>
      </c>
      <c r="E10" s="59">
        <f ca="1">MAX(0,SUMIFS('Donations Log'!G:G,'Donations Log'!C:C,A10,'Donations Log'!H:H,"&gt;="&amp;TODAY())-SUMIF('Distribution History'!E:E,A10,'Distribution History'!I:I))</f>
        <v>1120</v>
      </c>
      <c r="F10" s="72">
        <f ca="1">IF(E10=0,"",IF(_xlfn.MINIFS('Donations Log'!H:H,'Donations Log'!C:C,A10,'Donations Log'!H:H,"&gt;"&amp;TODAY())=0,"",_xlfn.MINIFS('Donations Log'!H:H,'Donations Log'!C:C,A10,'Donations Log'!H:H,"&gt;"&amp;TODAY())))</f>
        <v>46433</v>
      </c>
      <c r="G10" s="73">
        <f t="shared" ca="1" si="0"/>
        <v>234</v>
      </c>
      <c r="H10" s="38" t="str">
        <f t="shared" ca="1" si="1"/>
        <v>OK</v>
      </c>
      <c r="I10" s="74">
        <v>8.1</v>
      </c>
      <c r="J10" s="38">
        <f t="shared" ca="1" si="2"/>
        <v>138.30000000000001</v>
      </c>
      <c r="K10" s="38" t="str">
        <f t="shared" ca="1" si="3"/>
        <v>WELL STOCKED</v>
      </c>
      <c r="L10" s="56" t="s">
        <v>45</v>
      </c>
    </row>
    <row r="11" spans="1:12" x14ac:dyDescent="0.35">
      <c r="A11" s="36" t="s">
        <v>109</v>
      </c>
      <c r="B11" s="36" t="s">
        <v>110</v>
      </c>
      <c r="C11" s="36" t="s">
        <v>102</v>
      </c>
      <c r="D11" s="36" t="s">
        <v>42</v>
      </c>
      <c r="E11" s="59">
        <f ca="1">MAX(0,SUMIFS('Donations Log'!G:G,'Donations Log'!C:C,A11,'Donations Log'!H:H,"&gt;="&amp;TODAY())-SUMIF('Distribution History'!E:E,A11,'Distribution History'!I:I))</f>
        <v>1110</v>
      </c>
      <c r="F11" s="72">
        <f ca="1">IF(E11=0,"",IF(_xlfn.MINIFS('Donations Log'!H:H,'Donations Log'!C:C,A11,'Donations Log'!H:H,"&gt;"&amp;TODAY())=0,"",_xlfn.MINIFS('Donations Log'!H:H,'Donations Log'!C:C,A11,'Donations Log'!H:H,"&gt;"&amp;TODAY())))</f>
        <v>46406</v>
      </c>
      <c r="G11" s="73">
        <f t="shared" ca="1" si="0"/>
        <v>207</v>
      </c>
      <c r="H11" s="38" t="str">
        <f t="shared" ca="1" si="1"/>
        <v>OK</v>
      </c>
      <c r="I11" s="74">
        <v>6.8</v>
      </c>
      <c r="J11" s="38">
        <f t="shared" ca="1" si="2"/>
        <v>163.19999999999999</v>
      </c>
      <c r="K11" s="38" t="str">
        <f t="shared" ca="1" si="3"/>
        <v>WELL STOCKED</v>
      </c>
      <c r="L11" s="75" t="s">
        <v>33</v>
      </c>
    </row>
    <row r="12" spans="1:12" x14ac:dyDescent="0.35">
      <c r="A12" s="36" t="s">
        <v>37</v>
      </c>
      <c r="B12" s="36" t="s">
        <v>38</v>
      </c>
      <c r="C12" s="36" t="s">
        <v>31</v>
      </c>
      <c r="D12" s="36" t="s">
        <v>39</v>
      </c>
      <c r="E12" s="59">
        <f ca="1">MAX(0,SUMIFS('Donations Log'!G:G,'Donations Log'!C:C,A12,'Donations Log'!H:H,"&gt;="&amp;TODAY())-SUMIF('Distribution History'!E:E,A12,'Distribution History'!I:I))</f>
        <v>1056</v>
      </c>
      <c r="F12" s="72">
        <f ca="1">IF(E12=0,"",IF(_xlfn.MINIFS('Donations Log'!H:H,'Donations Log'!C:C,A12,'Donations Log'!H:H,"&gt;"&amp;TODAY())=0,"",_xlfn.MINIFS('Donations Log'!H:H,'Donations Log'!C:C,A12,'Donations Log'!H:H,"&gt;"&amp;TODAY())))</f>
        <v>46396</v>
      </c>
      <c r="G12" s="73">
        <f t="shared" ca="1" si="0"/>
        <v>197</v>
      </c>
      <c r="H12" s="38" t="str">
        <f t="shared" ca="1" si="1"/>
        <v>OK</v>
      </c>
      <c r="I12" s="74">
        <v>6.6</v>
      </c>
      <c r="J12" s="38">
        <f t="shared" ca="1" si="2"/>
        <v>160</v>
      </c>
      <c r="K12" s="38" t="str">
        <f t="shared" ca="1" si="3"/>
        <v>WELL STOCKED</v>
      </c>
      <c r="L12" s="75" t="s">
        <v>33</v>
      </c>
    </row>
    <row r="13" spans="1:12" x14ac:dyDescent="0.35">
      <c r="A13" s="36" t="s">
        <v>29</v>
      </c>
      <c r="B13" s="36" t="s">
        <v>30</v>
      </c>
      <c r="C13" s="36" t="s">
        <v>31</v>
      </c>
      <c r="D13" s="36" t="s">
        <v>32</v>
      </c>
      <c r="E13" s="59">
        <f ca="1">MAX(0,SUMIFS('Donations Log'!G:G,'Donations Log'!C:C,A13,'Donations Log'!H:H,"&gt;="&amp;TODAY())-SUMIF('Distribution History'!E:E,A13,'Distribution History'!I:I))</f>
        <v>982</v>
      </c>
      <c r="F13" s="72">
        <f ca="1">IF(E13=0,"",IF(_xlfn.MINIFS('Donations Log'!H:H,'Donations Log'!C:C,A13,'Donations Log'!H:H,"&gt;"&amp;TODAY())=0,"",_xlfn.MINIFS('Donations Log'!H:H,'Donations Log'!C:C,A13,'Donations Log'!H:H,"&gt;"&amp;TODAY())))</f>
        <v>46376</v>
      </c>
      <c r="G13" s="73">
        <f t="shared" ca="1" si="0"/>
        <v>177</v>
      </c>
      <c r="H13" s="38" t="str">
        <f t="shared" ca="1" si="1"/>
        <v>OK</v>
      </c>
      <c r="I13" s="74">
        <v>8.1999999999999993</v>
      </c>
      <c r="J13" s="38">
        <f t="shared" ca="1" si="2"/>
        <v>119.8</v>
      </c>
      <c r="K13" s="38" t="str">
        <f t="shared" ca="1" si="3"/>
        <v>WELL STOCKED</v>
      </c>
      <c r="L13" s="75" t="s">
        <v>33</v>
      </c>
    </row>
    <row r="14" spans="1:12" x14ac:dyDescent="0.35">
      <c r="A14" s="36" t="s">
        <v>57</v>
      </c>
      <c r="B14" s="36" t="s">
        <v>58</v>
      </c>
      <c r="C14" s="36" t="s">
        <v>53</v>
      </c>
      <c r="D14" s="36" t="s">
        <v>42</v>
      </c>
      <c r="E14" s="59">
        <f ca="1">MAX(0,SUMIFS('Donations Log'!G:G,'Donations Log'!C:C,A14,'Donations Log'!H:H,"&gt;="&amp;TODAY())-SUMIF('Distribution History'!E:E,A14,'Distribution History'!I:I))</f>
        <v>1224</v>
      </c>
      <c r="F14" s="72">
        <f ca="1">IF(E14=0,"",IF(_xlfn.MINIFS('Donations Log'!H:H,'Donations Log'!C:C,A14,'Donations Log'!H:H,"&gt;"&amp;TODAY())=0,"",_xlfn.MINIFS('Donations Log'!H:H,'Donations Log'!C:C,A14,'Donations Log'!H:H,"&gt;"&amp;TODAY())))</f>
        <v>46357</v>
      </c>
      <c r="G14" s="73">
        <f t="shared" ca="1" si="0"/>
        <v>158</v>
      </c>
      <c r="H14" s="38" t="str">
        <f t="shared" ca="1" si="1"/>
        <v>OK</v>
      </c>
      <c r="I14" s="74">
        <v>11.6</v>
      </c>
      <c r="J14" s="38">
        <f t="shared" ca="1" si="2"/>
        <v>105.5</v>
      </c>
      <c r="K14" s="38" t="str">
        <f t="shared" ca="1" si="3"/>
        <v>WELL STOCKED</v>
      </c>
      <c r="L14" s="56" t="s">
        <v>45</v>
      </c>
    </row>
    <row r="15" spans="1:12" x14ac:dyDescent="0.35">
      <c r="A15" s="36" t="s">
        <v>67</v>
      </c>
      <c r="B15" s="36" t="s">
        <v>68</v>
      </c>
      <c r="C15" s="36" t="s">
        <v>66</v>
      </c>
      <c r="D15" s="36" t="s">
        <v>42</v>
      </c>
      <c r="E15" s="59">
        <f ca="1">MAX(0,SUMIFS('Donations Log'!G:G,'Donations Log'!C:C,A15,'Donations Log'!H:H,"&gt;="&amp;TODAY())-SUMIF('Distribution History'!E:E,A15,'Distribution History'!I:I))</f>
        <v>735</v>
      </c>
      <c r="F15" s="72">
        <f ca="1">IF(E15=0,"",IF(_xlfn.MINIFS('Donations Log'!H:H,'Donations Log'!C:C,A15,'Donations Log'!H:H,"&gt;"&amp;TODAY())=0,"",_xlfn.MINIFS('Donations Log'!H:H,'Donations Log'!C:C,A15,'Donations Log'!H:H,"&gt;"&amp;TODAY())))</f>
        <v>46353</v>
      </c>
      <c r="G15" s="73">
        <f t="shared" ca="1" si="0"/>
        <v>154</v>
      </c>
      <c r="H15" s="38" t="str">
        <f t="shared" ca="1" si="1"/>
        <v>OK</v>
      </c>
      <c r="I15" s="74">
        <v>3.4</v>
      </c>
      <c r="J15" s="38">
        <f t="shared" ca="1" si="2"/>
        <v>216.2</v>
      </c>
      <c r="K15" s="38" t="str">
        <f t="shared" ca="1" si="3"/>
        <v>WELL STOCKED</v>
      </c>
      <c r="L15" s="56" t="s">
        <v>63</v>
      </c>
    </row>
    <row r="16" spans="1:12" x14ac:dyDescent="0.35">
      <c r="A16" s="36" t="s">
        <v>69</v>
      </c>
      <c r="B16" s="36" t="s">
        <v>70</v>
      </c>
      <c r="C16" s="36" t="s">
        <v>66</v>
      </c>
      <c r="D16" s="36" t="s">
        <v>71</v>
      </c>
      <c r="E16" s="59">
        <f ca="1">MAX(0,SUMIFS('Donations Log'!G:G,'Donations Log'!C:C,A16,'Donations Log'!H:H,"&gt;="&amp;TODAY())-SUMIF('Distribution History'!E:E,A16,'Distribution History'!I:I))</f>
        <v>725</v>
      </c>
      <c r="F16" s="72">
        <f ca="1">IF(E16=0,"",IF(_xlfn.MINIFS('Donations Log'!H:H,'Donations Log'!C:C,A16,'Donations Log'!H:H,"&gt;"&amp;TODAY())=0,"",_xlfn.MINIFS('Donations Log'!H:H,'Donations Log'!C:C,A16,'Donations Log'!H:H,"&gt;"&amp;TODAY())))</f>
        <v>46350</v>
      </c>
      <c r="G16" s="73">
        <f t="shared" ca="1" si="0"/>
        <v>151</v>
      </c>
      <c r="H16" s="38" t="str">
        <f t="shared" ca="1" si="1"/>
        <v>OK</v>
      </c>
      <c r="I16" s="74">
        <v>4.7</v>
      </c>
      <c r="J16" s="38">
        <f t="shared" ca="1" si="2"/>
        <v>154.30000000000001</v>
      </c>
      <c r="K16" s="38" t="str">
        <f t="shared" ca="1" si="3"/>
        <v>WELL STOCKED</v>
      </c>
      <c r="L16" s="56" t="s">
        <v>63</v>
      </c>
    </row>
    <row r="17" spans="1:12" x14ac:dyDescent="0.35">
      <c r="A17" s="36" t="s">
        <v>40</v>
      </c>
      <c r="B17" s="36" t="s">
        <v>41</v>
      </c>
      <c r="C17" s="36" t="s">
        <v>31</v>
      </c>
      <c r="D17" s="36" t="s">
        <v>42</v>
      </c>
      <c r="E17" s="59">
        <f ca="1">MAX(0,SUMIFS('Donations Log'!G:G,'Donations Log'!C:C,A17,'Donations Log'!H:H,"&gt;="&amp;TODAY())-SUMIF('Distribution History'!E:E,A17,'Distribution History'!I:I))</f>
        <v>637</v>
      </c>
      <c r="F17" s="72">
        <f ca="1">IF(E17=0,"",IF(_xlfn.MINIFS('Donations Log'!H:H,'Donations Log'!C:C,A17,'Donations Log'!H:H,"&gt;"&amp;TODAY())=0,"",_xlfn.MINIFS('Donations Log'!H:H,'Donations Log'!C:C,A17,'Donations Log'!H:H,"&gt;"&amp;TODAY())))</f>
        <v>46340</v>
      </c>
      <c r="G17" s="73">
        <f t="shared" ca="1" si="0"/>
        <v>141</v>
      </c>
      <c r="H17" s="38" t="str">
        <f t="shared" ca="1" si="1"/>
        <v>OK</v>
      </c>
      <c r="I17" s="74">
        <v>6.1</v>
      </c>
      <c r="J17" s="38">
        <f t="shared" ca="1" si="2"/>
        <v>104.4</v>
      </c>
      <c r="K17" s="38" t="str">
        <f t="shared" ca="1" si="3"/>
        <v>WELL STOCKED</v>
      </c>
      <c r="L17" s="75" t="s">
        <v>33</v>
      </c>
    </row>
    <row r="18" spans="1:12" x14ac:dyDescent="0.35">
      <c r="A18" s="36" t="s">
        <v>106</v>
      </c>
      <c r="B18" s="36" t="s">
        <v>107</v>
      </c>
      <c r="C18" s="36" t="s">
        <v>102</v>
      </c>
      <c r="D18" s="36" t="s">
        <v>108</v>
      </c>
      <c r="E18" s="59">
        <f ca="1">MAX(0,SUMIFS('Donations Log'!G:G,'Donations Log'!C:C,A18,'Donations Log'!H:H,"&gt;="&amp;TODAY())-SUMIF('Distribution History'!E:E,A18,'Distribution History'!I:I))</f>
        <v>1211</v>
      </c>
      <c r="F18" s="72">
        <f ca="1">IF(E18=0,"",IF(_xlfn.MINIFS('Donations Log'!H:H,'Donations Log'!C:C,A18,'Donations Log'!H:H,"&gt;"&amp;TODAY())=0,"",_xlfn.MINIFS('Donations Log'!H:H,'Donations Log'!C:C,A18,'Donations Log'!H:H,"&gt;"&amp;TODAY())))</f>
        <v>46337</v>
      </c>
      <c r="G18" s="73">
        <f t="shared" ca="1" si="0"/>
        <v>138</v>
      </c>
      <c r="H18" s="38" t="str">
        <f t="shared" ca="1" si="1"/>
        <v>OK</v>
      </c>
      <c r="I18" s="74">
        <v>1.8</v>
      </c>
      <c r="J18" s="38">
        <f t="shared" ca="1" si="2"/>
        <v>672.8</v>
      </c>
      <c r="K18" s="38" t="str">
        <f t="shared" ca="1" si="3"/>
        <v>WELL STOCKED</v>
      </c>
      <c r="L18" s="56" t="s">
        <v>45</v>
      </c>
    </row>
    <row r="19" spans="1:12" x14ac:dyDescent="0.35">
      <c r="A19" s="36" t="s">
        <v>34</v>
      </c>
      <c r="B19" s="36" t="s">
        <v>35</v>
      </c>
      <c r="C19" s="36" t="s">
        <v>31</v>
      </c>
      <c r="D19" s="36" t="s">
        <v>36</v>
      </c>
      <c r="E19" s="59">
        <f ca="1">MAX(0,SUMIFS('Donations Log'!G:G,'Donations Log'!C:C,A19,'Donations Log'!H:H,"&gt;="&amp;TODAY())-SUMIF('Distribution History'!E:E,A19,'Distribution History'!I:I))</f>
        <v>1005</v>
      </c>
      <c r="F19" s="72">
        <f ca="1">IF(E19=0,"",IF(_xlfn.MINIFS('Donations Log'!H:H,'Donations Log'!C:C,A19,'Donations Log'!H:H,"&gt;"&amp;TODAY())=0,"",_xlfn.MINIFS('Donations Log'!H:H,'Donations Log'!C:C,A19,'Donations Log'!H:H,"&gt;"&amp;TODAY())))</f>
        <v>46329</v>
      </c>
      <c r="G19" s="73">
        <f t="shared" ca="1" si="0"/>
        <v>130</v>
      </c>
      <c r="H19" s="38" t="str">
        <f t="shared" ca="1" si="1"/>
        <v>OK</v>
      </c>
      <c r="I19" s="74">
        <v>9.5</v>
      </c>
      <c r="J19" s="38">
        <f t="shared" ca="1" si="2"/>
        <v>105.8</v>
      </c>
      <c r="K19" s="38" t="str">
        <f t="shared" ca="1" si="3"/>
        <v>WELL STOCKED</v>
      </c>
      <c r="L19" s="75" t="s">
        <v>33</v>
      </c>
    </row>
    <row r="20" spans="1:12" x14ac:dyDescent="0.35">
      <c r="A20" s="36" t="s">
        <v>54</v>
      </c>
      <c r="B20" s="36" t="s">
        <v>55</v>
      </c>
      <c r="C20" s="36" t="s">
        <v>53</v>
      </c>
      <c r="D20" s="36" t="s">
        <v>56</v>
      </c>
      <c r="E20" s="59">
        <f ca="1">MAX(0,SUMIFS('Donations Log'!G:G,'Donations Log'!C:C,A20,'Donations Log'!H:H,"&gt;="&amp;TODAY())-SUMIF('Distribution History'!E:E,A20,'Distribution History'!I:I))</f>
        <v>1829</v>
      </c>
      <c r="F20" s="72">
        <f ca="1">IF(E20=0,"",IF(_xlfn.MINIFS('Donations Log'!H:H,'Donations Log'!C:C,A20,'Donations Log'!H:H,"&gt;"&amp;TODAY())=0,"",_xlfn.MINIFS('Donations Log'!H:H,'Donations Log'!C:C,A20,'Donations Log'!H:H,"&gt;"&amp;TODAY())))</f>
        <v>46327</v>
      </c>
      <c r="G20" s="73">
        <f t="shared" ca="1" si="0"/>
        <v>128</v>
      </c>
      <c r="H20" s="38" t="str">
        <f t="shared" ca="1" si="1"/>
        <v>OK</v>
      </c>
      <c r="I20" s="74">
        <v>10.5</v>
      </c>
      <c r="J20" s="38">
        <f t="shared" ca="1" si="2"/>
        <v>174.2</v>
      </c>
      <c r="K20" s="38" t="str">
        <f t="shared" ca="1" si="3"/>
        <v>WELL STOCKED</v>
      </c>
      <c r="L20" s="56" t="s">
        <v>45</v>
      </c>
    </row>
    <row r="21" spans="1:12" x14ac:dyDescent="0.35">
      <c r="A21" s="36" t="s">
        <v>72</v>
      </c>
      <c r="B21" s="36" t="s">
        <v>73</v>
      </c>
      <c r="C21" s="36" t="s">
        <v>74</v>
      </c>
      <c r="D21" s="36" t="s">
        <v>75</v>
      </c>
      <c r="E21" s="59">
        <f ca="1">MAX(0,SUMIFS('Donations Log'!G:G,'Donations Log'!C:C,A21,'Donations Log'!H:H,"&gt;="&amp;TODAY())-SUMIF('Distribution History'!E:E,A21,'Distribution History'!I:I))</f>
        <v>765</v>
      </c>
      <c r="F21" s="72">
        <f ca="1">IF(E21=0,"",IF(_xlfn.MINIFS('Donations Log'!H:H,'Donations Log'!C:C,A21,'Donations Log'!H:H,"&gt;"&amp;TODAY())=0,"",_xlfn.MINIFS('Donations Log'!H:H,'Donations Log'!C:C,A21,'Donations Log'!H:H,"&gt;"&amp;TODAY())))</f>
        <v>46313</v>
      </c>
      <c r="G21" s="73">
        <f t="shared" ca="1" si="0"/>
        <v>114</v>
      </c>
      <c r="H21" s="38" t="str">
        <f t="shared" ca="1" si="1"/>
        <v>OK</v>
      </c>
      <c r="I21" s="74">
        <v>2</v>
      </c>
      <c r="J21" s="38">
        <f t="shared" ca="1" si="2"/>
        <v>382.5</v>
      </c>
      <c r="K21" s="38" t="str">
        <f t="shared" ca="1" si="3"/>
        <v>WELL STOCKED</v>
      </c>
      <c r="L21" s="75" t="s">
        <v>33</v>
      </c>
    </row>
    <row r="22" spans="1:12" x14ac:dyDescent="0.35">
      <c r="A22" s="36" t="s">
        <v>81</v>
      </c>
      <c r="B22" s="36" t="s">
        <v>82</v>
      </c>
      <c r="C22" s="36" t="s">
        <v>74</v>
      </c>
      <c r="D22" s="36" t="s">
        <v>80</v>
      </c>
      <c r="E22" s="59">
        <f ca="1">MAX(0,SUMIFS('Donations Log'!G:G,'Donations Log'!C:C,A22,'Donations Log'!H:H,"&gt;="&amp;TODAY())-SUMIF('Distribution History'!E:E,A22,'Distribution History'!I:I))</f>
        <v>837</v>
      </c>
      <c r="F22" s="72">
        <f ca="1">IF(E22=0,"",IF(_xlfn.MINIFS('Donations Log'!H:H,'Donations Log'!C:C,A22,'Donations Log'!H:H,"&gt;"&amp;TODAY())=0,"",_xlfn.MINIFS('Donations Log'!H:H,'Donations Log'!C:C,A22,'Donations Log'!H:H,"&gt;"&amp;TODAY())))</f>
        <v>46313</v>
      </c>
      <c r="G22" s="73">
        <f t="shared" ca="1" si="0"/>
        <v>114</v>
      </c>
      <c r="H22" s="38" t="str">
        <f t="shared" ca="1" si="1"/>
        <v>OK</v>
      </c>
      <c r="I22" s="74">
        <v>6.8</v>
      </c>
      <c r="J22" s="38">
        <f t="shared" ca="1" si="2"/>
        <v>123.1</v>
      </c>
      <c r="K22" s="38" t="str">
        <f t="shared" ca="1" si="3"/>
        <v>WELL STOCKED</v>
      </c>
      <c r="L22" s="75" t="s">
        <v>33</v>
      </c>
    </row>
    <row r="23" spans="1:12" x14ac:dyDescent="0.35">
      <c r="A23" s="36" t="s">
        <v>111</v>
      </c>
      <c r="B23" s="36" t="s">
        <v>112</v>
      </c>
      <c r="C23" s="36" t="s">
        <v>102</v>
      </c>
      <c r="D23" s="36" t="s">
        <v>113</v>
      </c>
      <c r="E23" s="59">
        <f ca="1">MAX(0,SUMIFS('Donations Log'!G:G,'Donations Log'!C:C,A23,'Donations Log'!H:H,"&gt;="&amp;TODAY())-SUMIF('Distribution History'!E:E,A23,'Distribution History'!I:I))</f>
        <v>1291</v>
      </c>
      <c r="F23" s="72">
        <f ca="1">IF(E23=0,"",IF(_xlfn.MINIFS('Donations Log'!H:H,'Donations Log'!C:C,A23,'Donations Log'!H:H,"&gt;"&amp;TODAY())=0,"",_xlfn.MINIFS('Donations Log'!H:H,'Donations Log'!C:C,A23,'Donations Log'!H:H,"&gt;"&amp;TODAY())))</f>
        <v>46299</v>
      </c>
      <c r="G23" s="73">
        <f t="shared" ca="1" si="0"/>
        <v>100</v>
      </c>
      <c r="H23" s="38" t="str">
        <f t="shared" ca="1" si="1"/>
        <v>OK</v>
      </c>
      <c r="I23" s="74">
        <v>8.8000000000000007</v>
      </c>
      <c r="J23" s="38">
        <f t="shared" ca="1" si="2"/>
        <v>146.69999999999999</v>
      </c>
      <c r="K23" s="38" t="str">
        <f t="shared" ca="1" si="3"/>
        <v>WELL STOCKED</v>
      </c>
      <c r="L23" s="56" t="s">
        <v>45</v>
      </c>
    </row>
    <row r="24" spans="1:12" x14ac:dyDescent="0.35">
      <c r="A24" s="36" t="s">
        <v>59</v>
      </c>
      <c r="B24" s="36" t="s">
        <v>60</v>
      </c>
      <c r="C24" s="36" t="s">
        <v>53</v>
      </c>
      <c r="D24" s="36" t="s">
        <v>56</v>
      </c>
      <c r="E24" s="59">
        <f ca="1">MAX(0,SUMIFS('Donations Log'!G:G,'Donations Log'!C:C,A24,'Donations Log'!H:H,"&gt;="&amp;TODAY())-SUMIF('Distribution History'!E:E,A24,'Distribution History'!I:I))</f>
        <v>1206</v>
      </c>
      <c r="F24" s="72">
        <f ca="1">IF(E24=0,"",IF(_xlfn.MINIFS('Donations Log'!H:H,'Donations Log'!C:C,A24,'Donations Log'!H:H,"&gt;"&amp;TODAY())=0,"",_xlfn.MINIFS('Donations Log'!H:H,'Donations Log'!C:C,A24,'Donations Log'!H:H,"&gt;"&amp;TODAY())))</f>
        <v>46298</v>
      </c>
      <c r="G24" s="73">
        <f t="shared" ca="1" si="0"/>
        <v>99</v>
      </c>
      <c r="H24" s="38" t="str">
        <f t="shared" ca="1" si="1"/>
        <v>OK</v>
      </c>
      <c r="I24" s="74">
        <v>13.1</v>
      </c>
      <c r="J24" s="38">
        <f t="shared" ca="1" si="2"/>
        <v>92.1</v>
      </c>
      <c r="K24" s="38" t="str">
        <f t="shared" ca="1" si="3"/>
        <v>WELL STOCKED</v>
      </c>
      <c r="L24" s="56" t="s">
        <v>45</v>
      </c>
    </row>
    <row r="25" spans="1:12" x14ac:dyDescent="0.35">
      <c r="A25" s="36" t="s">
        <v>51</v>
      </c>
      <c r="B25" s="36" t="s">
        <v>52</v>
      </c>
      <c r="C25" s="36" t="s">
        <v>53</v>
      </c>
      <c r="D25" s="36" t="s">
        <v>42</v>
      </c>
      <c r="E25" s="59">
        <f ca="1">MAX(0,SUMIFS('Donations Log'!G:G,'Donations Log'!C:C,A25,'Donations Log'!H:H,"&gt;="&amp;TODAY())-SUMIF('Distribution History'!E:E,A25,'Distribution History'!I:I))</f>
        <v>1567</v>
      </c>
      <c r="F25" s="72">
        <f ca="1">IF(E25=0,"",IF(_xlfn.MINIFS('Donations Log'!H:H,'Donations Log'!C:C,A25,'Donations Log'!H:H,"&gt;"&amp;TODAY())=0,"",_xlfn.MINIFS('Donations Log'!H:H,'Donations Log'!C:C,A25,'Donations Log'!H:H,"&gt;"&amp;TODAY())))</f>
        <v>46288</v>
      </c>
      <c r="G25" s="73">
        <f t="shared" ca="1" si="0"/>
        <v>89</v>
      </c>
      <c r="H25" s="38" t="str">
        <f t="shared" ca="1" si="1"/>
        <v>OK</v>
      </c>
      <c r="I25" s="74">
        <v>14.8</v>
      </c>
      <c r="J25" s="38">
        <f t="shared" ca="1" si="2"/>
        <v>105.9</v>
      </c>
      <c r="K25" s="38" t="str">
        <f t="shared" ca="1" si="3"/>
        <v>WELL STOCKED</v>
      </c>
      <c r="L25" s="56" t="s">
        <v>45</v>
      </c>
    </row>
    <row r="26" spans="1:12" x14ac:dyDescent="0.35">
      <c r="A26" s="36" t="s">
        <v>100</v>
      </c>
      <c r="B26" s="36" t="s">
        <v>101</v>
      </c>
      <c r="C26" s="36" t="s">
        <v>102</v>
      </c>
      <c r="D26" s="36" t="s">
        <v>103</v>
      </c>
      <c r="E26" s="59">
        <f ca="1">MAX(0,SUMIFS('Donations Log'!G:G,'Donations Log'!C:C,A26,'Donations Log'!H:H,"&gt;="&amp;TODAY())-SUMIF('Distribution History'!E:E,A26,'Distribution History'!I:I))</f>
        <v>736</v>
      </c>
      <c r="F26" s="72">
        <f ca="1">IF(E26=0,"",IF(_xlfn.MINIFS('Donations Log'!H:H,'Donations Log'!C:C,A26,'Donations Log'!H:H,"&gt;"&amp;TODAY())=0,"",_xlfn.MINIFS('Donations Log'!H:H,'Donations Log'!C:C,A26,'Donations Log'!H:H,"&gt;"&amp;TODAY())))</f>
        <v>46259</v>
      </c>
      <c r="G26" s="73">
        <f t="shared" ca="1" si="0"/>
        <v>60</v>
      </c>
      <c r="H26" s="38" t="str">
        <f t="shared" ca="1" si="1"/>
        <v>OK</v>
      </c>
      <c r="I26" s="74">
        <v>3.3</v>
      </c>
      <c r="J26" s="38">
        <f t="shared" ca="1" si="2"/>
        <v>223</v>
      </c>
      <c r="K26" s="38" t="str">
        <f t="shared" ca="1" si="3"/>
        <v>WELL STOCKED</v>
      </c>
      <c r="L26" s="75" t="s">
        <v>33</v>
      </c>
    </row>
    <row r="27" spans="1:12" x14ac:dyDescent="0.35">
      <c r="A27" s="36" t="s">
        <v>43</v>
      </c>
      <c r="B27" s="36" t="s">
        <v>44</v>
      </c>
      <c r="C27" s="36" t="s">
        <v>31</v>
      </c>
      <c r="D27" s="36" t="s">
        <v>42</v>
      </c>
      <c r="E27" s="59">
        <f ca="1">MAX(0,SUMIFS('Donations Log'!G:G,'Donations Log'!C:C,A27,'Donations Log'!H:H,"&gt;="&amp;TODAY())-SUMIF('Distribution History'!E:E,A27,'Distribution History'!I:I))</f>
        <v>503</v>
      </c>
      <c r="F27" s="72">
        <f ca="1">IF(E27=0,"",IF(_xlfn.MINIFS('Donations Log'!H:H,'Donations Log'!C:C,A27,'Donations Log'!H:H,"&gt;"&amp;TODAY())=0,"",_xlfn.MINIFS('Donations Log'!H:H,'Donations Log'!C:C,A27,'Donations Log'!H:H,"&gt;"&amp;TODAY())))</f>
        <v>46241</v>
      </c>
      <c r="G27" s="73">
        <f t="shared" ca="1" si="0"/>
        <v>42</v>
      </c>
      <c r="H27" s="38" t="str">
        <f t="shared" ca="1" si="1"/>
        <v>OK</v>
      </c>
      <c r="I27" s="74">
        <v>8.1999999999999993</v>
      </c>
      <c r="J27" s="38">
        <f t="shared" ca="1" si="2"/>
        <v>61.3</v>
      </c>
      <c r="K27" s="38" t="str">
        <f t="shared" ca="1" si="3"/>
        <v>WELL STOCKED</v>
      </c>
      <c r="L27" s="56" t="s">
        <v>45</v>
      </c>
    </row>
    <row r="28" spans="1:12" x14ac:dyDescent="0.35">
      <c r="A28" s="36" t="s">
        <v>83</v>
      </c>
      <c r="B28" s="36" t="s">
        <v>84</v>
      </c>
      <c r="C28" s="36" t="s">
        <v>74</v>
      </c>
      <c r="D28" s="36" t="s">
        <v>85</v>
      </c>
      <c r="E28" s="59">
        <f ca="1">MAX(0,SUMIFS('Donations Log'!G:G,'Donations Log'!C:C,A28,'Donations Log'!H:H,"&gt;="&amp;TODAY())-SUMIF('Distribution History'!E:E,A28,'Distribution History'!I:I))</f>
        <v>560</v>
      </c>
      <c r="F28" s="72">
        <f ca="1">IF(E28=0,"",IF(_xlfn.MINIFS('Donations Log'!H:H,'Donations Log'!C:C,A28,'Donations Log'!H:H,"&gt;"&amp;TODAY())=0,"",_xlfn.MINIFS('Donations Log'!H:H,'Donations Log'!C:C,A28,'Donations Log'!H:H,"&gt;"&amp;TODAY())))</f>
        <v>46230</v>
      </c>
      <c r="G28" s="73">
        <f t="shared" ca="1" si="0"/>
        <v>31</v>
      </c>
      <c r="H28" s="38" t="str">
        <f t="shared" ca="1" si="1"/>
        <v>OK</v>
      </c>
      <c r="I28" s="74">
        <v>4.7</v>
      </c>
      <c r="J28" s="38">
        <f t="shared" ca="1" si="2"/>
        <v>119.1</v>
      </c>
      <c r="K28" s="38" t="str">
        <f t="shared" ca="1" si="3"/>
        <v>WELL STOCKED</v>
      </c>
      <c r="L28" s="75" t="s">
        <v>33</v>
      </c>
    </row>
    <row r="29" spans="1:12" x14ac:dyDescent="0.35">
      <c r="A29" s="36" t="s">
        <v>161</v>
      </c>
      <c r="B29" s="36" t="s">
        <v>162</v>
      </c>
      <c r="C29" s="36" t="s">
        <v>159</v>
      </c>
      <c r="D29" s="36" t="s">
        <v>163</v>
      </c>
      <c r="E29" s="59">
        <f ca="1">MAX(0,SUMIFS('Donations Log'!G:G,'Donations Log'!C:C,A29,'Donations Log'!H:H,"&gt;="&amp;TODAY())-SUMIF('Distribution History'!E:E,A29,'Distribution History'!I:I))</f>
        <v>551</v>
      </c>
      <c r="F29" s="72">
        <f ca="1">IF(E29=0,"",IF(_xlfn.MINIFS('Donations Log'!H:H,'Donations Log'!C:C,A29,'Donations Log'!H:H,"&gt;"&amp;TODAY())=0,"",_xlfn.MINIFS('Donations Log'!H:H,'Donations Log'!C:C,A29,'Donations Log'!H:H,"&gt;"&amp;TODAY())))</f>
        <v>46230</v>
      </c>
      <c r="G29" s="73">
        <f t="shared" ca="1" si="0"/>
        <v>31</v>
      </c>
      <c r="H29" s="38" t="str">
        <f t="shared" ca="1" si="1"/>
        <v>OK</v>
      </c>
      <c r="I29" s="74">
        <v>4</v>
      </c>
      <c r="J29" s="38">
        <f t="shared" ca="1" si="2"/>
        <v>137.80000000000001</v>
      </c>
      <c r="K29" s="38" t="str">
        <f t="shared" ca="1" si="3"/>
        <v>WELL STOCKED</v>
      </c>
      <c r="L29" s="56" t="s">
        <v>45</v>
      </c>
    </row>
    <row r="30" spans="1:12" x14ac:dyDescent="0.35">
      <c r="A30" s="36" t="s">
        <v>117</v>
      </c>
      <c r="B30" s="36" t="s">
        <v>118</v>
      </c>
      <c r="C30" s="36" t="s">
        <v>14</v>
      </c>
      <c r="D30" s="36" t="s">
        <v>119</v>
      </c>
      <c r="E30" s="59">
        <f ca="1">MAX(0,SUMIFS('Donations Log'!G:G,'Donations Log'!C:C,A30,'Donations Log'!H:H,"&gt;="&amp;TODAY())-SUMIF('Distribution History'!E:E,A30,'Distribution History'!I:I))</f>
        <v>119</v>
      </c>
      <c r="F30" s="72">
        <f ca="1">IF(E30=0,"",IF(_xlfn.MINIFS('Donations Log'!H:H,'Donations Log'!C:C,A30,'Donations Log'!H:H,"&gt;"&amp;TODAY())=0,"",_xlfn.MINIFS('Donations Log'!H:H,'Donations Log'!C:C,A30,'Donations Log'!H:H,"&gt;"&amp;TODAY())))</f>
        <v>46220</v>
      </c>
      <c r="G30" s="73">
        <f t="shared" ca="1" si="0"/>
        <v>21</v>
      </c>
      <c r="H30" s="38" t="str">
        <f t="shared" ca="1" si="1"/>
        <v>NOTICE</v>
      </c>
      <c r="I30" s="74">
        <v>2.8</v>
      </c>
      <c r="J30" s="38">
        <f t="shared" ca="1" si="2"/>
        <v>42.5</v>
      </c>
      <c r="K30" s="38" t="str">
        <f t="shared" ca="1" si="3"/>
        <v>WELL STOCKED</v>
      </c>
      <c r="L30" s="75" t="s">
        <v>33</v>
      </c>
    </row>
    <row r="31" spans="1:12" x14ac:dyDescent="0.35">
      <c r="A31" s="36" t="s">
        <v>153</v>
      </c>
      <c r="B31" s="36" t="s">
        <v>154</v>
      </c>
      <c r="C31" s="36" t="s">
        <v>12</v>
      </c>
      <c r="D31" s="36" t="s">
        <v>155</v>
      </c>
      <c r="E31" s="59">
        <f ca="1">MAX(0,SUMIFS('Donations Log'!G:G,'Donations Log'!C:C,A31,'Donations Log'!H:H,"&gt;="&amp;TODAY())-SUMIF('Distribution History'!E:E,A31,'Distribution History'!I:I))</f>
        <v>216</v>
      </c>
      <c r="F31" s="72">
        <f ca="1">IF(E31=0,"",IF(_xlfn.MINIFS('Donations Log'!H:H,'Donations Log'!C:C,A31,'Donations Log'!H:H,"&gt;"&amp;TODAY())=0,"",_xlfn.MINIFS('Donations Log'!H:H,'Donations Log'!C:C,A31,'Donations Log'!H:H,"&gt;"&amp;TODAY())))</f>
        <v>46220</v>
      </c>
      <c r="G31" s="73">
        <f t="shared" ca="1" si="0"/>
        <v>21</v>
      </c>
      <c r="H31" s="38" t="str">
        <f t="shared" ca="1" si="1"/>
        <v>NOTICE</v>
      </c>
      <c r="I31" s="74">
        <v>1.6</v>
      </c>
      <c r="J31" s="38">
        <f t="shared" ca="1" si="2"/>
        <v>135</v>
      </c>
      <c r="K31" s="38" t="str">
        <f t="shared" ca="1" si="3"/>
        <v>WELL STOCKED</v>
      </c>
      <c r="L31" s="56" t="s">
        <v>45</v>
      </c>
    </row>
    <row r="32" spans="1:12" x14ac:dyDescent="0.35">
      <c r="A32" s="36" t="s">
        <v>78</v>
      </c>
      <c r="B32" s="36" t="s">
        <v>79</v>
      </c>
      <c r="C32" s="36" t="s">
        <v>74</v>
      </c>
      <c r="D32" s="36" t="s">
        <v>80</v>
      </c>
      <c r="E32" s="59">
        <f ca="1">MAX(0,SUMIFS('Donations Log'!G:G,'Donations Log'!C:C,A32,'Donations Log'!H:H,"&gt;="&amp;TODAY())-SUMIF('Distribution History'!E:E,A32,'Distribution History'!I:I))</f>
        <v>815</v>
      </c>
      <c r="F32" s="72">
        <f ca="1">IF(E32=0,"",IF(_xlfn.MINIFS('Donations Log'!H:H,'Donations Log'!C:C,A32,'Donations Log'!H:H,"&gt;"&amp;TODAY())=0,"",_xlfn.MINIFS('Donations Log'!H:H,'Donations Log'!C:C,A32,'Donations Log'!H:H,"&gt;"&amp;TODAY())))</f>
        <v>46215</v>
      </c>
      <c r="G32" s="73">
        <f t="shared" ca="1" si="0"/>
        <v>16</v>
      </c>
      <c r="H32" s="38" t="str">
        <f t="shared" ca="1" si="1"/>
        <v>NOTICE</v>
      </c>
      <c r="I32" s="74">
        <v>2.5</v>
      </c>
      <c r="J32" s="38">
        <f t="shared" ca="1" si="2"/>
        <v>326</v>
      </c>
      <c r="K32" s="38" t="str">
        <f t="shared" ca="1" si="3"/>
        <v>WELL STOCKED</v>
      </c>
      <c r="L32" s="75" t="s">
        <v>33</v>
      </c>
    </row>
    <row r="33" spans="1:12" x14ac:dyDescent="0.35">
      <c r="A33" s="36" t="s">
        <v>138</v>
      </c>
      <c r="B33" s="36" t="s">
        <v>139</v>
      </c>
      <c r="C33" s="36" t="s">
        <v>6</v>
      </c>
      <c r="D33" s="36" t="s">
        <v>140</v>
      </c>
      <c r="E33" s="59">
        <f ca="1">MAX(0,SUMIFS('Donations Log'!G:G,'Donations Log'!C:C,A33,'Donations Log'!H:H,"&gt;="&amp;TODAY())-SUMIF('Distribution History'!E:E,A33,'Distribution History'!I:I))</f>
        <v>0</v>
      </c>
      <c r="F33" s="72" t="str">
        <f ca="1">IF(E33=0,"",IF(_xlfn.MINIFS('Donations Log'!H:H,'Donations Log'!C:C,A33,'Donations Log'!H:H,"&gt;"&amp;TODAY())=0,"",_xlfn.MINIFS('Donations Log'!H:H,'Donations Log'!C:C,A33,'Donations Log'!H:H,"&gt;"&amp;TODAY())))</f>
        <v/>
      </c>
      <c r="G33" s="73" t="str">
        <f t="shared" ca="1" si="0"/>
        <v/>
      </c>
      <c r="H33" s="38" t="str">
        <f t="shared" ca="1" si="1"/>
        <v>OUT OF STOCK</v>
      </c>
      <c r="I33" s="74">
        <v>5.2</v>
      </c>
      <c r="J33" s="38" t="str">
        <f t="shared" ca="1" si="2"/>
        <v>0.0</v>
      </c>
      <c r="K33" s="38" t="str">
        <f t="shared" ca="1" si="3"/>
        <v>OUT OF STOCK</v>
      </c>
      <c r="L33" s="56" t="s">
        <v>45</v>
      </c>
    </row>
    <row r="34" spans="1:12" x14ac:dyDescent="0.35">
      <c r="A34" s="36" t="s">
        <v>88</v>
      </c>
      <c r="B34" s="36" t="s">
        <v>89</v>
      </c>
      <c r="C34" s="36" t="s">
        <v>74</v>
      </c>
      <c r="D34" s="36" t="s">
        <v>90</v>
      </c>
      <c r="E34" s="59">
        <f ca="1">MAX(0,SUMIFS('Donations Log'!G:G,'Donations Log'!C:C,A34,'Donations Log'!H:H,"&gt;="&amp;TODAY())-SUMIF('Distribution History'!E:E,A34,'Distribution History'!I:I))</f>
        <v>236</v>
      </c>
      <c r="F34" s="72">
        <f ca="1">IF(E34=0,"",IF(_xlfn.MINIFS('Donations Log'!H:H,'Donations Log'!C:C,A34,'Donations Log'!H:H,"&gt;"&amp;TODAY())=0,"",_xlfn.MINIFS('Donations Log'!H:H,'Donations Log'!C:C,A34,'Donations Log'!H:H,"&gt;"&amp;TODAY())))</f>
        <v>46213</v>
      </c>
      <c r="G34" s="73">
        <f t="shared" ca="1" si="0"/>
        <v>14</v>
      </c>
      <c r="H34" s="38" t="str">
        <f t="shared" ca="1" si="1"/>
        <v>NOTICE</v>
      </c>
      <c r="I34" s="74">
        <v>5.9</v>
      </c>
      <c r="J34" s="38">
        <f t="shared" ca="1" si="2"/>
        <v>40</v>
      </c>
      <c r="K34" s="38" t="str">
        <f t="shared" ca="1" si="3"/>
        <v>WELL STOCKED</v>
      </c>
      <c r="L34" s="56" t="s">
        <v>63</v>
      </c>
    </row>
    <row r="35" spans="1:12" x14ac:dyDescent="0.35">
      <c r="A35" s="36" t="s">
        <v>132</v>
      </c>
      <c r="B35" s="36" t="s">
        <v>133</v>
      </c>
      <c r="C35" s="36" t="s">
        <v>10</v>
      </c>
      <c r="D35" s="36" t="s">
        <v>134</v>
      </c>
      <c r="E35" s="59">
        <f ca="1">MAX(0,SUMIFS('Donations Log'!G:G,'Donations Log'!C:C,A35,'Donations Log'!H:H,"&gt;="&amp;TODAY())-SUMIF('Distribution History'!E:E,A35,'Distribution History'!I:I))</f>
        <v>0</v>
      </c>
      <c r="F35" s="72" t="str">
        <f ca="1">IF(E35=0,"",IF(_xlfn.MINIFS('Donations Log'!H:H,'Donations Log'!C:C,A35,'Donations Log'!H:H,"&gt;"&amp;TODAY())=0,"",_xlfn.MINIFS('Donations Log'!H:H,'Donations Log'!C:C,A35,'Donations Log'!H:H,"&gt;"&amp;TODAY())))</f>
        <v/>
      </c>
      <c r="G35" s="73" t="str">
        <f t="shared" ca="1" si="0"/>
        <v/>
      </c>
      <c r="H35" s="38" t="str">
        <f t="shared" ca="1" si="1"/>
        <v>OUT OF STOCK</v>
      </c>
      <c r="I35" s="74">
        <v>4.5999999999999996</v>
      </c>
      <c r="J35" s="38" t="str">
        <f t="shared" ca="1" si="2"/>
        <v>0.0</v>
      </c>
      <c r="K35" s="38" t="str">
        <f t="shared" ca="1" si="3"/>
        <v>OUT OF STOCK</v>
      </c>
      <c r="L35" s="56" t="s">
        <v>45</v>
      </c>
    </row>
    <row r="36" spans="1:12" x14ac:dyDescent="0.35">
      <c r="A36" s="36" t="s">
        <v>86</v>
      </c>
      <c r="B36" s="36" t="s">
        <v>87</v>
      </c>
      <c r="C36" s="36" t="s">
        <v>74</v>
      </c>
      <c r="D36" s="36" t="s">
        <v>75</v>
      </c>
      <c r="E36" s="59">
        <f ca="1">MAX(0,SUMIFS('Donations Log'!G:G,'Donations Log'!C:C,A36,'Donations Log'!H:H,"&gt;="&amp;TODAY())-SUMIF('Distribution History'!E:E,A36,'Distribution History'!I:I))</f>
        <v>416</v>
      </c>
      <c r="F36" s="72">
        <f ca="1">IF(E36=0,"",IF(_xlfn.MINIFS('Donations Log'!H:H,'Donations Log'!C:C,A36,'Donations Log'!H:H,"&gt;"&amp;TODAY())=0,"",_xlfn.MINIFS('Donations Log'!H:H,'Donations Log'!C:C,A36,'Donations Log'!H:H,"&gt;"&amp;TODAY())))</f>
        <v>46210</v>
      </c>
      <c r="G36" s="73">
        <f t="shared" ca="1" si="0"/>
        <v>11</v>
      </c>
      <c r="H36" s="38" t="str">
        <f t="shared" ca="1" si="1"/>
        <v>NOTICE</v>
      </c>
      <c r="I36" s="74">
        <v>4.2</v>
      </c>
      <c r="J36" s="38">
        <f t="shared" ca="1" si="2"/>
        <v>99</v>
      </c>
      <c r="K36" s="38" t="str">
        <f t="shared" ca="1" si="3"/>
        <v>WELL STOCKED</v>
      </c>
      <c r="L36" s="56" t="s">
        <v>45</v>
      </c>
    </row>
    <row r="37" spans="1:12" x14ac:dyDescent="0.35">
      <c r="A37" s="36" t="s">
        <v>48</v>
      </c>
      <c r="B37" s="36" t="s">
        <v>49</v>
      </c>
      <c r="C37" s="36" t="s">
        <v>31</v>
      </c>
      <c r="D37" s="36" t="s">
        <v>50</v>
      </c>
      <c r="E37" s="59">
        <f ca="1">MAX(0,SUMIFS('Donations Log'!G:G,'Donations Log'!C:C,A37,'Donations Log'!H:H,"&gt;="&amp;TODAY())-SUMIF('Distribution History'!E:E,A37,'Distribution History'!I:I))</f>
        <v>552</v>
      </c>
      <c r="F37" s="72">
        <f ca="1">IF(E37=0,"",IF(_xlfn.MINIFS('Donations Log'!H:H,'Donations Log'!C:C,A37,'Donations Log'!H:H,"&gt;"&amp;TODAY())=0,"",_xlfn.MINIFS('Donations Log'!H:H,'Donations Log'!C:C,A37,'Donations Log'!H:H,"&gt;"&amp;TODAY())))</f>
        <v>46208</v>
      </c>
      <c r="G37" s="73">
        <f t="shared" ref="G37:G54" ca="1" si="4">IF(F37="","",F37-TODAY())</f>
        <v>9</v>
      </c>
      <c r="H37" s="38" t="str">
        <f t="shared" ref="H37:H54" ca="1" si="5">IF(E37=0,"OUT OF STOCK",IF(G37="","UNKNOWN",IF(G37&lt;=0,"EXPIRED",IF(G37&lt;=3,"CRITICAL",IF(G37&lt;=7,"WARNING",IF(G37&lt;=30,"NOTICE","OK"))))))</f>
        <v>NOTICE</v>
      </c>
      <c r="I37" s="74">
        <v>8</v>
      </c>
      <c r="J37" s="38">
        <f t="shared" ref="J37:J54" ca="1" si="6">IFERROR(IF(I37=0,"N/A",IF(E37=0,"0.0",ROUND(E37/I37,1))),"N/A")</f>
        <v>69</v>
      </c>
      <c r="K37" s="38" t="str">
        <f t="shared" ref="K37:K54" ca="1" si="7">IF(E37=0,"OUT OF STOCK",IF(ISNUMBER(J37),IF(J37&lt;1,"CRITICAL LOW",IF(J37&lt;2,"LOW",IF(J37&lt;4,"ADEQUATE","WELL STOCKED"))),"ADEQUATE"))</f>
        <v>WELL STOCKED</v>
      </c>
      <c r="L37" s="75" t="s">
        <v>33</v>
      </c>
    </row>
    <row r="38" spans="1:12" x14ac:dyDescent="0.35">
      <c r="A38" s="36" t="s">
        <v>149</v>
      </c>
      <c r="B38" s="36" t="s">
        <v>150</v>
      </c>
      <c r="C38" s="36" t="s">
        <v>8</v>
      </c>
      <c r="D38" s="36" t="s">
        <v>75</v>
      </c>
      <c r="E38" s="59">
        <f ca="1">MAX(0,SUMIFS('Donations Log'!G:G,'Donations Log'!C:C,A38,'Donations Log'!H:H,"&gt;="&amp;TODAY())-SUMIF('Distribution History'!E:E,A38,'Distribution History'!I:I))</f>
        <v>0</v>
      </c>
      <c r="F38" s="72" t="str">
        <f ca="1">IF(E38=0,"",IF(_xlfn.MINIFS('Donations Log'!H:H,'Donations Log'!C:C,A38,'Donations Log'!H:H,"&gt;"&amp;TODAY())=0,"",_xlfn.MINIFS('Donations Log'!H:H,'Donations Log'!C:C,A38,'Donations Log'!H:H,"&gt;"&amp;TODAY())))</f>
        <v/>
      </c>
      <c r="G38" s="73" t="str">
        <f t="shared" ca="1" si="4"/>
        <v/>
      </c>
      <c r="H38" s="38" t="str">
        <f t="shared" ca="1" si="5"/>
        <v>OUT OF STOCK</v>
      </c>
      <c r="I38" s="74">
        <v>4.4000000000000004</v>
      </c>
      <c r="J38" s="38" t="str">
        <f t="shared" ca="1" si="6"/>
        <v>0.0</v>
      </c>
      <c r="K38" s="38" t="str">
        <f t="shared" ca="1" si="7"/>
        <v>OUT OF STOCK</v>
      </c>
      <c r="L38" s="75" t="s">
        <v>33</v>
      </c>
    </row>
    <row r="39" spans="1:12" x14ac:dyDescent="0.35">
      <c r="A39" s="36" t="s">
        <v>146</v>
      </c>
      <c r="B39" s="36" t="s">
        <v>147</v>
      </c>
      <c r="C39" s="36" t="s">
        <v>8</v>
      </c>
      <c r="D39" s="36" t="s">
        <v>148</v>
      </c>
      <c r="E39" s="59">
        <f ca="1">MAX(0,SUMIFS('Donations Log'!G:G,'Donations Log'!C:C,A39,'Donations Log'!H:H,"&gt;="&amp;TODAY())-SUMIF('Distribution History'!E:E,A39,'Distribution History'!I:I))</f>
        <v>0</v>
      </c>
      <c r="F39" s="72" t="str">
        <f ca="1">IF(E39=0,"",IF(_xlfn.MINIFS('Donations Log'!H:H,'Donations Log'!C:C,A39,'Donations Log'!H:H,"&gt;"&amp;TODAY())=0,"",_xlfn.MINIFS('Donations Log'!H:H,'Donations Log'!C:C,A39,'Donations Log'!H:H,"&gt;"&amp;TODAY())))</f>
        <v/>
      </c>
      <c r="G39" s="73" t="str">
        <f t="shared" ca="1" si="4"/>
        <v/>
      </c>
      <c r="H39" s="38" t="str">
        <f t="shared" ca="1" si="5"/>
        <v>OUT OF STOCK</v>
      </c>
      <c r="I39" s="74">
        <v>2.7</v>
      </c>
      <c r="J39" s="38" t="str">
        <f t="shared" ca="1" si="6"/>
        <v>0.0</v>
      </c>
      <c r="K39" s="38" t="str">
        <f t="shared" ca="1" si="7"/>
        <v>OUT OF STOCK</v>
      </c>
      <c r="L39" s="56" t="s">
        <v>45</v>
      </c>
    </row>
    <row r="40" spans="1:12" x14ac:dyDescent="0.35">
      <c r="A40" s="36" t="s">
        <v>120</v>
      </c>
      <c r="B40" s="36" t="s">
        <v>121</v>
      </c>
      <c r="C40" s="36" t="s">
        <v>14</v>
      </c>
      <c r="D40" s="36" t="s">
        <v>119</v>
      </c>
      <c r="E40" s="59">
        <f ca="1">MAX(0,SUMIFS('Donations Log'!G:G,'Donations Log'!C:C,A40,'Donations Log'!H:H,"&gt;="&amp;TODAY())-SUMIF('Distribution History'!E:E,A40,'Distribution History'!I:I))</f>
        <v>94</v>
      </c>
      <c r="F40" s="72">
        <f ca="1">IF(E40=0,"",IF(_xlfn.MINIFS('Donations Log'!H:H,'Donations Log'!C:C,A40,'Donations Log'!H:H,"&gt;"&amp;TODAY())=0,"",_xlfn.MINIFS('Donations Log'!H:H,'Donations Log'!C:C,A40,'Donations Log'!H:H,"&gt;"&amp;TODAY())))</f>
        <v>46206</v>
      </c>
      <c r="G40" s="73">
        <f t="shared" ca="1" si="4"/>
        <v>7</v>
      </c>
      <c r="H40" s="38" t="str">
        <f t="shared" ca="1" si="5"/>
        <v>WARNING</v>
      </c>
      <c r="I40" s="74">
        <v>1.3</v>
      </c>
      <c r="J40" s="38">
        <f t="shared" ca="1" si="6"/>
        <v>72.3</v>
      </c>
      <c r="K40" s="38" t="str">
        <f t="shared" ca="1" si="7"/>
        <v>WELL STOCKED</v>
      </c>
      <c r="L40" s="75" t="s">
        <v>33</v>
      </c>
    </row>
    <row r="41" spans="1:12" x14ac:dyDescent="0.35">
      <c r="A41" s="36" t="s">
        <v>130</v>
      </c>
      <c r="B41" s="36" t="s">
        <v>16</v>
      </c>
      <c r="C41" s="36" t="s">
        <v>10</v>
      </c>
      <c r="D41" s="36" t="s">
        <v>131</v>
      </c>
      <c r="E41" s="59">
        <f ca="1">MAX(0,SUMIFS('Donations Log'!G:G,'Donations Log'!C:C,A41,'Donations Log'!H:H,"&gt;="&amp;TODAY())-SUMIF('Distribution History'!E:E,A41,'Distribution History'!I:I))</f>
        <v>0</v>
      </c>
      <c r="F41" s="72" t="str">
        <f ca="1">IF(E41=0,"",IF(_xlfn.MINIFS('Donations Log'!H:H,'Donations Log'!C:C,A41,'Donations Log'!H:H,"&gt;"&amp;TODAY())=0,"",_xlfn.MINIFS('Donations Log'!H:H,'Donations Log'!C:C,A41,'Donations Log'!H:H,"&gt;"&amp;TODAY())))</f>
        <v/>
      </c>
      <c r="G41" s="73" t="str">
        <f t="shared" ca="1" si="4"/>
        <v/>
      </c>
      <c r="H41" s="38" t="str">
        <f t="shared" ca="1" si="5"/>
        <v>OUT OF STOCK</v>
      </c>
      <c r="I41" s="74">
        <v>1.7</v>
      </c>
      <c r="J41" s="38" t="str">
        <f t="shared" ca="1" si="6"/>
        <v>0.0</v>
      </c>
      <c r="K41" s="38" t="str">
        <f t="shared" ca="1" si="7"/>
        <v>OUT OF STOCK</v>
      </c>
      <c r="L41" s="75" t="s">
        <v>33</v>
      </c>
    </row>
    <row r="42" spans="1:12" x14ac:dyDescent="0.35">
      <c r="A42" s="36" t="s">
        <v>114</v>
      </c>
      <c r="B42" s="36" t="s">
        <v>13</v>
      </c>
      <c r="C42" s="36" t="s">
        <v>14</v>
      </c>
      <c r="D42" s="36" t="s">
        <v>115</v>
      </c>
      <c r="E42" s="59">
        <f ca="1">MAX(0,SUMIFS('Donations Log'!G:G,'Donations Log'!C:C,A42,'Donations Log'!H:H,"&gt;="&amp;TODAY())-SUMIF('Distribution History'!E:E,A42,'Distribution History'!I:I))</f>
        <v>169</v>
      </c>
      <c r="F42" s="72">
        <f ca="1">IF(E42=0,"",IF(_xlfn.MINIFS('Donations Log'!H:H,'Donations Log'!C:C,A42,'Donations Log'!H:H,"&gt;"&amp;TODAY())=0,"",_xlfn.MINIFS('Donations Log'!H:H,'Donations Log'!C:C,A42,'Donations Log'!H:H,"&gt;"&amp;TODAY())))</f>
        <v>46204</v>
      </c>
      <c r="G42" s="73">
        <f t="shared" ca="1" si="4"/>
        <v>5</v>
      </c>
      <c r="H42" s="38" t="str">
        <f t="shared" ca="1" si="5"/>
        <v>WARNING</v>
      </c>
      <c r="I42" s="74">
        <v>2.1</v>
      </c>
      <c r="J42" s="38">
        <f t="shared" ca="1" si="6"/>
        <v>80.5</v>
      </c>
      <c r="K42" s="38" t="str">
        <f t="shared" ca="1" si="7"/>
        <v>WELL STOCKED</v>
      </c>
      <c r="L42" s="75" t="s">
        <v>116</v>
      </c>
    </row>
    <row r="43" spans="1:12" x14ac:dyDescent="0.35">
      <c r="A43" s="36" t="s">
        <v>151</v>
      </c>
      <c r="B43" s="36" t="s">
        <v>152</v>
      </c>
      <c r="C43" s="36" t="s">
        <v>8</v>
      </c>
      <c r="D43" s="36" t="s">
        <v>143</v>
      </c>
      <c r="E43" s="59">
        <f ca="1">MAX(0,SUMIFS('Donations Log'!G:G,'Donations Log'!C:C,A43,'Donations Log'!H:H,"&gt;="&amp;TODAY())-SUMIF('Distribution History'!E:E,A43,'Distribution History'!I:I))</f>
        <v>0</v>
      </c>
      <c r="F43" s="72" t="str">
        <f ca="1">IF(E43=0,"",IF(_xlfn.MINIFS('Donations Log'!H:H,'Donations Log'!C:C,A43,'Donations Log'!H:H,"&gt;"&amp;TODAY())=0,"",_xlfn.MINIFS('Donations Log'!H:H,'Donations Log'!C:C,A43,'Donations Log'!H:H,"&gt;"&amp;TODAY())))</f>
        <v/>
      </c>
      <c r="G43" s="73" t="str">
        <f t="shared" ca="1" si="4"/>
        <v/>
      </c>
      <c r="H43" s="38" t="str">
        <f t="shared" ca="1" si="5"/>
        <v>OUT OF STOCK</v>
      </c>
      <c r="I43" s="74">
        <v>3.1</v>
      </c>
      <c r="J43" s="38" t="str">
        <f t="shared" ca="1" si="6"/>
        <v>0.0</v>
      </c>
      <c r="K43" s="38" t="str">
        <f t="shared" ca="1" si="7"/>
        <v>OUT OF STOCK</v>
      </c>
      <c r="L43" s="56" t="s">
        <v>45</v>
      </c>
    </row>
    <row r="44" spans="1:12" x14ac:dyDescent="0.35">
      <c r="A44" s="36" t="s">
        <v>156</v>
      </c>
      <c r="B44" s="36" t="s">
        <v>11</v>
      </c>
      <c r="C44" s="36" t="s">
        <v>12</v>
      </c>
      <c r="D44" s="36" t="s">
        <v>155</v>
      </c>
      <c r="E44" s="59">
        <f ca="1">MAX(0,SUMIFS('Donations Log'!G:G,'Donations Log'!C:C,A44,'Donations Log'!H:H,"&gt;="&amp;TODAY())-SUMIF('Distribution History'!E:E,A44,'Distribution History'!I:I))</f>
        <v>0</v>
      </c>
      <c r="F44" s="72" t="str">
        <f ca="1">IF(E44=0,"",IF(_xlfn.MINIFS('Donations Log'!H:H,'Donations Log'!C:C,A44,'Donations Log'!H:H,"&gt;"&amp;TODAY())=0,"",_xlfn.MINIFS('Donations Log'!H:H,'Donations Log'!C:C,A44,'Donations Log'!H:H,"&gt;"&amp;TODAY())))</f>
        <v/>
      </c>
      <c r="G44" s="73" t="str">
        <f t="shared" ca="1" si="4"/>
        <v/>
      </c>
      <c r="H44" s="38" t="str">
        <f t="shared" ca="1" si="5"/>
        <v>OUT OF STOCK</v>
      </c>
      <c r="I44" s="74">
        <v>1.6</v>
      </c>
      <c r="J44" s="38" t="str">
        <f t="shared" ca="1" si="6"/>
        <v>0.0</v>
      </c>
      <c r="K44" s="38" t="str">
        <f t="shared" ca="1" si="7"/>
        <v>OUT OF STOCK</v>
      </c>
      <c r="L44" s="56" t="s">
        <v>45</v>
      </c>
    </row>
    <row r="45" spans="1:12" x14ac:dyDescent="0.35">
      <c r="A45" s="36" t="s">
        <v>157</v>
      </c>
      <c r="B45" s="36" t="s">
        <v>158</v>
      </c>
      <c r="C45" s="36" t="s">
        <v>159</v>
      </c>
      <c r="D45" s="36" t="s">
        <v>160</v>
      </c>
      <c r="E45" s="59">
        <f ca="1">MAX(0,SUMIFS('Donations Log'!G:G,'Donations Log'!C:C,A45,'Donations Log'!H:H,"&gt;="&amp;TODAY())-SUMIF('Distribution History'!E:E,A45,'Distribution History'!I:I))</f>
        <v>268</v>
      </c>
      <c r="F45" s="72">
        <f ca="1">IF(E45=0,"",IF(_xlfn.MINIFS('Donations Log'!H:H,'Donations Log'!C:C,A45,'Donations Log'!H:H,"&gt;"&amp;TODAY())=0,"",_xlfn.MINIFS('Donations Log'!H:H,'Donations Log'!C:C,A45,'Donations Log'!H:H,"&gt;"&amp;TODAY())))</f>
        <v>46203</v>
      </c>
      <c r="G45" s="73">
        <f t="shared" ca="1" si="4"/>
        <v>4</v>
      </c>
      <c r="H45" s="38" t="str">
        <f t="shared" ca="1" si="5"/>
        <v>WARNING</v>
      </c>
      <c r="I45" s="74">
        <v>0.9</v>
      </c>
      <c r="J45" s="38">
        <f t="shared" ca="1" si="6"/>
        <v>297.8</v>
      </c>
      <c r="K45" s="38" t="str">
        <f t="shared" ca="1" si="7"/>
        <v>WELL STOCKED</v>
      </c>
      <c r="L45" s="56" t="s">
        <v>45</v>
      </c>
    </row>
    <row r="46" spans="1:12" x14ac:dyDescent="0.35">
      <c r="A46" s="36" t="s">
        <v>76</v>
      </c>
      <c r="B46" s="36" t="s">
        <v>77</v>
      </c>
      <c r="C46" s="36" t="s">
        <v>74</v>
      </c>
      <c r="D46" s="36" t="s">
        <v>75</v>
      </c>
      <c r="E46" s="59">
        <f ca="1">MAX(0,SUMIFS('Donations Log'!G:G,'Donations Log'!C:C,A46,'Donations Log'!H:H,"&gt;="&amp;TODAY())-SUMIF('Distribution History'!E:E,A46,'Distribution History'!I:I))</f>
        <v>275</v>
      </c>
      <c r="F46" s="72">
        <f ca="1">IF(E46=0,"",IF(_xlfn.MINIFS('Donations Log'!H:H,'Donations Log'!C:C,A46,'Donations Log'!H:H,"&gt;"&amp;TODAY())=0,"",_xlfn.MINIFS('Donations Log'!H:H,'Donations Log'!C:C,A46,'Donations Log'!H:H,"&gt;"&amp;TODAY())))</f>
        <v>46202</v>
      </c>
      <c r="G46" s="73">
        <f t="shared" ca="1" si="4"/>
        <v>3</v>
      </c>
      <c r="H46" s="38" t="str">
        <f t="shared" ca="1" si="5"/>
        <v>CRITICAL</v>
      </c>
      <c r="I46" s="74">
        <v>4</v>
      </c>
      <c r="J46" s="38">
        <f t="shared" ca="1" si="6"/>
        <v>68.8</v>
      </c>
      <c r="K46" s="38" t="str">
        <f t="shared" ca="1" si="7"/>
        <v>WELL STOCKED</v>
      </c>
      <c r="L46" s="56" t="s">
        <v>45</v>
      </c>
    </row>
    <row r="47" spans="1:12" x14ac:dyDescent="0.35">
      <c r="A47" s="36" t="s">
        <v>137</v>
      </c>
      <c r="B47" s="36" t="s">
        <v>15</v>
      </c>
      <c r="C47" s="36" t="s">
        <v>6</v>
      </c>
      <c r="D47" s="36" t="s">
        <v>136</v>
      </c>
      <c r="E47" s="59">
        <f ca="1">MAX(0,SUMIFS('Donations Log'!G:G,'Donations Log'!C:C,A47,'Donations Log'!H:H,"&gt;="&amp;TODAY())-SUMIF('Distribution History'!E:E,A47,'Distribution History'!I:I))</f>
        <v>0</v>
      </c>
      <c r="F47" s="72" t="str">
        <f ca="1">IF(E47=0,"",IF(_xlfn.MINIFS('Donations Log'!H:H,'Donations Log'!C:C,A47,'Donations Log'!H:H,"&gt;"&amp;TODAY())=0,"",_xlfn.MINIFS('Donations Log'!H:H,'Donations Log'!C:C,A47,'Donations Log'!H:H,"&gt;"&amp;TODAY())))</f>
        <v/>
      </c>
      <c r="G47" s="73" t="str">
        <f t="shared" ca="1" si="4"/>
        <v/>
      </c>
      <c r="H47" s="38" t="str">
        <f t="shared" ca="1" si="5"/>
        <v>OUT OF STOCK</v>
      </c>
      <c r="I47" s="74">
        <v>2.2000000000000002</v>
      </c>
      <c r="J47" s="38" t="str">
        <f t="shared" ca="1" si="6"/>
        <v>0.0</v>
      </c>
      <c r="K47" s="38" t="str">
        <f t="shared" ca="1" si="7"/>
        <v>OUT OF STOCK</v>
      </c>
      <c r="L47" s="75" t="s">
        <v>33</v>
      </c>
    </row>
    <row r="48" spans="1:12" x14ac:dyDescent="0.35">
      <c r="A48" s="36" t="s">
        <v>91</v>
      </c>
      <c r="B48" s="36" t="s">
        <v>92</v>
      </c>
      <c r="C48" s="36" t="s">
        <v>93</v>
      </c>
      <c r="D48" s="36" t="s">
        <v>85</v>
      </c>
      <c r="E48" s="59">
        <f ca="1">MAX(0,SUMIFS('Donations Log'!G:G,'Donations Log'!C:C,A48,'Donations Log'!H:H,"&gt;="&amp;TODAY())-SUMIF('Distribution History'!E:E,A48,'Distribution History'!I:I))</f>
        <v>160</v>
      </c>
      <c r="F48" s="72">
        <f ca="1">IF(E48=0,"",IF(_xlfn.MINIFS('Donations Log'!H:H,'Donations Log'!C:C,A48,'Donations Log'!H:H,"&gt;"&amp;TODAY())=0,"",_xlfn.MINIFS('Donations Log'!H:H,'Donations Log'!C:C,A48,'Donations Log'!H:H,"&gt;"&amp;TODAY())))</f>
        <v>46201</v>
      </c>
      <c r="G48" s="73">
        <f t="shared" ca="1" si="4"/>
        <v>2</v>
      </c>
      <c r="H48" s="38" t="str">
        <f t="shared" ca="1" si="5"/>
        <v>CRITICAL</v>
      </c>
      <c r="I48" s="74">
        <v>6.1</v>
      </c>
      <c r="J48" s="38">
        <f t="shared" ca="1" si="6"/>
        <v>26.2</v>
      </c>
      <c r="K48" s="38" t="str">
        <f t="shared" ca="1" si="7"/>
        <v>WELL STOCKED</v>
      </c>
      <c r="L48" s="75" t="s">
        <v>33</v>
      </c>
    </row>
    <row r="49" spans="1:12" x14ac:dyDescent="0.35">
      <c r="A49" s="36" t="s">
        <v>135</v>
      </c>
      <c r="B49" s="36" t="s">
        <v>5</v>
      </c>
      <c r="C49" s="36" t="s">
        <v>6</v>
      </c>
      <c r="D49" s="36" t="s">
        <v>136</v>
      </c>
      <c r="E49" s="59">
        <f ca="1">MAX(0,SUMIFS('Donations Log'!G:G,'Donations Log'!C:C,A49,'Donations Log'!H:H,"&gt;="&amp;TODAY())-SUMIF('Distribution History'!E:E,A49,'Distribution History'!I:I))</f>
        <v>0</v>
      </c>
      <c r="F49" s="72" t="str">
        <f ca="1">IF(E49=0,"",IF(_xlfn.MINIFS('Donations Log'!H:H,'Donations Log'!C:C,A49,'Donations Log'!H:H,"&gt;"&amp;TODAY())=0,"",_xlfn.MINIFS('Donations Log'!H:H,'Donations Log'!C:C,A49,'Donations Log'!H:H,"&gt;"&amp;TODAY())))</f>
        <v/>
      </c>
      <c r="G49" s="73" t="str">
        <f t="shared" ca="1" si="4"/>
        <v/>
      </c>
      <c r="H49" s="38" t="str">
        <f t="shared" ca="1" si="5"/>
        <v>OUT OF STOCK</v>
      </c>
      <c r="I49" s="74">
        <v>3.5</v>
      </c>
      <c r="J49" s="38" t="str">
        <f t="shared" ca="1" si="6"/>
        <v>0.0</v>
      </c>
      <c r="K49" s="38" t="str">
        <f t="shared" ca="1" si="7"/>
        <v>OUT OF STOCK</v>
      </c>
      <c r="L49" s="75" t="s">
        <v>33</v>
      </c>
    </row>
    <row r="50" spans="1:12" x14ac:dyDescent="0.35">
      <c r="A50" s="36" t="s">
        <v>94</v>
      </c>
      <c r="B50" s="36" t="s">
        <v>95</v>
      </c>
      <c r="C50" s="36" t="s">
        <v>93</v>
      </c>
      <c r="D50" s="36" t="s">
        <v>96</v>
      </c>
      <c r="E50" s="59">
        <f ca="1">MAX(0,SUMIFS('Donations Log'!G:G,'Donations Log'!C:C,A50,'Donations Log'!H:H,"&gt;="&amp;TODAY())-SUMIF('Distribution History'!E:E,A50,'Distribution History'!I:I))</f>
        <v>541</v>
      </c>
      <c r="F50" s="72">
        <f ca="1">IF(E50=0,"",IF(_xlfn.MINIFS('Donations Log'!H:H,'Donations Log'!C:C,A50,'Donations Log'!H:H,"&gt;"&amp;TODAY())=0,"",_xlfn.MINIFS('Donations Log'!H:H,'Donations Log'!C:C,A50,'Donations Log'!H:H,"&gt;"&amp;TODAY())))</f>
        <v>46200</v>
      </c>
      <c r="G50" s="73">
        <f t="shared" ca="1" si="4"/>
        <v>1</v>
      </c>
      <c r="H50" s="38" t="str">
        <f t="shared" ca="1" si="5"/>
        <v>CRITICAL</v>
      </c>
      <c r="I50" s="74">
        <v>6.2</v>
      </c>
      <c r="J50" s="38">
        <f t="shared" ca="1" si="6"/>
        <v>87.3</v>
      </c>
      <c r="K50" s="38" t="str">
        <f t="shared" ca="1" si="7"/>
        <v>WELL STOCKED</v>
      </c>
      <c r="L50" s="56" t="s">
        <v>45</v>
      </c>
    </row>
    <row r="51" spans="1:12" x14ac:dyDescent="0.35">
      <c r="A51" s="36" t="s">
        <v>128</v>
      </c>
      <c r="B51" s="36" t="s">
        <v>9</v>
      </c>
      <c r="C51" s="36" t="s">
        <v>10</v>
      </c>
      <c r="D51" s="36" t="s">
        <v>129</v>
      </c>
      <c r="E51" s="59">
        <f ca="1">MAX(0,SUMIFS('Donations Log'!G:G,'Donations Log'!C:C,A51,'Donations Log'!H:H,"&gt;="&amp;TODAY())-SUMIF('Distribution History'!E:E,A51,'Distribution History'!I:I))</f>
        <v>0</v>
      </c>
      <c r="F51" s="72" t="str">
        <f ca="1">IF(E51=0,"",IF(_xlfn.MINIFS('Donations Log'!H:H,'Donations Log'!C:C,A51,'Donations Log'!H:H,"&gt;"&amp;TODAY())=0,"",_xlfn.MINIFS('Donations Log'!H:H,'Donations Log'!C:C,A51,'Donations Log'!H:H,"&gt;"&amp;TODAY())))</f>
        <v/>
      </c>
      <c r="G51" s="73" t="str">
        <f t="shared" ca="1" si="4"/>
        <v/>
      </c>
      <c r="H51" s="38" t="str">
        <f t="shared" ca="1" si="5"/>
        <v>OUT OF STOCK</v>
      </c>
      <c r="I51" s="74">
        <v>2.5</v>
      </c>
      <c r="J51" s="38" t="str">
        <f t="shared" ca="1" si="6"/>
        <v>0.0</v>
      </c>
      <c r="K51" s="38" t="str">
        <f t="shared" ca="1" si="7"/>
        <v>OUT OF STOCK</v>
      </c>
      <c r="L51" s="75" t="s">
        <v>33</v>
      </c>
    </row>
    <row r="52" spans="1:12" x14ac:dyDescent="0.35">
      <c r="A52" s="36" t="s">
        <v>97</v>
      </c>
      <c r="B52" s="36" t="s">
        <v>98</v>
      </c>
      <c r="C52" s="36" t="s">
        <v>93</v>
      </c>
      <c r="D52" s="36" t="s">
        <v>99</v>
      </c>
      <c r="E52" s="59">
        <f ca="1">MAX(0,SUMIFS('Donations Log'!G:G,'Donations Log'!C:C,A52,'Donations Log'!H:H,"&gt;="&amp;TODAY())-SUMIF('Distribution History'!E:E,A52,'Distribution History'!I:I))</f>
        <v>83</v>
      </c>
      <c r="F52" s="72">
        <f ca="1">IF(E52=0,"",IF(_xlfn.MINIFS('Donations Log'!H:H,'Donations Log'!C:C,A52,'Donations Log'!H:H,"&gt;"&amp;TODAY())=0,"",_xlfn.MINIFS('Donations Log'!H:H,'Donations Log'!C:C,A52,'Donations Log'!H:H,"&gt;"&amp;TODAY())))</f>
        <v>46209</v>
      </c>
      <c r="G52" s="73">
        <f t="shared" ca="1" si="4"/>
        <v>10</v>
      </c>
      <c r="H52" s="38" t="str">
        <f t="shared" ca="1" si="5"/>
        <v>NOTICE</v>
      </c>
      <c r="I52" s="74">
        <v>3.9</v>
      </c>
      <c r="J52" s="38">
        <f t="shared" ca="1" si="6"/>
        <v>21.3</v>
      </c>
      <c r="K52" s="38" t="str">
        <f t="shared" ca="1" si="7"/>
        <v>WELL STOCKED</v>
      </c>
      <c r="L52" s="56" t="s">
        <v>45</v>
      </c>
    </row>
    <row r="53" spans="1:12" x14ac:dyDescent="0.35">
      <c r="A53" s="36" t="s">
        <v>144</v>
      </c>
      <c r="B53" s="36" t="s">
        <v>7</v>
      </c>
      <c r="C53" s="36" t="s">
        <v>8</v>
      </c>
      <c r="D53" s="36" t="s">
        <v>145</v>
      </c>
      <c r="E53" s="59">
        <f ca="1">MAX(0,SUMIFS('Donations Log'!G:G,'Donations Log'!C:C,A53,'Donations Log'!H:H,"&gt;="&amp;TODAY())-SUMIF('Distribution History'!E:E,A53,'Distribution History'!I:I))</f>
        <v>0</v>
      </c>
      <c r="F53" s="72" t="str">
        <f ca="1">IF(E53=0,"",IF(_xlfn.MINIFS('Donations Log'!H:H,'Donations Log'!C:C,A53,'Donations Log'!H:H,"&gt;"&amp;TODAY())=0,"",_xlfn.MINIFS('Donations Log'!H:H,'Donations Log'!C:C,A53,'Donations Log'!H:H,"&gt;"&amp;TODAY())))</f>
        <v/>
      </c>
      <c r="G53" s="73" t="str">
        <f t="shared" ca="1" si="4"/>
        <v/>
      </c>
      <c r="H53" s="38" t="str">
        <f t="shared" ca="1" si="5"/>
        <v>OUT OF STOCK</v>
      </c>
      <c r="I53" s="74">
        <v>2.4</v>
      </c>
      <c r="J53" s="38" t="str">
        <f t="shared" ca="1" si="6"/>
        <v>0.0</v>
      </c>
      <c r="K53" s="38" t="str">
        <f t="shared" ca="1" si="7"/>
        <v>OUT OF STOCK</v>
      </c>
      <c r="L53" s="56" t="s">
        <v>45</v>
      </c>
    </row>
    <row r="54" spans="1:12" x14ac:dyDescent="0.35">
      <c r="A54" s="36" t="s">
        <v>141</v>
      </c>
      <c r="B54" s="36" t="s">
        <v>142</v>
      </c>
      <c r="C54" s="36" t="s">
        <v>8</v>
      </c>
      <c r="D54" s="36" t="s">
        <v>143</v>
      </c>
      <c r="E54" s="59">
        <f ca="1">MAX(0,SUMIFS('Donations Log'!G:G,'Donations Log'!C:C,A54,'Donations Log'!H:H,"&gt;="&amp;TODAY())-SUMIF('Distribution History'!E:E,A54,'Distribution History'!I:I))</f>
        <v>0</v>
      </c>
      <c r="F54" s="72" t="str">
        <f ca="1">IF(E54=0,"",IF(_xlfn.MINIFS('Donations Log'!H:H,'Donations Log'!C:C,A54,'Donations Log'!H:H,"&gt;"&amp;TODAY())=0,"",_xlfn.MINIFS('Donations Log'!H:H,'Donations Log'!C:C,A54,'Donations Log'!H:H,"&gt;"&amp;TODAY())))</f>
        <v/>
      </c>
      <c r="G54" s="73" t="str">
        <f t="shared" ca="1" si="4"/>
        <v/>
      </c>
      <c r="H54" s="38" t="str">
        <f t="shared" ca="1" si="5"/>
        <v>OUT OF STOCK</v>
      </c>
      <c r="I54" s="74">
        <v>1.9</v>
      </c>
      <c r="J54" s="38" t="str">
        <f t="shared" ca="1" si="6"/>
        <v>0.0</v>
      </c>
      <c r="K54" s="38" t="str">
        <f t="shared" ca="1" si="7"/>
        <v>OUT OF STOCK</v>
      </c>
      <c r="L54" s="56" t="s">
        <v>45</v>
      </c>
    </row>
    <row r="56" spans="1:12" x14ac:dyDescent="0.35">
      <c r="G56" s="64"/>
    </row>
  </sheetData>
  <autoFilter ref="A4:L54" xr:uid="{00000000-0009-0000-0000-000001000000}">
    <sortState xmlns:xlrd2="http://schemas.microsoft.com/office/spreadsheetml/2017/richdata2" ref="A5:L54">
      <sortCondition descending="1" ref="F4:F54"/>
    </sortState>
  </autoFilter>
  <mergeCells count="2">
    <mergeCell ref="A2:L2"/>
    <mergeCell ref="A1:L1"/>
  </mergeCells>
  <conditionalFormatting sqref="A5:L54">
    <cfRule type="expression" dxfId="28" priority="1">
      <formula>$E5=0</formula>
    </cfRule>
  </conditionalFormatting>
  <conditionalFormatting sqref="H5:H54">
    <cfRule type="cellIs" dxfId="27" priority="2" operator="equal">
      <formula>"CRITICAL"</formula>
    </cfRule>
    <cfRule type="cellIs" dxfId="26" priority="3" operator="equal">
      <formula>"WARNING"</formula>
    </cfRule>
    <cfRule type="cellIs" dxfId="25" priority="4" operator="equal">
      <formula>"NOTICE"</formula>
    </cfRule>
    <cfRule type="cellIs" dxfId="24" priority="5" operator="equal">
      <formula>"OK"</formula>
    </cfRule>
    <cfRule type="cellIs" dxfId="23" priority="6" operator="equal">
      <formula>"EXPIRED"</formula>
    </cfRule>
    <cfRule type="cellIs" dxfId="22" priority="7" operator="equal">
      <formula>"OUT OF STOCK"</formula>
    </cfRule>
    <cfRule type="cellIs" dxfId="21" priority="8" operator="equal">
      <formula>"UNKNOWN"</formula>
    </cfRule>
  </conditionalFormatting>
  <conditionalFormatting sqref="K5:K54">
    <cfRule type="cellIs" dxfId="20" priority="9" operator="equal">
      <formula>"OUT OF STOCK"</formula>
    </cfRule>
    <cfRule type="cellIs" dxfId="19" priority="10" operator="equal">
      <formula>"CRITICAL LOW"</formula>
    </cfRule>
    <cfRule type="cellIs" dxfId="18" priority="11" operator="equal">
      <formula>"LOW"</formula>
    </cfRule>
    <cfRule type="cellIs" dxfId="17" priority="12" operator="equal">
      <formula>"ADEQUATE"</formula>
    </cfRule>
    <cfRule type="cellIs" dxfId="16" priority="13" operator="equal">
      <formula>"WELL STOCKED"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showGridLines="0" workbookViewId="0">
      <pane ySplit="4" topLeftCell="A11" activePane="bottomLeft" state="frozen"/>
      <selection pane="bottomLeft" activeCell="H30" sqref="H30"/>
    </sheetView>
  </sheetViews>
  <sheetFormatPr defaultRowHeight="14.5" x14ac:dyDescent="0.35"/>
  <cols>
    <col min="1" max="1" width="10" customWidth="1"/>
    <col min="2" max="2" width="28" customWidth="1"/>
    <col min="3" max="3" width="22" customWidth="1"/>
    <col min="4" max="4" width="12" customWidth="1"/>
    <col min="5" max="5" width="13" customWidth="1"/>
    <col min="6" max="6" width="16" customWidth="1"/>
    <col min="7" max="7" width="17" customWidth="1"/>
    <col min="8" max="8" width="14" customWidth="1"/>
    <col min="9" max="9" width="30" customWidth="1"/>
    <col min="10" max="11" width="14" customWidth="1"/>
    <col min="12" max="12" width="34" customWidth="1"/>
  </cols>
  <sheetData>
    <row r="1" spans="1:12" ht="38" customHeight="1" x14ac:dyDescent="0.35">
      <c r="A1" s="78" t="s">
        <v>164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0" customHeight="1" x14ac:dyDescent="0.35">
      <c r="A2" s="76" t="s">
        <v>165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6" customHeight="1" x14ac:dyDescent="0.35"/>
    <row r="4" spans="1:12" ht="28" customHeight="1" x14ac:dyDescent="0.35">
      <c r="A4" s="1" t="s">
        <v>22</v>
      </c>
      <c r="B4" s="1" t="s">
        <v>0</v>
      </c>
      <c r="C4" s="1" t="s">
        <v>1</v>
      </c>
      <c r="D4" s="1" t="s">
        <v>28</v>
      </c>
      <c r="E4" s="1" t="s">
        <v>2</v>
      </c>
      <c r="F4" s="1" t="s">
        <v>3</v>
      </c>
      <c r="G4" s="1" t="s">
        <v>24</v>
      </c>
      <c r="H4" s="1" t="s">
        <v>18</v>
      </c>
      <c r="I4" s="1" t="s">
        <v>17</v>
      </c>
      <c r="J4" s="1" t="s">
        <v>166</v>
      </c>
      <c r="K4" s="1" t="s">
        <v>19</v>
      </c>
      <c r="L4" s="1" t="s">
        <v>4</v>
      </c>
    </row>
    <row r="5" spans="1:12" x14ac:dyDescent="0.35">
      <c r="A5" s="5" t="s">
        <v>29</v>
      </c>
      <c r="B5" s="2" t="s">
        <v>30</v>
      </c>
      <c r="C5" s="2" t="s">
        <v>31</v>
      </c>
      <c r="D5" s="14" t="s">
        <v>33</v>
      </c>
      <c r="E5" s="3">
        <f ca="1">'Current Inventory'!E5</f>
        <v>615</v>
      </c>
      <c r="F5" s="4">
        <f ca="1">'Current Inventory'!F5</f>
        <v>46572</v>
      </c>
      <c r="G5" s="13">
        <f ca="1">'Current Inventory'!G5</f>
        <v>373</v>
      </c>
      <c r="H5" s="5" t="str">
        <f ca="1">'Current Inventory'!H5</f>
        <v>OK</v>
      </c>
      <c r="I5" s="2" t="str">
        <f>IFERROR(VLOOKUP(C5,'Demand Weights'!$A:$G,7,0),"Any pantry")</f>
        <v>St. Augustine's Shelter Pantry</v>
      </c>
      <c r="J5" s="3">
        <f ca="1">IFERROR(MIN(E5,MAX(5,ROUND('Current Inventory'!I5*IFERROR(VLOOKUP(C5,'Demand Weights'!$A:$H,8,0),0.5)*1.5,0))),0)</f>
        <v>12</v>
      </c>
      <c r="K5" s="13">
        <f ca="1">ROUND(0.4*(IF(G5="",5,IF(G5&lt;=3,100,IF(G5&lt;=7,75,IF(G5&lt;=14,50,IF(G5&lt;=30,25,5))))))+0.35*(IFERROR(VLOOKUP(C5,'Demand Weights'!$A:$H,8,0)*100,50))+0.25*(IF(E5=0,100,IF(ISNUMBER('Current Inventory'!J5),IF('Current Inventory'!J5&lt;1,100,IF('Current Inventory'!J5&lt;2,75,IF('Current Inventory'!J5&lt;4,40,5))),5))),0)</f>
        <v>37</v>
      </c>
      <c r="L5" s="6" t="str">
        <f t="shared" ref="L5:L36" ca="1" si="0">IF(E5=0,"No stock available",IF(G5&lt;=3,"URGENT - Distribute TODAY",IF(G5&lt;=7,"HIGH - Distribute this week",IF(K5&gt;=70,"PRIORITY - High demand match",IF(H5="CRITICAL LOW","RESTOCK - Low supply alert","STANDARD - Distribute when ready")))))</f>
        <v>STANDARD - Distribute when ready</v>
      </c>
    </row>
    <row r="6" spans="1:12" x14ac:dyDescent="0.35">
      <c r="A6" s="10" t="s">
        <v>34</v>
      </c>
      <c r="B6" s="7" t="s">
        <v>35</v>
      </c>
      <c r="C6" s="7" t="s">
        <v>31</v>
      </c>
      <c r="D6" s="14" t="s">
        <v>33</v>
      </c>
      <c r="E6" s="8">
        <f ca="1">'Current Inventory'!E6</f>
        <v>218</v>
      </c>
      <c r="F6" s="9">
        <f ca="1">'Current Inventory'!F6</f>
        <v>46568</v>
      </c>
      <c r="G6" s="15">
        <f ca="1">'Current Inventory'!G6</f>
        <v>369</v>
      </c>
      <c r="H6" s="10" t="str">
        <f ca="1">'Current Inventory'!H6</f>
        <v>OK</v>
      </c>
      <c r="I6" s="7" t="str">
        <f>IFERROR(VLOOKUP(C6,'Demand Weights'!$A:$G,7,0),"Any pantry")</f>
        <v>St. Augustine's Shelter Pantry</v>
      </c>
      <c r="J6" s="8">
        <f ca="1">IFERROR(MIN(E6,MAX(5,ROUND('Current Inventory'!I6*IFERROR(VLOOKUP(C6,'Demand Weights'!$A:$H,8,0),0.5)*1.5,0))),0)</f>
        <v>5</v>
      </c>
      <c r="K6" s="15">
        <f ca="1">ROUND(0.4*(IF(G6="",5,IF(G6&lt;=3,100,IF(G6&lt;=7,75,IF(G6&lt;=14,50,IF(G6&lt;=30,25,5))))))+0.35*(IFERROR(VLOOKUP(C6,'Demand Weights'!$A:$H,8,0)*100,50))+0.25*(IF(E6=0,100,IF(ISNUMBER('Current Inventory'!J6),IF('Current Inventory'!J6&lt;1,100,IF('Current Inventory'!J6&lt;2,75,IF('Current Inventory'!J6&lt;4,40,5))),5))),0)</f>
        <v>37</v>
      </c>
      <c r="L6" s="11" t="str">
        <f t="shared" ca="1" si="0"/>
        <v>STANDARD - Distribute when ready</v>
      </c>
    </row>
    <row r="7" spans="1:12" x14ac:dyDescent="0.35">
      <c r="A7" s="5" t="s">
        <v>37</v>
      </c>
      <c r="B7" s="2" t="s">
        <v>38</v>
      </c>
      <c r="C7" s="2" t="s">
        <v>31</v>
      </c>
      <c r="D7" s="14" t="s">
        <v>33</v>
      </c>
      <c r="E7" s="3">
        <f ca="1">'Current Inventory'!E7</f>
        <v>297</v>
      </c>
      <c r="F7" s="4">
        <f ca="1">'Current Inventory'!F7</f>
        <v>46489</v>
      </c>
      <c r="G7" s="13">
        <f ca="1">'Current Inventory'!G7</f>
        <v>290</v>
      </c>
      <c r="H7" s="5" t="str">
        <f ca="1">'Current Inventory'!H7</f>
        <v>OK</v>
      </c>
      <c r="I7" s="2" t="str">
        <f>IFERROR(VLOOKUP(C7,'Demand Weights'!$A:$G,7,0),"Any pantry")</f>
        <v>St. Augustine's Shelter Pantry</v>
      </c>
      <c r="J7" s="3">
        <f ca="1">IFERROR(MIN(E7,MAX(5,ROUND('Current Inventory'!I7*IFERROR(VLOOKUP(C7,'Demand Weights'!$A:$H,8,0),0.5)*1.5,0))),0)</f>
        <v>5</v>
      </c>
      <c r="K7" s="13">
        <f ca="1">ROUND(0.4*(IF(G7="",5,IF(G7&lt;=3,100,IF(G7&lt;=7,75,IF(G7&lt;=14,50,IF(G7&lt;=30,25,5))))))+0.35*(IFERROR(VLOOKUP(C7,'Demand Weights'!$A:$H,8,0)*100,50))+0.25*(IF(E7=0,100,IF(ISNUMBER('Current Inventory'!J7),IF('Current Inventory'!J7&lt;1,100,IF('Current Inventory'!J7&lt;2,75,IF('Current Inventory'!J7&lt;4,40,5))),5))),0)</f>
        <v>37</v>
      </c>
      <c r="L7" s="6" t="str">
        <f t="shared" ca="1" si="0"/>
        <v>STANDARD - Distribute when ready</v>
      </c>
    </row>
    <row r="8" spans="1:12" x14ac:dyDescent="0.35">
      <c r="A8" s="10" t="s">
        <v>40</v>
      </c>
      <c r="B8" s="7" t="s">
        <v>41</v>
      </c>
      <c r="C8" s="7" t="s">
        <v>31</v>
      </c>
      <c r="D8" s="14" t="s">
        <v>33</v>
      </c>
      <c r="E8" s="8">
        <f ca="1">'Current Inventory'!E8</f>
        <v>545</v>
      </c>
      <c r="F8" s="9">
        <f ca="1">'Current Inventory'!F8</f>
        <v>46486</v>
      </c>
      <c r="G8" s="15">
        <f ca="1">'Current Inventory'!G8</f>
        <v>287</v>
      </c>
      <c r="H8" s="10" t="str">
        <f ca="1">'Current Inventory'!H8</f>
        <v>OK</v>
      </c>
      <c r="I8" s="7" t="str">
        <f>IFERROR(VLOOKUP(C8,'Demand Weights'!$A:$G,7,0),"Any pantry")</f>
        <v>St. Augustine's Shelter Pantry</v>
      </c>
      <c r="J8" s="8">
        <f ca="1">IFERROR(MIN(E8,MAX(5,ROUND('Current Inventory'!I8*IFERROR(VLOOKUP(C8,'Demand Weights'!$A:$H,8,0),0.5)*1.5,0))),0)</f>
        <v>8</v>
      </c>
      <c r="K8" s="15">
        <f ca="1">ROUND(0.4*(IF(G8="",5,IF(G8&lt;=3,100,IF(G8&lt;=7,75,IF(G8&lt;=14,50,IF(G8&lt;=30,25,5))))))+0.35*(IFERROR(VLOOKUP(C8,'Demand Weights'!$A:$H,8,0)*100,50))+0.25*(IF(E8=0,100,IF(ISNUMBER('Current Inventory'!J8),IF('Current Inventory'!J8&lt;1,100,IF('Current Inventory'!J8&lt;2,75,IF('Current Inventory'!J8&lt;4,40,5))),5))),0)</f>
        <v>37</v>
      </c>
      <c r="L8" s="11" t="str">
        <f t="shared" ca="1" si="0"/>
        <v>STANDARD - Distribute when ready</v>
      </c>
    </row>
    <row r="9" spans="1:12" x14ac:dyDescent="0.35">
      <c r="A9" s="5" t="s">
        <v>43</v>
      </c>
      <c r="B9" s="2" t="s">
        <v>44</v>
      </c>
      <c r="C9" s="2" t="s">
        <v>31</v>
      </c>
      <c r="D9" s="12" t="s">
        <v>45</v>
      </c>
      <c r="E9" s="3">
        <f ca="1">'Current Inventory'!E9</f>
        <v>1382</v>
      </c>
      <c r="F9" s="4">
        <f ca="1">'Current Inventory'!F9</f>
        <v>46436</v>
      </c>
      <c r="G9" s="13">
        <f ca="1">'Current Inventory'!G9</f>
        <v>237</v>
      </c>
      <c r="H9" s="5" t="str">
        <f ca="1">'Current Inventory'!H9</f>
        <v>OK</v>
      </c>
      <c r="I9" s="2" t="str">
        <f>IFERROR(VLOOKUP(C9,'Demand Weights'!$A:$G,7,0),"Any pantry")</f>
        <v>St. Augustine's Shelter Pantry</v>
      </c>
      <c r="J9" s="3">
        <f ca="1">IFERROR(MIN(E9,MAX(5,ROUND('Current Inventory'!I9*IFERROR(VLOOKUP(C9,'Demand Weights'!$A:$H,8,0),0.5)*1.5,0))),0)</f>
        <v>14</v>
      </c>
      <c r="K9" s="13">
        <f ca="1">ROUND(0.4*(IF(G9="",5,IF(G9&lt;=3,100,IF(G9&lt;=7,75,IF(G9&lt;=14,50,IF(G9&lt;=30,25,5))))))+0.35*(IFERROR(VLOOKUP(C9,'Demand Weights'!$A:$H,8,0)*100,50))+0.25*(IF(E9=0,100,IF(ISNUMBER('Current Inventory'!J9),IF('Current Inventory'!J9&lt;1,100,IF('Current Inventory'!J9&lt;2,75,IF('Current Inventory'!J9&lt;4,40,5))),5))),0)</f>
        <v>37</v>
      </c>
      <c r="L9" s="6" t="str">
        <f t="shared" ca="1" si="0"/>
        <v>STANDARD - Distribute when ready</v>
      </c>
    </row>
    <row r="10" spans="1:12" x14ac:dyDescent="0.35">
      <c r="A10" s="10" t="s">
        <v>46</v>
      </c>
      <c r="B10" s="7" t="s">
        <v>47</v>
      </c>
      <c r="C10" s="7" t="s">
        <v>31</v>
      </c>
      <c r="D10" s="12" t="s">
        <v>45</v>
      </c>
      <c r="E10" s="8">
        <f ca="1">'Current Inventory'!E10</f>
        <v>1120</v>
      </c>
      <c r="F10" s="9">
        <f ca="1">'Current Inventory'!F10</f>
        <v>46433</v>
      </c>
      <c r="G10" s="15">
        <f ca="1">'Current Inventory'!G10</f>
        <v>234</v>
      </c>
      <c r="H10" s="10" t="str">
        <f ca="1">'Current Inventory'!H10</f>
        <v>OK</v>
      </c>
      <c r="I10" s="7" t="str">
        <f>IFERROR(VLOOKUP(C10,'Demand Weights'!$A:$G,7,0),"Any pantry")</f>
        <v>St. Augustine's Shelter Pantry</v>
      </c>
      <c r="J10" s="8">
        <f ca="1">IFERROR(MIN(E10,MAX(5,ROUND('Current Inventory'!I10*IFERROR(VLOOKUP(C10,'Demand Weights'!$A:$H,8,0),0.5)*1.5,0))),0)</f>
        <v>12</v>
      </c>
      <c r="K10" s="15">
        <f ca="1">ROUND(0.4*(IF(G10="",5,IF(G10&lt;=3,100,IF(G10&lt;=7,75,IF(G10&lt;=14,50,IF(G10&lt;=30,25,5))))))+0.35*(IFERROR(VLOOKUP(C10,'Demand Weights'!$A:$H,8,0)*100,50))+0.25*(IF(E10=0,100,IF(ISNUMBER('Current Inventory'!J10),IF('Current Inventory'!J10&lt;1,100,IF('Current Inventory'!J10&lt;2,75,IF('Current Inventory'!J10&lt;4,40,5))),5))),0)</f>
        <v>37</v>
      </c>
      <c r="L10" s="11" t="str">
        <f t="shared" ca="1" si="0"/>
        <v>STANDARD - Distribute when ready</v>
      </c>
    </row>
    <row r="11" spans="1:12" x14ac:dyDescent="0.35">
      <c r="A11" s="5" t="s">
        <v>48</v>
      </c>
      <c r="B11" s="2" t="s">
        <v>49</v>
      </c>
      <c r="C11" s="2" t="s">
        <v>31</v>
      </c>
      <c r="D11" s="14" t="s">
        <v>33</v>
      </c>
      <c r="E11" s="3">
        <f ca="1">'Current Inventory'!E11</f>
        <v>1110</v>
      </c>
      <c r="F11" s="4">
        <f ca="1">'Current Inventory'!F11</f>
        <v>46406</v>
      </c>
      <c r="G11" s="13">
        <f ca="1">'Current Inventory'!G11</f>
        <v>207</v>
      </c>
      <c r="H11" s="5" t="str">
        <f ca="1">'Current Inventory'!H11</f>
        <v>OK</v>
      </c>
      <c r="I11" s="2" t="str">
        <f>IFERROR(VLOOKUP(C11,'Demand Weights'!$A:$G,7,0),"Any pantry")</f>
        <v>St. Augustine's Shelter Pantry</v>
      </c>
      <c r="J11" s="3">
        <f ca="1">IFERROR(MIN(E11,MAX(5,ROUND('Current Inventory'!I11*IFERROR(VLOOKUP(C11,'Demand Weights'!$A:$H,8,0),0.5)*1.5,0))),0)</f>
        <v>10</v>
      </c>
      <c r="K11" s="13">
        <f ca="1">ROUND(0.4*(IF(G11="",5,IF(G11&lt;=3,100,IF(G11&lt;=7,75,IF(G11&lt;=14,50,IF(G11&lt;=30,25,5))))))+0.35*(IFERROR(VLOOKUP(C11,'Demand Weights'!$A:$H,8,0)*100,50))+0.25*(IF(E11=0,100,IF(ISNUMBER('Current Inventory'!J11),IF('Current Inventory'!J11&lt;1,100,IF('Current Inventory'!J11&lt;2,75,IF('Current Inventory'!J11&lt;4,40,5))),5))),0)</f>
        <v>37</v>
      </c>
      <c r="L11" s="6" t="str">
        <f t="shared" ca="1" si="0"/>
        <v>STANDARD - Distribute when ready</v>
      </c>
    </row>
    <row r="12" spans="1:12" x14ac:dyDescent="0.35">
      <c r="A12" s="10" t="s">
        <v>51</v>
      </c>
      <c r="B12" s="7" t="s">
        <v>52</v>
      </c>
      <c r="C12" s="7" t="s">
        <v>53</v>
      </c>
      <c r="D12" s="12" t="s">
        <v>45</v>
      </c>
      <c r="E12" s="8">
        <f ca="1">'Current Inventory'!E12</f>
        <v>1056</v>
      </c>
      <c r="F12" s="9">
        <f ca="1">'Current Inventory'!F12</f>
        <v>46396</v>
      </c>
      <c r="G12" s="15">
        <f ca="1">'Current Inventory'!G12</f>
        <v>197</v>
      </c>
      <c r="H12" s="10" t="str">
        <f ca="1">'Current Inventory'!H12</f>
        <v>OK</v>
      </c>
      <c r="I12" s="7" t="str">
        <f>IFERROR(VLOOKUP(C12,'Demand Weights'!$A:$G,7,0),"Any pantry")</f>
        <v>Maplewood Senior Center</v>
      </c>
      <c r="J12" s="8">
        <f ca="1">IFERROR(MIN(E12,MAX(5,ROUND('Current Inventory'!I12*IFERROR(VLOOKUP(C12,'Demand Weights'!$A:$H,8,0),0.5)*1.5,0))),0)</f>
        <v>9</v>
      </c>
      <c r="K12" s="15">
        <f ca="1">ROUND(0.4*(IF(G12="",5,IF(G12&lt;=3,100,IF(G12&lt;=7,75,IF(G12&lt;=14,50,IF(G12&lt;=30,25,5))))))+0.35*(IFERROR(VLOOKUP(C12,'Demand Weights'!$A:$H,8,0)*100,50))+0.25*(IF(E12=0,100,IF(ISNUMBER('Current Inventory'!J12),IF('Current Inventory'!J12&lt;1,100,IF('Current Inventory'!J12&lt;2,75,IF('Current Inventory'!J12&lt;4,40,5))),5))),0)</f>
        <v>35</v>
      </c>
      <c r="L12" s="11" t="str">
        <f t="shared" ca="1" si="0"/>
        <v>STANDARD - Distribute when ready</v>
      </c>
    </row>
    <row r="13" spans="1:12" x14ac:dyDescent="0.35">
      <c r="A13" s="5" t="s">
        <v>54</v>
      </c>
      <c r="B13" s="2" t="s">
        <v>55</v>
      </c>
      <c r="C13" s="2" t="s">
        <v>53</v>
      </c>
      <c r="D13" s="12" t="s">
        <v>45</v>
      </c>
      <c r="E13" s="3">
        <f ca="1">'Current Inventory'!E13</f>
        <v>982</v>
      </c>
      <c r="F13" s="4">
        <f ca="1">'Current Inventory'!F13</f>
        <v>46376</v>
      </c>
      <c r="G13" s="13">
        <f ca="1">'Current Inventory'!G13</f>
        <v>177</v>
      </c>
      <c r="H13" s="5" t="str">
        <f ca="1">'Current Inventory'!H13</f>
        <v>OK</v>
      </c>
      <c r="I13" s="2" t="str">
        <f>IFERROR(VLOOKUP(C13,'Demand Weights'!$A:$G,7,0),"Any pantry")</f>
        <v>Maplewood Senior Center</v>
      </c>
      <c r="J13" s="3">
        <f ca="1">IFERROR(MIN(E13,MAX(5,ROUND('Current Inventory'!I13*IFERROR(VLOOKUP(C13,'Demand Weights'!$A:$H,8,0),0.5)*1.5,0))),0)</f>
        <v>11</v>
      </c>
      <c r="K13" s="13">
        <f ca="1">ROUND(0.4*(IF(G13="",5,IF(G13&lt;=3,100,IF(G13&lt;=7,75,IF(G13&lt;=14,50,IF(G13&lt;=30,25,5))))))+0.35*(IFERROR(VLOOKUP(C13,'Demand Weights'!$A:$H,8,0)*100,50))+0.25*(IF(E13=0,100,IF(ISNUMBER('Current Inventory'!J13),IF('Current Inventory'!J13&lt;1,100,IF('Current Inventory'!J13&lt;2,75,IF('Current Inventory'!J13&lt;4,40,5))),5))),0)</f>
        <v>35</v>
      </c>
      <c r="L13" s="6" t="str">
        <f t="shared" ca="1" si="0"/>
        <v>STANDARD - Distribute when ready</v>
      </c>
    </row>
    <row r="14" spans="1:12" x14ac:dyDescent="0.35">
      <c r="A14" s="10" t="s">
        <v>57</v>
      </c>
      <c r="B14" s="7" t="s">
        <v>58</v>
      </c>
      <c r="C14" s="7" t="s">
        <v>53</v>
      </c>
      <c r="D14" s="12" t="s">
        <v>45</v>
      </c>
      <c r="E14" s="8">
        <f ca="1">'Current Inventory'!E14</f>
        <v>1224</v>
      </c>
      <c r="F14" s="9">
        <f ca="1">'Current Inventory'!F14</f>
        <v>46357</v>
      </c>
      <c r="G14" s="15">
        <f ca="1">'Current Inventory'!G14</f>
        <v>158</v>
      </c>
      <c r="H14" s="10" t="str">
        <f ca="1">'Current Inventory'!H14</f>
        <v>OK</v>
      </c>
      <c r="I14" s="7" t="str">
        <f>IFERROR(VLOOKUP(C14,'Demand Weights'!$A:$G,7,0),"Any pantry")</f>
        <v>Maplewood Senior Center</v>
      </c>
      <c r="J14" s="8">
        <f ca="1">IFERROR(MIN(E14,MAX(5,ROUND('Current Inventory'!I14*IFERROR(VLOOKUP(C14,'Demand Weights'!$A:$H,8,0),0.5)*1.5,0))),0)</f>
        <v>16</v>
      </c>
      <c r="K14" s="15">
        <f ca="1">ROUND(0.4*(IF(G14="",5,IF(G14&lt;=3,100,IF(G14&lt;=7,75,IF(G14&lt;=14,50,IF(G14&lt;=30,25,5))))))+0.35*(IFERROR(VLOOKUP(C14,'Demand Weights'!$A:$H,8,0)*100,50))+0.25*(IF(E14=0,100,IF(ISNUMBER('Current Inventory'!J14),IF('Current Inventory'!J14&lt;1,100,IF('Current Inventory'!J14&lt;2,75,IF('Current Inventory'!J14&lt;4,40,5))),5))),0)</f>
        <v>35</v>
      </c>
      <c r="L14" s="11" t="str">
        <f t="shared" ca="1" si="0"/>
        <v>STANDARD - Distribute when ready</v>
      </c>
    </row>
    <row r="15" spans="1:12" x14ac:dyDescent="0.35">
      <c r="A15" s="5" t="s">
        <v>59</v>
      </c>
      <c r="B15" s="2" t="s">
        <v>60</v>
      </c>
      <c r="C15" s="2" t="s">
        <v>53</v>
      </c>
      <c r="D15" s="12" t="s">
        <v>45</v>
      </c>
      <c r="E15" s="3">
        <f ca="1">'Current Inventory'!E15</f>
        <v>735</v>
      </c>
      <c r="F15" s="4">
        <f ca="1">'Current Inventory'!F15</f>
        <v>46353</v>
      </c>
      <c r="G15" s="13">
        <f ca="1">'Current Inventory'!G15</f>
        <v>154</v>
      </c>
      <c r="H15" s="5" t="str">
        <f ca="1">'Current Inventory'!H15</f>
        <v>OK</v>
      </c>
      <c r="I15" s="2" t="str">
        <f>IFERROR(VLOOKUP(C15,'Demand Weights'!$A:$G,7,0),"Any pantry")</f>
        <v>Maplewood Senior Center</v>
      </c>
      <c r="J15" s="3">
        <f ca="1">IFERROR(MIN(E15,MAX(5,ROUND('Current Inventory'!I15*IFERROR(VLOOKUP(C15,'Demand Weights'!$A:$H,8,0),0.5)*1.5,0))),0)</f>
        <v>5</v>
      </c>
      <c r="K15" s="13">
        <f ca="1">ROUND(0.4*(IF(G15="",5,IF(G15&lt;=3,100,IF(G15&lt;=7,75,IF(G15&lt;=14,50,IF(G15&lt;=30,25,5))))))+0.35*(IFERROR(VLOOKUP(C15,'Demand Weights'!$A:$H,8,0)*100,50))+0.25*(IF(E15=0,100,IF(ISNUMBER('Current Inventory'!J15),IF('Current Inventory'!J15&lt;1,100,IF('Current Inventory'!J15&lt;2,75,IF('Current Inventory'!J15&lt;4,40,5))),5))),0)</f>
        <v>35</v>
      </c>
      <c r="L15" s="6" t="str">
        <f t="shared" ca="1" si="0"/>
        <v>STANDARD - Distribute when ready</v>
      </c>
    </row>
    <row r="16" spans="1:12" x14ac:dyDescent="0.35">
      <c r="A16" s="10" t="s">
        <v>61</v>
      </c>
      <c r="B16" s="7" t="s">
        <v>62</v>
      </c>
      <c r="C16" s="7" t="s">
        <v>53</v>
      </c>
      <c r="D16" s="16" t="s">
        <v>63</v>
      </c>
      <c r="E16" s="8">
        <f ca="1">'Current Inventory'!E16</f>
        <v>725</v>
      </c>
      <c r="F16" s="9">
        <f ca="1">'Current Inventory'!F16</f>
        <v>46350</v>
      </c>
      <c r="G16" s="15">
        <f ca="1">'Current Inventory'!G16</f>
        <v>151</v>
      </c>
      <c r="H16" s="10" t="str">
        <f ca="1">'Current Inventory'!H16</f>
        <v>OK</v>
      </c>
      <c r="I16" s="7" t="str">
        <f>IFERROR(VLOOKUP(C16,'Demand Weights'!$A:$G,7,0),"Any pantry")</f>
        <v>Maplewood Senior Center</v>
      </c>
      <c r="J16" s="8">
        <f ca="1">IFERROR(MIN(E16,MAX(5,ROUND('Current Inventory'!I16*IFERROR(VLOOKUP(C16,'Demand Weights'!$A:$H,8,0),0.5)*1.5,0))),0)</f>
        <v>6</v>
      </c>
      <c r="K16" s="15">
        <f ca="1">ROUND(0.4*(IF(G16="",5,IF(G16&lt;=3,100,IF(G16&lt;=7,75,IF(G16&lt;=14,50,IF(G16&lt;=30,25,5))))))+0.35*(IFERROR(VLOOKUP(C16,'Demand Weights'!$A:$H,8,0)*100,50))+0.25*(IF(E16=0,100,IF(ISNUMBER('Current Inventory'!J16),IF('Current Inventory'!J16&lt;1,100,IF('Current Inventory'!J16&lt;2,75,IF('Current Inventory'!J16&lt;4,40,5))),5))),0)</f>
        <v>35</v>
      </c>
      <c r="L16" s="11" t="str">
        <f t="shared" ca="1" si="0"/>
        <v>STANDARD - Distribute when ready</v>
      </c>
    </row>
    <row r="17" spans="1:12" x14ac:dyDescent="0.35">
      <c r="A17" s="5" t="s">
        <v>64</v>
      </c>
      <c r="B17" s="2" t="s">
        <v>65</v>
      </c>
      <c r="C17" s="2" t="s">
        <v>66</v>
      </c>
      <c r="D17" s="16" t="s">
        <v>63</v>
      </c>
      <c r="E17" s="3">
        <f ca="1">'Current Inventory'!E17</f>
        <v>637</v>
      </c>
      <c r="F17" s="4">
        <f ca="1">'Current Inventory'!F17</f>
        <v>46340</v>
      </c>
      <c r="G17" s="13">
        <f ca="1">'Current Inventory'!G17</f>
        <v>141</v>
      </c>
      <c r="H17" s="5" t="str">
        <f ca="1">'Current Inventory'!H17</f>
        <v>OK</v>
      </c>
      <c r="I17" s="2" t="str">
        <f>IFERROR(VLOOKUP(C17,'Demand Weights'!$A:$G,7,0),"Any pantry")</f>
        <v>Oakdale School Family Pantry</v>
      </c>
      <c r="J17" s="3">
        <f ca="1">IFERROR(MIN(E17,MAX(5,ROUND('Current Inventory'!I17*IFERROR(VLOOKUP(C17,'Demand Weights'!$A:$H,8,0),0.5)*1.5,0))),0)</f>
        <v>8</v>
      </c>
      <c r="K17" s="13">
        <f ca="1">ROUND(0.4*(IF(G17="",5,IF(G17&lt;=3,100,IF(G17&lt;=7,75,IF(G17&lt;=14,50,IF(G17&lt;=30,25,5))))))+0.35*(IFERROR(VLOOKUP(C17,'Demand Weights'!$A:$H,8,0)*100,50))+0.25*(IF(E17=0,100,IF(ISNUMBER('Current Inventory'!J17),IF('Current Inventory'!J17&lt;1,100,IF('Current Inventory'!J17&lt;2,75,IF('Current Inventory'!J17&lt;4,40,5))),5))),0)</f>
        <v>35</v>
      </c>
      <c r="L17" s="6" t="str">
        <f t="shared" ca="1" si="0"/>
        <v>STANDARD - Distribute when ready</v>
      </c>
    </row>
    <row r="18" spans="1:12" x14ac:dyDescent="0.35">
      <c r="A18" s="10" t="s">
        <v>67</v>
      </c>
      <c r="B18" s="7" t="s">
        <v>68</v>
      </c>
      <c r="C18" s="7" t="s">
        <v>66</v>
      </c>
      <c r="D18" s="16" t="s">
        <v>63</v>
      </c>
      <c r="E18" s="8">
        <f ca="1">'Current Inventory'!E18</f>
        <v>1211</v>
      </c>
      <c r="F18" s="9">
        <f ca="1">'Current Inventory'!F18</f>
        <v>46337</v>
      </c>
      <c r="G18" s="15">
        <f ca="1">'Current Inventory'!G18</f>
        <v>138</v>
      </c>
      <c r="H18" s="10" t="str">
        <f ca="1">'Current Inventory'!H18</f>
        <v>OK</v>
      </c>
      <c r="I18" s="7" t="str">
        <f>IFERROR(VLOOKUP(C18,'Demand Weights'!$A:$G,7,0),"Any pantry")</f>
        <v>Oakdale School Family Pantry</v>
      </c>
      <c r="J18" s="8">
        <f ca="1">IFERROR(MIN(E18,MAX(5,ROUND('Current Inventory'!I18*IFERROR(VLOOKUP(C18,'Demand Weights'!$A:$H,8,0),0.5)*1.5,0))),0)</f>
        <v>5</v>
      </c>
      <c r="K18" s="15">
        <f ca="1">ROUND(0.4*(IF(G18="",5,IF(G18&lt;=3,100,IF(G18&lt;=7,75,IF(G18&lt;=14,50,IF(G18&lt;=30,25,5))))))+0.35*(IFERROR(VLOOKUP(C18,'Demand Weights'!$A:$H,8,0)*100,50))+0.25*(IF(E18=0,100,IF(ISNUMBER('Current Inventory'!J18),IF('Current Inventory'!J18&lt;1,100,IF('Current Inventory'!J18&lt;2,75,IF('Current Inventory'!J18&lt;4,40,5))),5))),0)</f>
        <v>35</v>
      </c>
      <c r="L18" s="11" t="str">
        <f t="shared" ca="1" si="0"/>
        <v>STANDARD - Distribute when ready</v>
      </c>
    </row>
    <row r="19" spans="1:12" x14ac:dyDescent="0.35">
      <c r="A19" s="5" t="s">
        <v>69</v>
      </c>
      <c r="B19" s="2" t="s">
        <v>70</v>
      </c>
      <c r="C19" s="2" t="s">
        <v>66</v>
      </c>
      <c r="D19" s="16" t="s">
        <v>63</v>
      </c>
      <c r="E19" s="3">
        <f ca="1">'Current Inventory'!E19</f>
        <v>1005</v>
      </c>
      <c r="F19" s="4">
        <f ca="1">'Current Inventory'!F19</f>
        <v>46329</v>
      </c>
      <c r="G19" s="13">
        <f ca="1">'Current Inventory'!G19</f>
        <v>130</v>
      </c>
      <c r="H19" s="5" t="str">
        <f ca="1">'Current Inventory'!H19</f>
        <v>OK</v>
      </c>
      <c r="I19" s="2" t="str">
        <f>IFERROR(VLOOKUP(C19,'Demand Weights'!$A:$G,7,0),"Any pantry")</f>
        <v>Oakdale School Family Pantry</v>
      </c>
      <c r="J19" s="3">
        <f ca="1">IFERROR(MIN(E19,MAX(5,ROUND('Current Inventory'!I19*IFERROR(VLOOKUP(C19,'Demand Weights'!$A:$H,8,0),0.5)*1.5,0))),0)</f>
        <v>13</v>
      </c>
      <c r="K19" s="13">
        <f ca="1">ROUND(0.4*(IF(G19="",5,IF(G19&lt;=3,100,IF(G19&lt;=7,75,IF(G19&lt;=14,50,IF(G19&lt;=30,25,5))))))+0.35*(IFERROR(VLOOKUP(C19,'Demand Weights'!$A:$H,8,0)*100,50))+0.25*(IF(E19=0,100,IF(ISNUMBER('Current Inventory'!J19),IF('Current Inventory'!J19&lt;1,100,IF('Current Inventory'!J19&lt;2,75,IF('Current Inventory'!J19&lt;4,40,5))),5))),0)</f>
        <v>35</v>
      </c>
      <c r="L19" s="6" t="str">
        <f t="shared" ca="1" si="0"/>
        <v>STANDARD - Distribute when ready</v>
      </c>
    </row>
    <row r="20" spans="1:12" x14ac:dyDescent="0.35">
      <c r="A20" s="10" t="s">
        <v>72</v>
      </c>
      <c r="B20" s="7" t="s">
        <v>73</v>
      </c>
      <c r="C20" s="7" t="s">
        <v>74</v>
      </c>
      <c r="D20" s="14" t="s">
        <v>33</v>
      </c>
      <c r="E20" s="8">
        <f ca="1">'Current Inventory'!E20</f>
        <v>1829</v>
      </c>
      <c r="F20" s="9">
        <f ca="1">'Current Inventory'!F20</f>
        <v>46327</v>
      </c>
      <c r="G20" s="15">
        <f ca="1">'Current Inventory'!G20</f>
        <v>128</v>
      </c>
      <c r="H20" s="10" t="str">
        <f ca="1">'Current Inventory'!H20</f>
        <v>OK</v>
      </c>
      <c r="I20" s="7" t="str">
        <f>IFERROR(VLOOKUP(C20,'Demand Weights'!$A:$G,7,0),"Any pantry")</f>
        <v>Riverside Community Pantry</v>
      </c>
      <c r="J20" s="8">
        <f ca="1">IFERROR(MIN(E20,MAX(5,ROUND('Current Inventory'!I20*IFERROR(VLOOKUP(C20,'Demand Weights'!$A:$H,8,0),0.5)*1.5,0))),0)</f>
        <v>14</v>
      </c>
      <c r="K20" s="15">
        <f ca="1">ROUND(0.4*(IF(G20="",5,IF(G20&lt;=3,100,IF(G20&lt;=7,75,IF(G20&lt;=14,50,IF(G20&lt;=30,25,5))))))+0.35*(IFERROR(VLOOKUP(C20,'Demand Weights'!$A:$H,8,0)*100,50))+0.25*(IF(E20=0,100,IF(ISNUMBER('Current Inventory'!J20),IF('Current Inventory'!J20&lt;1,100,IF('Current Inventory'!J20&lt;2,75,IF('Current Inventory'!J20&lt;4,40,5))),5))),0)</f>
        <v>35</v>
      </c>
      <c r="L20" s="11" t="str">
        <f t="shared" ca="1" si="0"/>
        <v>STANDARD - Distribute when ready</v>
      </c>
    </row>
    <row r="21" spans="1:12" x14ac:dyDescent="0.35">
      <c r="A21" s="5" t="s">
        <v>76</v>
      </c>
      <c r="B21" s="2" t="s">
        <v>77</v>
      </c>
      <c r="C21" s="2" t="s">
        <v>74</v>
      </c>
      <c r="D21" s="12" t="s">
        <v>45</v>
      </c>
      <c r="E21" s="3">
        <f ca="1">'Current Inventory'!E21</f>
        <v>765</v>
      </c>
      <c r="F21" s="4">
        <f ca="1">'Current Inventory'!F21</f>
        <v>46313</v>
      </c>
      <c r="G21" s="13">
        <f ca="1">'Current Inventory'!G21</f>
        <v>114</v>
      </c>
      <c r="H21" s="5" t="str">
        <f ca="1">'Current Inventory'!H21</f>
        <v>OK</v>
      </c>
      <c r="I21" s="2" t="str">
        <f>IFERROR(VLOOKUP(C21,'Demand Weights'!$A:$G,7,0),"Any pantry")</f>
        <v>Riverside Community Pantry</v>
      </c>
      <c r="J21" s="3">
        <f ca="1">IFERROR(MIN(E21,MAX(5,ROUND('Current Inventory'!I21*IFERROR(VLOOKUP(C21,'Demand Weights'!$A:$H,8,0),0.5)*1.5,0))),0)</f>
        <v>5</v>
      </c>
      <c r="K21" s="13">
        <f ca="1">ROUND(0.4*(IF(G21="",5,IF(G21&lt;=3,100,IF(G21&lt;=7,75,IF(G21&lt;=14,50,IF(G21&lt;=30,25,5))))))+0.35*(IFERROR(VLOOKUP(C21,'Demand Weights'!$A:$H,8,0)*100,50))+0.25*(IF(E21=0,100,IF(ISNUMBER('Current Inventory'!J21),IF('Current Inventory'!J21&lt;1,100,IF('Current Inventory'!J21&lt;2,75,IF('Current Inventory'!J21&lt;4,40,5))),5))),0)</f>
        <v>35</v>
      </c>
      <c r="L21" s="6" t="str">
        <f t="shared" ca="1" si="0"/>
        <v>STANDARD - Distribute when ready</v>
      </c>
    </row>
    <row r="22" spans="1:12" x14ac:dyDescent="0.35">
      <c r="A22" s="10" t="s">
        <v>78</v>
      </c>
      <c r="B22" s="7" t="s">
        <v>79</v>
      </c>
      <c r="C22" s="7" t="s">
        <v>74</v>
      </c>
      <c r="D22" s="14" t="s">
        <v>33</v>
      </c>
      <c r="E22" s="8">
        <f ca="1">'Current Inventory'!E22</f>
        <v>837</v>
      </c>
      <c r="F22" s="9">
        <f ca="1">'Current Inventory'!F22</f>
        <v>46313</v>
      </c>
      <c r="G22" s="15">
        <f ca="1">'Current Inventory'!G22</f>
        <v>114</v>
      </c>
      <c r="H22" s="10" t="str">
        <f ca="1">'Current Inventory'!H22</f>
        <v>OK</v>
      </c>
      <c r="I22" s="7" t="str">
        <f>IFERROR(VLOOKUP(C22,'Demand Weights'!$A:$G,7,0),"Any pantry")</f>
        <v>Riverside Community Pantry</v>
      </c>
      <c r="J22" s="8">
        <f ca="1">IFERROR(MIN(E22,MAX(5,ROUND('Current Inventory'!I22*IFERROR(VLOOKUP(C22,'Demand Weights'!$A:$H,8,0),0.5)*1.5,0))),0)</f>
        <v>9</v>
      </c>
      <c r="K22" s="15">
        <f ca="1">ROUND(0.4*(IF(G22="",5,IF(G22&lt;=3,100,IF(G22&lt;=7,75,IF(G22&lt;=14,50,IF(G22&lt;=30,25,5))))))+0.35*(IFERROR(VLOOKUP(C22,'Demand Weights'!$A:$H,8,0)*100,50))+0.25*(IF(E22=0,100,IF(ISNUMBER('Current Inventory'!J22),IF('Current Inventory'!J22&lt;1,100,IF('Current Inventory'!J22&lt;2,75,IF('Current Inventory'!J22&lt;4,40,5))),5))),0)</f>
        <v>35</v>
      </c>
      <c r="L22" s="11" t="str">
        <f t="shared" ca="1" si="0"/>
        <v>STANDARD - Distribute when ready</v>
      </c>
    </row>
    <row r="23" spans="1:12" x14ac:dyDescent="0.35">
      <c r="A23" s="5" t="s">
        <v>81</v>
      </c>
      <c r="B23" s="2" t="s">
        <v>82</v>
      </c>
      <c r="C23" s="2" t="s">
        <v>74</v>
      </c>
      <c r="D23" s="14" t="s">
        <v>33</v>
      </c>
      <c r="E23" s="3">
        <f ca="1">'Current Inventory'!E23</f>
        <v>1291</v>
      </c>
      <c r="F23" s="4">
        <f ca="1">'Current Inventory'!F23</f>
        <v>46299</v>
      </c>
      <c r="G23" s="13">
        <f ca="1">'Current Inventory'!G23</f>
        <v>100</v>
      </c>
      <c r="H23" s="5" t="str">
        <f ca="1">'Current Inventory'!H23</f>
        <v>OK</v>
      </c>
      <c r="I23" s="2" t="str">
        <f>IFERROR(VLOOKUP(C23,'Demand Weights'!$A:$G,7,0),"Any pantry")</f>
        <v>Riverside Community Pantry</v>
      </c>
      <c r="J23" s="3">
        <f ca="1">IFERROR(MIN(E23,MAX(5,ROUND('Current Inventory'!I23*IFERROR(VLOOKUP(C23,'Demand Weights'!$A:$H,8,0),0.5)*1.5,0))),0)</f>
        <v>12</v>
      </c>
      <c r="K23" s="13">
        <f ca="1">ROUND(0.4*(IF(G23="",5,IF(G23&lt;=3,100,IF(G23&lt;=7,75,IF(G23&lt;=14,50,IF(G23&lt;=30,25,5))))))+0.35*(IFERROR(VLOOKUP(C23,'Demand Weights'!$A:$H,8,0)*100,50))+0.25*(IF(E23=0,100,IF(ISNUMBER('Current Inventory'!J23),IF('Current Inventory'!J23&lt;1,100,IF('Current Inventory'!J23&lt;2,75,IF('Current Inventory'!J23&lt;4,40,5))),5))),0)</f>
        <v>35</v>
      </c>
      <c r="L23" s="6" t="str">
        <f t="shared" ca="1" si="0"/>
        <v>STANDARD - Distribute when ready</v>
      </c>
    </row>
    <row r="24" spans="1:12" x14ac:dyDescent="0.35">
      <c r="A24" s="10" t="s">
        <v>83</v>
      </c>
      <c r="B24" s="7" t="s">
        <v>84</v>
      </c>
      <c r="C24" s="7" t="s">
        <v>74</v>
      </c>
      <c r="D24" s="14" t="s">
        <v>33</v>
      </c>
      <c r="E24" s="8">
        <f ca="1">'Current Inventory'!E24</f>
        <v>1206</v>
      </c>
      <c r="F24" s="9">
        <f ca="1">'Current Inventory'!F24</f>
        <v>46298</v>
      </c>
      <c r="G24" s="15">
        <f ca="1">'Current Inventory'!G24</f>
        <v>99</v>
      </c>
      <c r="H24" s="10" t="str">
        <f ca="1">'Current Inventory'!H24</f>
        <v>OK</v>
      </c>
      <c r="I24" s="7" t="str">
        <f>IFERROR(VLOOKUP(C24,'Demand Weights'!$A:$G,7,0),"Any pantry")</f>
        <v>Riverside Community Pantry</v>
      </c>
      <c r="J24" s="8">
        <f ca="1">IFERROR(MIN(E24,MAX(5,ROUND('Current Inventory'!I24*IFERROR(VLOOKUP(C24,'Demand Weights'!$A:$H,8,0),0.5)*1.5,0))),0)</f>
        <v>18</v>
      </c>
      <c r="K24" s="15">
        <f ca="1">ROUND(0.4*(IF(G24="",5,IF(G24&lt;=3,100,IF(G24&lt;=7,75,IF(G24&lt;=14,50,IF(G24&lt;=30,25,5))))))+0.35*(IFERROR(VLOOKUP(C24,'Demand Weights'!$A:$H,8,0)*100,50))+0.25*(IF(E24=0,100,IF(ISNUMBER('Current Inventory'!J24),IF('Current Inventory'!J24&lt;1,100,IF('Current Inventory'!J24&lt;2,75,IF('Current Inventory'!J24&lt;4,40,5))),5))),0)</f>
        <v>35</v>
      </c>
      <c r="L24" s="11" t="str">
        <f t="shared" ca="1" si="0"/>
        <v>STANDARD - Distribute when ready</v>
      </c>
    </row>
    <row r="25" spans="1:12" x14ac:dyDescent="0.35">
      <c r="A25" s="5" t="s">
        <v>86</v>
      </c>
      <c r="B25" s="2" t="s">
        <v>87</v>
      </c>
      <c r="C25" s="2" t="s">
        <v>74</v>
      </c>
      <c r="D25" s="12" t="s">
        <v>45</v>
      </c>
      <c r="E25" s="3">
        <f ca="1">'Current Inventory'!E25</f>
        <v>1567</v>
      </c>
      <c r="F25" s="4">
        <f ca="1">'Current Inventory'!F25</f>
        <v>46288</v>
      </c>
      <c r="G25" s="13">
        <f ca="1">'Current Inventory'!G25</f>
        <v>89</v>
      </c>
      <c r="H25" s="5" t="str">
        <f ca="1">'Current Inventory'!H25</f>
        <v>OK</v>
      </c>
      <c r="I25" s="2" t="str">
        <f>IFERROR(VLOOKUP(C25,'Demand Weights'!$A:$G,7,0),"Any pantry")</f>
        <v>Riverside Community Pantry</v>
      </c>
      <c r="J25" s="3">
        <f ca="1">IFERROR(MIN(E25,MAX(5,ROUND('Current Inventory'!I25*IFERROR(VLOOKUP(C25,'Demand Weights'!$A:$H,8,0),0.5)*1.5,0))),0)</f>
        <v>20</v>
      </c>
      <c r="K25" s="13">
        <f ca="1">ROUND(0.4*(IF(G25="",5,IF(G25&lt;=3,100,IF(G25&lt;=7,75,IF(G25&lt;=14,50,IF(G25&lt;=30,25,5))))))+0.35*(IFERROR(VLOOKUP(C25,'Demand Weights'!$A:$H,8,0)*100,50))+0.25*(IF(E25=0,100,IF(ISNUMBER('Current Inventory'!J25),IF('Current Inventory'!J25&lt;1,100,IF('Current Inventory'!J25&lt;2,75,IF('Current Inventory'!J25&lt;4,40,5))),5))),0)</f>
        <v>35</v>
      </c>
      <c r="L25" s="6" t="str">
        <f t="shared" ca="1" si="0"/>
        <v>STANDARD - Distribute when ready</v>
      </c>
    </row>
    <row r="26" spans="1:12" x14ac:dyDescent="0.35">
      <c r="A26" s="10" t="s">
        <v>88</v>
      </c>
      <c r="B26" s="7" t="s">
        <v>89</v>
      </c>
      <c r="C26" s="7" t="s">
        <v>74</v>
      </c>
      <c r="D26" s="16" t="s">
        <v>63</v>
      </c>
      <c r="E26" s="8">
        <f ca="1">'Current Inventory'!E26</f>
        <v>736</v>
      </c>
      <c r="F26" s="9">
        <f ca="1">'Current Inventory'!F26</f>
        <v>46259</v>
      </c>
      <c r="G26" s="15">
        <f ca="1">'Current Inventory'!G26</f>
        <v>60</v>
      </c>
      <c r="H26" s="10" t="str">
        <f ca="1">'Current Inventory'!H26</f>
        <v>OK</v>
      </c>
      <c r="I26" s="7" t="str">
        <f>IFERROR(VLOOKUP(C26,'Demand Weights'!$A:$G,7,0),"Any pantry")</f>
        <v>Riverside Community Pantry</v>
      </c>
      <c r="J26" s="8">
        <f ca="1">IFERROR(MIN(E26,MAX(5,ROUND('Current Inventory'!I26*IFERROR(VLOOKUP(C26,'Demand Weights'!$A:$H,8,0),0.5)*1.5,0))),0)</f>
        <v>5</v>
      </c>
      <c r="K26" s="15">
        <f ca="1">ROUND(0.4*(IF(G26="",5,IF(G26&lt;=3,100,IF(G26&lt;=7,75,IF(G26&lt;=14,50,IF(G26&lt;=30,25,5))))))+0.35*(IFERROR(VLOOKUP(C26,'Demand Weights'!$A:$H,8,0)*100,50))+0.25*(IF(E26=0,100,IF(ISNUMBER('Current Inventory'!J26),IF('Current Inventory'!J26&lt;1,100,IF('Current Inventory'!J26&lt;2,75,IF('Current Inventory'!J26&lt;4,40,5))),5))),0)</f>
        <v>35</v>
      </c>
      <c r="L26" s="11" t="str">
        <f t="shared" ca="1" si="0"/>
        <v>STANDARD - Distribute when ready</v>
      </c>
    </row>
    <row r="27" spans="1:12" x14ac:dyDescent="0.35">
      <c r="A27" s="5" t="s">
        <v>91</v>
      </c>
      <c r="B27" s="2" t="s">
        <v>92</v>
      </c>
      <c r="C27" s="2" t="s">
        <v>93</v>
      </c>
      <c r="D27" s="14" t="s">
        <v>33</v>
      </c>
      <c r="E27" s="3">
        <f ca="1">'Current Inventory'!E27</f>
        <v>503</v>
      </c>
      <c r="F27" s="4">
        <f ca="1">'Current Inventory'!F27</f>
        <v>46241</v>
      </c>
      <c r="G27" s="13">
        <f ca="1">'Current Inventory'!G27</f>
        <v>42</v>
      </c>
      <c r="H27" s="5" t="str">
        <f ca="1">'Current Inventory'!H27</f>
        <v>OK</v>
      </c>
      <c r="I27" s="2" t="str">
        <f>IFERROR(VLOOKUP(C27,'Demand Weights'!$A:$G,7,0),"Any pantry")</f>
        <v>Oakdale School Family Pantry</v>
      </c>
      <c r="J27" s="3">
        <f ca="1">IFERROR(MIN(E27,MAX(5,ROUND('Current Inventory'!I27*IFERROR(VLOOKUP(C27,'Demand Weights'!$A:$H,8,0),0.5)*1.5,0))),0)</f>
        <v>12</v>
      </c>
      <c r="K27" s="13">
        <f ca="1">ROUND(0.4*(IF(G27="",5,IF(G27&lt;=3,100,IF(G27&lt;=7,75,IF(G27&lt;=14,50,IF(G27&lt;=30,25,5))))))+0.35*(IFERROR(VLOOKUP(C27,'Demand Weights'!$A:$H,8,0)*100,50))+0.25*(IF(E27=0,100,IF(ISNUMBER('Current Inventory'!J27),IF('Current Inventory'!J27&lt;1,100,IF('Current Inventory'!J27&lt;2,75,IF('Current Inventory'!J27&lt;4,40,5))),5))),0)</f>
        <v>37</v>
      </c>
      <c r="L27" s="6" t="str">
        <f t="shared" ca="1" si="0"/>
        <v>STANDARD - Distribute when ready</v>
      </c>
    </row>
    <row r="28" spans="1:12" x14ac:dyDescent="0.35">
      <c r="A28" s="10" t="s">
        <v>94</v>
      </c>
      <c r="B28" s="7" t="s">
        <v>95</v>
      </c>
      <c r="C28" s="7" t="s">
        <v>93</v>
      </c>
      <c r="D28" s="12" t="s">
        <v>45</v>
      </c>
      <c r="E28" s="8">
        <f ca="1">'Current Inventory'!E28</f>
        <v>560</v>
      </c>
      <c r="F28" s="9">
        <f ca="1">'Current Inventory'!F28</f>
        <v>46230</v>
      </c>
      <c r="G28" s="15">
        <f ca="1">'Current Inventory'!G28</f>
        <v>31</v>
      </c>
      <c r="H28" s="10" t="str">
        <f ca="1">'Current Inventory'!H28</f>
        <v>OK</v>
      </c>
      <c r="I28" s="7" t="str">
        <f>IFERROR(VLOOKUP(C28,'Demand Weights'!$A:$G,7,0),"Any pantry")</f>
        <v>Oakdale School Family Pantry</v>
      </c>
      <c r="J28" s="8">
        <f ca="1">IFERROR(MIN(E28,MAX(5,ROUND('Current Inventory'!I28*IFERROR(VLOOKUP(C28,'Demand Weights'!$A:$H,8,0),0.5)*1.5,0))),0)</f>
        <v>7</v>
      </c>
      <c r="K28" s="15">
        <f ca="1">ROUND(0.4*(IF(G28="",5,IF(G28&lt;=3,100,IF(G28&lt;=7,75,IF(G28&lt;=14,50,IF(G28&lt;=30,25,5))))))+0.35*(IFERROR(VLOOKUP(C28,'Demand Weights'!$A:$H,8,0)*100,50))+0.25*(IF(E28=0,100,IF(ISNUMBER('Current Inventory'!J28),IF('Current Inventory'!J28&lt;1,100,IF('Current Inventory'!J28&lt;2,75,IF('Current Inventory'!J28&lt;4,40,5))),5))),0)</f>
        <v>37</v>
      </c>
      <c r="L28" s="11" t="str">
        <f t="shared" ca="1" si="0"/>
        <v>STANDARD - Distribute when ready</v>
      </c>
    </row>
    <row r="29" spans="1:12" x14ac:dyDescent="0.35">
      <c r="A29" s="5" t="s">
        <v>97</v>
      </c>
      <c r="B29" s="2" t="s">
        <v>98</v>
      </c>
      <c r="C29" s="2" t="s">
        <v>93</v>
      </c>
      <c r="D29" s="12" t="s">
        <v>45</v>
      </c>
      <c r="E29" s="3">
        <f ca="1">'Current Inventory'!E29</f>
        <v>551</v>
      </c>
      <c r="F29" s="4">
        <f ca="1">'Current Inventory'!F29</f>
        <v>46230</v>
      </c>
      <c r="G29" s="13">
        <f ca="1">'Current Inventory'!G29</f>
        <v>31</v>
      </c>
      <c r="H29" s="5" t="str">
        <f ca="1">'Current Inventory'!H29</f>
        <v>OK</v>
      </c>
      <c r="I29" s="2" t="str">
        <f>IFERROR(VLOOKUP(C29,'Demand Weights'!$A:$G,7,0),"Any pantry")</f>
        <v>Oakdale School Family Pantry</v>
      </c>
      <c r="J29" s="3">
        <f ca="1">IFERROR(MIN(E29,MAX(5,ROUND('Current Inventory'!I29*IFERROR(VLOOKUP(C29,'Demand Weights'!$A:$H,8,0),0.5)*1.5,0))),0)</f>
        <v>6</v>
      </c>
      <c r="K29" s="13">
        <f ca="1">ROUND(0.4*(IF(G29="",5,IF(G29&lt;=3,100,IF(G29&lt;=7,75,IF(G29&lt;=14,50,IF(G29&lt;=30,25,5))))))+0.35*(IFERROR(VLOOKUP(C29,'Demand Weights'!$A:$H,8,0)*100,50))+0.25*(IF(E29=0,100,IF(ISNUMBER('Current Inventory'!J29),IF('Current Inventory'!J29&lt;1,100,IF('Current Inventory'!J29&lt;2,75,IF('Current Inventory'!J29&lt;4,40,5))),5))),0)</f>
        <v>37</v>
      </c>
      <c r="L29" s="6" t="str">
        <f t="shared" ca="1" si="0"/>
        <v>STANDARD - Distribute when ready</v>
      </c>
    </row>
    <row r="30" spans="1:12" x14ac:dyDescent="0.35">
      <c r="A30" s="10" t="s">
        <v>100</v>
      </c>
      <c r="B30" s="7" t="s">
        <v>101</v>
      </c>
      <c r="C30" s="7" t="s">
        <v>102</v>
      </c>
      <c r="D30" s="14" t="s">
        <v>33</v>
      </c>
      <c r="E30" s="8">
        <f ca="1">'Current Inventory'!E30</f>
        <v>119</v>
      </c>
      <c r="F30" s="9">
        <f ca="1">'Current Inventory'!F30</f>
        <v>46220</v>
      </c>
      <c r="G30" s="15">
        <f ca="1">'Current Inventory'!G30</f>
        <v>21</v>
      </c>
      <c r="H30" s="10" t="str">
        <f ca="1">'Current Inventory'!H30</f>
        <v>NOTICE</v>
      </c>
      <c r="I30" s="7" t="str">
        <f>IFERROR(VLOOKUP(C30,'Demand Weights'!$A:$G,7,0),"Any pantry")</f>
        <v>St. Augustine's Shelter Pantry</v>
      </c>
      <c r="J30" s="8">
        <f ca="1">IFERROR(MIN(E30,MAX(5,ROUND('Current Inventory'!I30*IFERROR(VLOOKUP(C30,'Demand Weights'!$A:$H,8,0),0.5)*1.5,0))),0)</f>
        <v>5</v>
      </c>
      <c r="K30" s="15">
        <f ca="1">ROUND(0.4*(IF(G30="",5,IF(G30&lt;=3,100,IF(G30&lt;=7,75,IF(G30&lt;=14,50,IF(G30&lt;=30,25,5))))))+0.35*(IFERROR(VLOOKUP(C30,'Demand Weights'!$A:$H,8,0)*100,50))+0.25*(IF(E30=0,100,IF(ISNUMBER('Current Inventory'!J30),IF('Current Inventory'!J30&lt;1,100,IF('Current Inventory'!J30&lt;2,75,IF('Current Inventory'!J30&lt;4,40,5))),5))),0)</f>
        <v>45</v>
      </c>
      <c r="L30" s="11" t="str">
        <f t="shared" ca="1" si="0"/>
        <v>STANDARD - Distribute when ready</v>
      </c>
    </row>
    <row r="31" spans="1:12" x14ac:dyDescent="0.35">
      <c r="A31" s="5" t="s">
        <v>104</v>
      </c>
      <c r="B31" s="2" t="s">
        <v>105</v>
      </c>
      <c r="C31" s="2" t="s">
        <v>102</v>
      </c>
      <c r="D31" s="12" t="s">
        <v>45</v>
      </c>
      <c r="E31" s="3">
        <f ca="1">'Current Inventory'!E31</f>
        <v>216</v>
      </c>
      <c r="F31" s="4">
        <f ca="1">'Current Inventory'!F31</f>
        <v>46220</v>
      </c>
      <c r="G31" s="13">
        <f ca="1">'Current Inventory'!G31</f>
        <v>21</v>
      </c>
      <c r="H31" s="5" t="str">
        <f ca="1">'Current Inventory'!H31</f>
        <v>NOTICE</v>
      </c>
      <c r="I31" s="2" t="str">
        <f>IFERROR(VLOOKUP(C31,'Demand Weights'!$A:$G,7,0),"Any pantry")</f>
        <v>St. Augustine's Shelter Pantry</v>
      </c>
      <c r="J31" s="3">
        <f ca="1">IFERROR(MIN(E31,MAX(5,ROUND('Current Inventory'!I31*IFERROR(VLOOKUP(C31,'Demand Weights'!$A:$H,8,0),0.5)*1.5,0))),0)</f>
        <v>5</v>
      </c>
      <c r="K31" s="13">
        <f ca="1">ROUND(0.4*(IF(G31="",5,IF(G31&lt;=3,100,IF(G31&lt;=7,75,IF(G31&lt;=14,50,IF(G31&lt;=30,25,5))))))+0.35*(IFERROR(VLOOKUP(C31,'Demand Weights'!$A:$H,8,0)*100,50))+0.25*(IF(E31=0,100,IF(ISNUMBER('Current Inventory'!J31),IF('Current Inventory'!J31&lt;1,100,IF('Current Inventory'!J31&lt;2,75,IF('Current Inventory'!J31&lt;4,40,5))),5))),0)</f>
        <v>45</v>
      </c>
      <c r="L31" s="6" t="str">
        <f t="shared" ca="1" si="0"/>
        <v>STANDARD - Distribute when ready</v>
      </c>
    </row>
    <row r="32" spans="1:12" x14ac:dyDescent="0.35">
      <c r="A32" s="10" t="s">
        <v>106</v>
      </c>
      <c r="B32" s="7" t="s">
        <v>107</v>
      </c>
      <c r="C32" s="7" t="s">
        <v>102</v>
      </c>
      <c r="D32" s="12" t="s">
        <v>45</v>
      </c>
      <c r="E32" s="8">
        <f ca="1">'Current Inventory'!E32</f>
        <v>815</v>
      </c>
      <c r="F32" s="9">
        <f ca="1">'Current Inventory'!F32</f>
        <v>46215</v>
      </c>
      <c r="G32" s="15">
        <f ca="1">'Current Inventory'!G32</f>
        <v>16</v>
      </c>
      <c r="H32" s="10" t="str">
        <f ca="1">'Current Inventory'!H32</f>
        <v>NOTICE</v>
      </c>
      <c r="I32" s="7" t="str">
        <f>IFERROR(VLOOKUP(C32,'Demand Weights'!$A:$G,7,0),"Any pantry")</f>
        <v>St. Augustine's Shelter Pantry</v>
      </c>
      <c r="J32" s="8">
        <f ca="1">IFERROR(MIN(E32,MAX(5,ROUND('Current Inventory'!I32*IFERROR(VLOOKUP(C32,'Demand Weights'!$A:$H,8,0),0.5)*1.5,0))),0)</f>
        <v>5</v>
      </c>
      <c r="K32" s="15">
        <f ca="1">ROUND(0.4*(IF(G32="",5,IF(G32&lt;=3,100,IF(G32&lt;=7,75,IF(G32&lt;=14,50,IF(G32&lt;=30,25,5))))))+0.35*(IFERROR(VLOOKUP(C32,'Demand Weights'!$A:$H,8,0)*100,50))+0.25*(IF(E32=0,100,IF(ISNUMBER('Current Inventory'!J32),IF('Current Inventory'!J32&lt;1,100,IF('Current Inventory'!J32&lt;2,75,IF('Current Inventory'!J32&lt;4,40,5))),5))),0)</f>
        <v>45</v>
      </c>
      <c r="L32" s="11" t="str">
        <f t="shared" ca="1" si="0"/>
        <v>STANDARD - Distribute when ready</v>
      </c>
    </row>
    <row r="33" spans="1:12" x14ac:dyDescent="0.35">
      <c r="A33" s="5" t="s">
        <v>109</v>
      </c>
      <c r="B33" s="2" t="s">
        <v>110</v>
      </c>
      <c r="C33" s="2" t="s">
        <v>102</v>
      </c>
      <c r="D33" s="14" t="s">
        <v>33</v>
      </c>
      <c r="E33" s="3">
        <f ca="1">'Current Inventory'!E33</f>
        <v>0</v>
      </c>
      <c r="F33" s="4" t="str">
        <f ca="1">'Current Inventory'!F33</f>
        <v/>
      </c>
      <c r="G33" s="13" t="str">
        <f ca="1">'Current Inventory'!G33</f>
        <v/>
      </c>
      <c r="H33" s="5" t="str">
        <f ca="1">'Current Inventory'!H33</f>
        <v>OUT OF STOCK</v>
      </c>
      <c r="I33" s="2" t="str">
        <f>IFERROR(VLOOKUP(C33,'Demand Weights'!$A:$G,7,0),"Any pantry")</f>
        <v>St. Augustine's Shelter Pantry</v>
      </c>
      <c r="J33" s="3">
        <f ca="1">IFERROR(MIN(E33,MAX(5,ROUND('Current Inventory'!I33*IFERROR(VLOOKUP(C33,'Demand Weights'!$A:$H,8,0),0.5)*1.5,0))),0)</f>
        <v>0</v>
      </c>
      <c r="K33" s="13">
        <f ca="1">ROUND(0.4*(IF(G33="",5,IF(G33&lt;=3,100,IF(G33&lt;=7,75,IF(G33&lt;=14,50,IF(G33&lt;=30,25,5))))))+0.35*(IFERROR(VLOOKUP(C33,'Demand Weights'!$A:$H,8,0)*100,50))+0.25*(IF(E33=0,100,IF(ISNUMBER('Current Inventory'!J33),IF('Current Inventory'!J33&lt;1,100,IF('Current Inventory'!J33&lt;2,75,IF('Current Inventory'!J33&lt;4,40,5))),5))),0)</f>
        <v>60</v>
      </c>
      <c r="L33" s="6" t="str">
        <f t="shared" ca="1" si="0"/>
        <v>No stock available</v>
      </c>
    </row>
    <row r="34" spans="1:12" x14ac:dyDescent="0.35">
      <c r="A34" s="10" t="s">
        <v>111</v>
      </c>
      <c r="B34" s="7" t="s">
        <v>112</v>
      </c>
      <c r="C34" s="7" t="s">
        <v>102</v>
      </c>
      <c r="D34" s="12" t="s">
        <v>45</v>
      </c>
      <c r="E34" s="8">
        <f ca="1">'Current Inventory'!E34</f>
        <v>236</v>
      </c>
      <c r="F34" s="9">
        <f ca="1">'Current Inventory'!F34</f>
        <v>46213</v>
      </c>
      <c r="G34" s="15">
        <f ca="1">'Current Inventory'!G34</f>
        <v>14</v>
      </c>
      <c r="H34" s="10" t="str">
        <f ca="1">'Current Inventory'!H34</f>
        <v>NOTICE</v>
      </c>
      <c r="I34" s="7" t="str">
        <f>IFERROR(VLOOKUP(C34,'Demand Weights'!$A:$G,7,0),"Any pantry")</f>
        <v>St. Augustine's Shelter Pantry</v>
      </c>
      <c r="J34" s="8">
        <f ca="1">IFERROR(MIN(E34,MAX(5,ROUND('Current Inventory'!I34*IFERROR(VLOOKUP(C34,'Demand Weights'!$A:$H,8,0),0.5)*1.5,0))),0)</f>
        <v>8</v>
      </c>
      <c r="K34" s="15">
        <f ca="1">ROUND(0.4*(IF(G34="",5,IF(G34&lt;=3,100,IF(G34&lt;=7,75,IF(G34&lt;=14,50,IF(G34&lt;=30,25,5))))))+0.35*(IFERROR(VLOOKUP(C34,'Demand Weights'!$A:$H,8,0)*100,50))+0.25*(IF(E34=0,100,IF(ISNUMBER('Current Inventory'!J34),IF('Current Inventory'!J34&lt;1,100,IF('Current Inventory'!J34&lt;2,75,IF('Current Inventory'!J34&lt;4,40,5))),5))),0)</f>
        <v>55</v>
      </c>
      <c r="L34" s="11" t="str">
        <f t="shared" ca="1" si="0"/>
        <v>STANDARD - Distribute when ready</v>
      </c>
    </row>
    <row r="35" spans="1:12" x14ac:dyDescent="0.35">
      <c r="A35" s="5" t="s">
        <v>114</v>
      </c>
      <c r="B35" s="2" t="s">
        <v>13</v>
      </c>
      <c r="C35" s="2" t="s">
        <v>14</v>
      </c>
      <c r="D35" s="17" t="s">
        <v>116</v>
      </c>
      <c r="E35" s="3">
        <f ca="1">'Current Inventory'!E35</f>
        <v>0</v>
      </c>
      <c r="F35" s="4" t="str">
        <f ca="1">'Current Inventory'!F35</f>
        <v/>
      </c>
      <c r="G35" s="13" t="str">
        <f ca="1">'Current Inventory'!G35</f>
        <v/>
      </c>
      <c r="H35" s="5" t="str">
        <f ca="1">'Current Inventory'!H35</f>
        <v>OUT OF STOCK</v>
      </c>
      <c r="I35" s="2" t="str">
        <f>IFERROR(VLOOKUP(C35,'Demand Weights'!$A:$G,7,0),"Any pantry")</f>
        <v>Oakdale School Family Pantry</v>
      </c>
      <c r="J35" s="3">
        <f ca="1">IFERROR(MIN(E35,MAX(5,ROUND('Current Inventory'!I35*IFERROR(VLOOKUP(C35,'Demand Weights'!$A:$H,8,0),0.5)*1.5,0))),0)</f>
        <v>0</v>
      </c>
      <c r="K35" s="13">
        <f ca="1">ROUND(0.4*(IF(G35="",5,IF(G35&lt;=3,100,IF(G35&lt;=7,75,IF(G35&lt;=14,50,IF(G35&lt;=30,25,5))))))+0.35*(IFERROR(VLOOKUP(C35,'Demand Weights'!$A:$H,8,0)*100,50))+0.25*(IF(E35=0,100,IF(ISNUMBER('Current Inventory'!J35),IF('Current Inventory'!J35&lt;1,100,IF('Current Inventory'!J35&lt;2,75,IF('Current Inventory'!J35&lt;4,40,5))),5))),0)</f>
        <v>57</v>
      </c>
      <c r="L35" s="6" t="str">
        <f t="shared" ca="1" si="0"/>
        <v>No stock available</v>
      </c>
    </row>
    <row r="36" spans="1:12" x14ac:dyDescent="0.35">
      <c r="A36" s="10" t="s">
        <v>117</v>
      </c>
      <c r="B36" s="7" t="s">
        <v>118</v>
      </c>
      <c r="C36" s="7" t="s">
        <v>14</v>
      </c>
      <c r="D36" s="14" t="s">
        <v>33</v>
      </c>
      <c r="E36" s="8">
        <f ca="1">'Current Inventory'!E36</f>
        <v>416</v>
      </c>
      <c r="F36" s="9">
        <f ca="1">'Current Inventory'!F36</f>
        <v>46210</v>
      </c>
      <c r="G36" s="15">
        <f ca="1">'Current Inventory'!G36</f>
        <v>11</v>
      </c>
      <c r="H36" s="10" t="str">
        <f ca="1">'Current Inventory'!H36</f>
        <v>NOTICE</v>
      </c>
      <c r="I36" s="7" t="str">
        <f>IFERROR(VLOOKUP(C36,'Demand Weights'!$A:$G,7,0),"Any pantry")</f>
        <v>Oakdale School Family Pantry</v>
      </c>
      <c r="J36" s="8">
        <f ca="1">IFERROR(MIN(E36,MAX(5,ROUND('Current Inventory'!I36*IFERROR(VLOOKUP(C36,'Demand Weights'!$A:$H,8,0),0.5)*1.5,0))),0)</f>
        <v>5</v>
      </c>
      <c r="K36" s="15">
        <f ca="1">ROUND(0.4*(IF(G36="",5,IF(G36&lt;=3,100,IF(G36&lt;=7,75,IF(G36&lt;=14,50,IF(G36&lt;=30,25,5))))))+0.35*(IFERROR(VLOOKUP(C36,'Demand Weights'!$A:$H,8,0)*100,50))+0.25*(IF(E36=0,100,IF(ISNUMBER('Current Inventory'!J36),IF('Current Inventory'!J36&lt;1,100,IF('Current Inventory'!J36&lt;2,75,IF('Current Inventory'!J36&lt;4,40,5))),5))),0)</f>
        <v>51</v>
      </c>
      <c r="L36" s="11" t="str">
        <f t="shared" ca="1" si="0"/>
        <v>STANDARD - Distribute when ready</v>
      </c>
    </row>
    <row r="37" spans="1:12" x14ac:dyDescent="0.35">
      <c r="A37" s="5" t="s">
        <v>120</v>
      </c>
      <c r="B37" s="2" t="s">
        <v>121</v>
      </c>
      <c r="C37" s="2" t="s">
        <v>14</v>
      </c>
      <c r="D37" s="14" t="s">
        <v>33</v>
      </c>
      <c r="E37" s="3">
        <f ca="1">'Current Inventory'!E37</f>
        <v>552</v>
      </c>
      <c r="F37" s="4">
        <f ca="1">'Current Inventory'!F37</f>
        <v>46208</v>
      </c>
      <c r="G37" s="13">
        <f ca="1">'Current Inventory'!G37</f>
        <v>9</v>
      </c>
      <c r="H37" s="5" t="str">
        <f ca="1">'Current Inventory'!H37</f>
        <v>NOTICE</v>
      </c>
      <c r="I37" s="2" t="str">
        <f>IFERROR(VLOOKUP(C37,'Demand Weights'!$A:$G,7,0),"Any pantry")</f>
        <v>Oakdale School Family Pantry</v>
      </c>
      <c r="J37" s="3">
        <f ca="1">IFERROR(MIN(E37,MAX(5,ROUND('Current Inventory'!I37*IFERROR(VLOOKUP(C37,'Demand Weights'!$A:$H,8,0),0.5)*1.5,0))),0)</f>
        <v>10</v>
      </c>
      <c r="K37" s="13">
        <f ca="1">ROUND(0.4*(IF(G37="",5,IF(G37&lt;=3,100,IF(G37&lt;=7,75,IF(G37&lt;=14,50,IF(G37&lt;=30,25,5))))))+0.35*(IFERROR(VLOOKUP(C37,'Demand Weights'!$A:$H,8,0)*100,50))+0.25*(IF(E37=0,100,IF(ISNUMBER('Current Inventory'!J37),IF('Current Inventory'!J37&lt;1,100,IF('Current Inventory'!J37&lt;2,75,IF('Current Inventory'!J37&lt;4,40,5))),5))),0)</f>
        <v>51</v>
      </c>
      <c r="L37" s="6" t="str">
        <f t="shared" ref="L37:L54" ca="1" si="1">IF(E37=0,"No stock available",IF(G37&lt;=3,"URGENT - Distribute TODAY",IF(G37&lt;=7,"HIGH - Distribute this week",IF(K37&gt;=70,"PRIORITY - High demand match",IF(H37="CRITICAL LOW","RESTOCK - Low supply alert","STANDARD - Distribute when ready")))))</f>
        <v>STANDARD - Distribute when ready</v>
      </c>
    </row>
    <row r="38" spans="1:12" x14ac:dyDescent="0.35">
      <c r="A38" s="10" t="s">
        <v>122</v>
      </c>
      <c r="B38" s="7" t="s">
        <v>123</v>
      </c>
      <c r="C38" s="7" t="s">
        <v>14</v>
      </c>
      <c r="D38" s="14" t="s">
        <v>33</v>
      </c>
      <c r="E38" s="8">
        <f ca="1">'Current Inventory'!E38</f>
        <v>0</v>
      </c>
      <c r="F38" s="9" t="str">
        <f ca="1">'Current Inventory'!F38</f>
        <v/>
      </c>
      <c r="G38" s="15" t="str">
        <f ca="1">'Current Inventory'!G38</f>
        <v/>
      </c>
      <c r="H38" s="10" t="str">
        <f ca="1">'Current Inventory'!H38</f>
        <v>OUT OF STOCK</v>
      </c>
      <c r="I38" s="7" t="str">
        <f>IFERROR(VLOOKUP(C38,'Demand Weights'!$A:$G,7,0),"Any pantry")</f>
        <v>Oakdale School Family Pantry</v>
      </c>
      <c r="J38" s="8">
        <f ca="1">IFERROR(MIN(E38,MAX(5,ROUND('Current Inventory'!I38*IFERROR(VLOOKUP(C38,'Demand Weights'!$A:$H,8,0),0.5)*1.5,0))),0)</f>
        <v>0</v>
      </c>
      <c r="K38" s="15">
        <f ca="1">ROUND(0.4*(IF(G38="",5,IF(G38&lt;=3,100,IF(G38&lt;=7,75,IF(G38&lt;=14,50,IF(G38&lt;=30,25,5))))))+0.35*(IFERROR(VLOOKUP(C38,'Demand Weights'!$A:$H,8,0)*100,50))+0.25*(IF(E38=0,100,IF(ISNUMBER('Current Inventory'!J38),IF('Current Inventory'!J38&lt;1,100,IF('Current Inventory'!J38&lt;2,75,IF('Current Inventory'!J38&lt;4,40,5))),5))),0)</f>
        <v>57</v>
      </c>
      <c r="L38" s="11" t="str">
        <f t="shared" ca="1" si="1"/>
        <v>No stock available</v>
      </c>
    </row>
    <row r="39" spans="1:12" x14ac:dyDescent="0.35">
      <c r="A39" s="5" t="s">
        <v>125</v>
      </c>
      <c r="B39" s="2" t="s">
        <v>126</v>
      </c>
      <c r="C39" s="2" t="s">
        <v>14</v>
      </c>
      <c r="D39" s="14" t="s">
        <v>33</v>
      </c>
      <c r="E39" s="3">
        <f ca="1">'Current Inventory'!E39</f>
        <v>0</v>
      </c>
      <c r="F39" s="4" t="str">
        <f ca="1">'Current Inventory'!F39</f>
        <v/>
      </c>
      <c r="G39" s="13" t="str">
        <f ca="1">'Current Inventory'!G39</f>
        <v/>
      </c>
      <c r="H39" s="5" t="str">
        <f ca="1">'Current Inventory'!H39</f>
        <v>OUT OF STOCK</v>
      </c>
      <c r="I39" s="2" t="str">
        <f>IFERROR(VLOOKUP(C39,'Demand Weights'!$A:$G,7,0),"Any pantry")</f>
        <v>Oakdale School Family Pantry</v>
      </c>
      <c r="J39" s="3">
        <f ca="1">IFERROR(MIN(E39,MAX(5,ROUND('Current Inventory'!I39*IFERROR(VLOOKUP(C39,'Demand Weights'!$A:$H,8,0),0.5)*1.5,0))),0)</f>
        <v>0</v>
      </c>
      <c r="K39" s="13">
        <f ca="1">ROUND(0.4*(IF(G39="",5,IF(G39&lt;=3,100,IF(G39&lt;=7,75,IF(G39&lt;=14,50,IF(G39&lt;=30,25,5))))))+0.35*(IFERROR(VLOOKUP(C39,'Demand Weights'!$A:$H,8,0)*100,50))+0.25*(IF(E39=0,100,IF(ISNUMBER('Current Inventory'!J39),IF('Current Inventory'!J39&lt;1,100,IF('Current Inventory'!J39&lt;2,75,IF('Current Inventory'!J39&lt;4,40,5))),5))),0)</f>
        <v>57</v>
      </c>
      <c r="L39" s="6" t="str">
        <f t="shared" ca="1" si="1"/>
        <v>No stock available</v>
      </c>
    </row>
    <row r="40" spans="1:12" x14ac:dyDescent="0.35">
      <c r="A40" s="10" t="s">
        <v>128</v>
      </c>
      <c r="B40" s="7" t="s">
        <v>9</v>
      </c>
      <c r="C40" s="7" t="s">
        <v>10</v>
      </c>
      <c r="D40" s="14" t="s">
        <v>33</v>
      </c>
      <c r="E40" s="8">
        <f ca="1">'Current Inventory'!E40</f>
        <v>94</v>
      </c>
      <c r="F40" s="9">
        <f ca="1">'Current Inventory'!F40</f>
        <v>46206</v>
      </c>
      <c r="G40" s="15">
        <f ca="1">'Current Inventory'!G40</f>
        <v>7</v>
      </c>
      <c r="H40" s="10" t="str">
        <f ca="1">'Current Inventory'!H40</f>
        <v>WARNING</v>
      </c>
      <c r="I40" s="7" t="str">
        <f>IFERROR(VLOOKUP(C40,'Demand Weights'!$A:$G,7,0),"Any pantry")</f>
        <v>Oakdale School Family Pantry</v>
      </c>
      <c r="J40" s="8">
        <f ca="1">IFERROR(MIN(E40,MAX(5,ROUND('Current Inventory'!I40*IFERROR(VLOOKUP(C40,'Demand Weights'!$A:$H,8,0),0.5)*1.5,0))),0)</f>
        <v>5</v>
      </c>
      <c r="K40" s="15">
        <f ca="1">ROUND(0.4*(IF(G40="",5,IF(G40&lt;=3,100,IF(G40&lt;=7,75,IF(G40&lt;=14,50,IF(G40&lt;=30,25,5))))))+0.35*(IFERROR(VLOOKUP(C40,'Demand Weights'!$A:$H,8,0)*100,50))+0.25*(IF(E40=0,100,IF(ISNUMBER('Current Inventory'!J40),IF('Current Inventory'!J40&lt;1,100,IF('Current Inventory'!J40&lt;2,75,IF('Current Inventory'!J40&lt;4,40,5))),5))),0)</f>
        <v>65</v>
      </c>
      <c r="L40" s="11" t="str">
        <f t="shared" ca="1" si="1"/>
        <v>HIGH - Distribute this week</v>
      </c>
    </row>
    <row r="41" spans="1:12" x14ac:dyDescent="0.35">
      <c r="A41" s="5" t="s">
        <v>130</v>
      </c>
      <c r="B41" s="2" t="s">
        <v>16</v>
      </c>
      <c r="C41" s="2" t="s">
        <v>10</v>
      </c>
      <c r="D41" s="14" t="s">
        <v>33</v>
      </c>
      <c r="E41" s="3">
        <f ca="1">'Current Inventory'!E41</f>
        <v>0</v>
      </c>
      <c r="F41" s="4" t="str">
        <f ca="1">'Current Inventory'!F41</f>
        <v/>
      </c>
      <c r="G41" s="13" t="str">
        <f ca="1">'Current Inventory'!G41</f>
        <v/>
      </c>
      <c r="H41" s="5" t="str">
        <f ca="1">'Current Inventory'!H41</f>
        <v>OUT OF STOCK</v>
      </c>
      <c r="I41" s="2" t="str">
        <f>IFERROR(VLOOKUP(C41,'Demand Weights'!$A:$G,7,0),"Any pantry")</f>
        <v>Oakdale School Family Pantry</v>
      </c>
      <c r="J41" s="3">
        <f ca="1">IFERROR(MIN(E41,MAX(5,ROUND('Current Inventory'!I41*IFERROR(VLOOKUP(C41,'Demand Weights'!$A:$H,8,0),0.5)*1.5,0))),0)</f>
        <v>0</v>
      </c>
      <c r="K41" s="13">
        <f ca="1">ROUND(0.4*(IF(G41="",5,IF(G41&lt;=3,100,IF(G41&lt;=7,75,IF(G41&lt;=14,50,IF(G41&lt;=30,25,5))))))+0.35*(IFERROR(VLOOKUP(C41,'Demand Weights'!$A:$H,8,0)*100,50))+0.25*(IF(E41=0,100,IF(ISNUMBER('Current Inventory'!J41),IF('Current Inventory'!J41&lt;1,100,IF('Current Inventory'!J41&lt;2,75,IF('Current Inventory'!J41&lt;4,40,5))),5))),0)</f>
        <v>60</v>
      </c>
      <c r="L41" s="6" t="str">
        <f t="shared" ca="1" si="1"/>
        <v>No stock available</v>
      </c>
    </row>
    <row r="42" spans="1:12" x14ac:dyDescent="0.35">
      <c r="A42" s="10" t="s">
        <v>132</v>
      </c>
      <c r="B42" s="7" t="s">
        <v>133</v>
      </c>
      <c r="C42" s="7" t="s">
        <v>10</v>
      </c>
      <c r="D42" s="12" t="s">
        <v>45</v>
      </c>
      <c r="E42" s="8">
        <f ca="1">'Current Inventory'!E42</f>
        <v>169</v>
      </c>
      <c r="F42" s="9">
        <f ca="1">'Current Inventory'!F42</f>
        <v>46204</v>
      </c>
      <c r="G42" s="15">
        <f ca="1">'Current Inventory'!G42</f>
        <v>5</v>
      </c>
      <c r="H42" s="10" t="str">
        <f ca="1">'Current Inventory'!H42</f>
        <v>WARNING</v>
      </c>
      <c r="I42" s="7" t="str">
        <f>IFERROR(VLOOKUP(C42,'Demand Weights'!$A:$G,7,0),"Any pantry")</f>
        <v>Oakdale School Family Pantry</v>
      </c>
      <c r="J42" s="8">
        <f ca="1">IFERROR(MIN(E42,MAX(5,ROUND('Current Inventory'!I42*IFERROR(VLOOKUP(C42,'Demand Weights'!$A:$H,8,0),0.5)*1.5,0))),0)</f>
        <v>5</v>
      </c>
      <c r="K42" s="15">
        <f ca="1">ROUND(0.4*(IF(G42="",5,IF(G42&lt;=3,100,IF(G42&lt;=7,75,IF(G42&lt;=14,50,IF(G42&lt;=30,25,5))))))+0.35*(IFERROR(VLOOKUP(C42,'Demand Weights'!$A:$H,8,0)*100,50))+0.25*(IF(E42=0,100,IF(ISNUMBER('Current Inventory'!J42),IF('Current Inventory'!J42&lt;1,100,IF('Current Inventory'!J42&lt;2,75,IF('Current Inventory'!J42&lt;4,40,5))),5))),0)</f>
        <v>65</v>
      </c>
      <c r="L42" s="11" t="str">
        <f t="shared" ca="1" si="1"/>
        <v>HIGH - Distribute this week</v>
      </c>
    </row>
    <row r="43" spans="1:12" x14ac:dyDescent="0.35">
      <c r="A43" s="5" t="s">
        <v>135</v>
      </c>
      <c r="B43" s="2" t="s">
        <v>5</v>
      </c>
      <c r="C43" s="2" t="s">
        <v>6</v>
      </c>
      <c r="D43" s="14" t="s">
        <v>33</v>
      </c>
      <c r="E43" s="3">
        <f ca="1">'Current Inventory'!E43</f>
        <v>0</v>
      </c>
      <c r="F43" s="4" t="str">
        <f ca="1">'Current Inventory'!F43</f>
        <v/>
      </c>
      <c r="G43" s="13" t="str">
        <f ca="1">'Current Inventory'!G43</f>
        <v/>
      </c>
      <c r="H43" s="5" t="str">
        <f ca="1">'Current Inventory'!H43</f>
        <v>OUT OF STOCK</v>
      </c>
      <c r="I43" s="2" t="str">
        <f>IFERROR(VLOOKUP(C43,'Demand Weights'!$A:$G,7,0),"Any pantry")</f>
        <v>St. Augustine's Shelter Pantry</v>
      </c>
      <c r="J43" s="3">
        <f ca="1">IFERROR(MIN(E43,MAX(5,ROUND('Current Inventory'!I43*IFERROR(VLOOKUP(C43,'Demand Weights'!$A:$H,8,0),0.5)*1.5,0))),0)</f>
        <v>0</v>
      </c>
      <c r="K43" s="13">
        <f ca="1">ROUND(0.4*(IF(G43="",5,IF(G43&lt;=3,100,IF(G43&lt;=7,75,IF(G43&lt;=14,50,IF(G43&lt;=30,25,5))))))+0.35*(IFERROR(VLOOKUP(C43,'Demand Weights'!$A:$H,8,0)*100,50))+0.25*(IF(E43=0,100,IF(ISNUMBER('Current Inventory'!J43),IF('Current Inventory'!J43&lt;1,100,IF('Current Inventory'!J43&lt;2,75,IF('Current Inventory'!J43&lt;4,40,5))),5))),0)</f>
        <v>62</v>
      </c>
      <c r="L43" s="6" t="str">
        <f t="shared" ca="1" si="1"/>
        <v>No stock available</v>
      </c>
    </row>
    <row r="44" spans="1:12" x14ac:dyDescent="0.35">
      <c r="A44" s="10" t="s">
        <v>137</v>
      </c>
      <c r="B44" s="7" t="s">
        <v>15</v>
      </c>
      <c r="C44" s="7" t="s">
        <v>6</v>
      </c>
      <c r="D44" s="14" t="s">
        <v>33</v>
      </c>
      <c r="E44" s="8">
        <f ca="1">'Current Inventory'!E44</f>
        <v>0</v>
      </c>
      <c r="F44" s="9" t="str">
        <f ca="1">'Current Inventory'!F44</f>
        <v/>
      </c>
      <c r="G44" s="15" t="str">
        <f ca="1">'Current Inventory'!G44</f>
        <v/>
      </c>
      <c r="H44" s="10" t="str">
        <f ca="1">'Current Inventory'!H44</f>
        <v>OUT OF STOCK</v>
      </c>
      <c r="I44" s="7" t="str">
        <f>IFERROR(VLOOKUP(C44,'Demand Weights'!$A:$G,7,0),"Any pantry")</f>
        <v>St. Augustine's Shelter Pantry</v>
      </c>
      <c r="J44" s="8">
        <f ca="1">IFERROR(MIN(E44,MAX(5,ROUND('Current Inventory'!I44*IFERROR(VLOOKUP(C44,'Demand Weights'!$A:$H,8,0),0.5)*1.5,0))),0)</f>
        <v>0</v>
      </c>
      <c r="K44" s="15">
        <f ca="1">ROUND(0.4*(IF(G44="",5,IF(G44&lt;=3,100,IF(G44&lt;=7,75,IF(G44&lt;=14,50,IF(G44&lt;=30,25,5))))))+0.35*(IFERROR(VLOOKUP(C44,'Demand Weights'!$A:$H,8,0)*100,50))+0.25*(IF(E44=0,100,IF(ISNUMBER('Current Inventory'!J44),IF('Current Inventory'!J44&lt;1,100,IF('Current Inventory'!J44&lt;2,75,IF('Current Inventory'!J44&lt;4,40,5))),5))),0)</f>
        <v>62</v>
      </c>
      <c r="L44" s="11" t="str">
        <f t="shared" ca="1" si="1"/>
        <v>No stock available</v>
      </c>
    </row>
    <row r="45" spans="1:12" x14ac:dyDescent="0.35">
      <c r="A45" s="5" t="s">
        <v>138</v>
      </c>
      <c r="B45" s="2" t="s">
        <v>139</v>
      </c>
      <c r="C45" s="2" t="s">
        <v>6</v>
      </c>
      <c r="D45" s="12" t="s">
        <v>45</v>
      </c>
      <c r="E45" s="3">
        <f ca="1">'Current Inventory'!E45</f>
        <v>268</v>
      </c>
      <c r="F45" s="4">
        <f ca="1">'Current Inventory'!F45</f>
        <v>46203</v>
      </c>
      <c r="G45" s="13">
        <f ca="1">'Current Inventory'!G45</f>
        <v>4</v>
      </c>
      <c r="H45" s="5" t="str">
        <f ca="1">'Current Inventory'!H45</f>
        <v>WARNING</v>
      </c>
      <c r="I45" s="2" t="str">
        <f>IFERROR(VLOOKUP(C45,'Demand Weights'!$A:$G,7,0),"Any pantry")</f>
        <v>St. Augustine's Shelter Pantry</v>
      </c>
      <c r="J45" s="3">
        <f ca="1">IFERROR(MIN(E45,MAX(5,ROUND('Current Inventory'!I45*IFERROR(VLOOKUP(C45,'Demand Weights'!$A:$H,8,0),0.5)*1.5,0))),0)</f>
        <v>5</v>
      </c>
      <c r="K45" s="13">
        <f ca="1">ROUND(0.4*(IF(G45="",5,IF(G45&lt;=3,100,IF(G45&lt;=7,75,IF(G45&lt;=14,50,IF(G45&lt;=30,25,5))))))+0.35*(IFERROR(VLOOKUP(C45,'Demand Weights'!$A:$H,8,0)*100,50))+0.25*(IF(E45=0,100,IF(ISNUMBER('Current Inventory'!J45),IF('Current Inventory'!J45&lt;1,100,IF('Current Inventory'!J45&lt;2,75,IF('Current Inventory'!J45&lt;4,40,5))),5))),0)</f>
        <v>66</v>
      </c>
      <c r="L45" s="6" t="str">
        <f t="shared" ca="1" si="1"/>
        <v>HIGH - Distribute this week</v>
      </c>
    </row>
    <row r="46" spans="1:12" x14ac:dyDescent="0.35">
      <c r="A46" s="10" t="s">
        <v>141</v>
      </c>
      <c r="B46" s="7" t="s">
        <v>142</v>
      </c>
      <c r="C46" s="7" t="s">
        <v>8</v>
      </c>
      <c r="D46" s="12" t="s">
        <v>45</v>
      </c>
      <c r="E46" s="8">
        <f ca="1">'Current Inventory'!E46</f>
        <v>275</v>
      </c>
      <c r="F46" s="9">
        <f ca="1">'Current Inventory'!F46</f>
        <v>46202</v>
      </c>
      <c r="G46" s="15">
        <f ca="1">'Current Inventory'!G46</f>
        <v>3</v>
      </c>
      <c r="H46" s="10" t="str">
        <f ca="1">'Current Inventory'!H46</f>
        <v>CRITICAL</v>
      </c>
      <c r="I46" s="7" t="str">
        <f>IFERROR(VLOOKUP(C46,'Demand Weights'!$A:$G,7,0),"Any pantry")</f>
        <v>Oakdale School Family Pantry</v>
      </c>
      <c r="J46" s="8">
        <f ca="1">IFERROR(MIN(E46,MAX(5,ROUND('Current Inventory'!I46*IFERROR(VLOOKUP(C46,'Demand Weights'!$A:$H,8,0),0.5)*1.5,0))),0)</f>
        <v>5</v>
      </c>
      <c r="K46" s="15">
        <f ca="1">ROUND(0.4*(IF(G46="",5,IF(G46&lt;=3,100,IF(G46&lt;=7,75,IF(G46&lt;=14,50,IF(G46&lt;=30,25,5))))))+0.35*(IFERROR(VLOOKUP(C46,'Demand Weights'!$A:$H,8,0)*100,50))+0.25*(IF(E46=0,100,IF(ISNUMBER('Current Inventory'!J46),IF('Current Inventory'!J46&lt;1,100,IF('Current Inventory'!J46&lt;2,75,IF('Current Inventory'!J46&lt;4,40,5))),5))),0)</f>
        <v>73</v>
      </c>
      <c r="L46" s="11" t="str">
        <f t="shared" ca="1" si="1"/>
        <v>URGENT - Distribute TODAY</v>
      </c>
    </row>
    <row r="47" spans="1:12" x14ac:dyDescent="0.35">
      <c r="A47" s="5" t="s">
        <v>144</v>
      </c>
      <c r="B47" s="2" t="s">
        <v>7</v>
      </c>
      <c r="C47" s="2" t="s">
        <v>8</v>
      </c>
      <c r="D47" s="12" t="s">
        <v>45</v>
      </c>
      <c r="E47" s="3">
        <f ca="1">'Current Inventory'!E47</f>
        <v>0</v>
      </c>
      <c r="F47" s="4" t="str">
        <f ca="1">'Current Inventory'!F47</f>
        <v/>
      </c>
      <c r="G47" s="13" t="str">
        <f ca="1">'Current Inventory'!G47</f>
        <v/>
      </c>
      <c r="H47" s="5" t="str">
        <f ca="1">'Current Inventory'!H47</f>
        <v>OUT OF STOCK</v>
      </c>
      <c r="I47" s="2" t="str">
        <f>IFERROR(VLOOKUP(C47,'Demand Weights'!$A:$G,7,0),"Any pantry")</f>
        <v>Oakdale School Family Pantry</v>
      </c>
      <c r="J47" s="3">
        <f ca="1">IFERROR(MIN(E47,MAX(5,ROUND('Current Inventory'!I47*IFERROR(VLOOKUP(C47,'Demand Weights'!$A:$H,8,0),0.5)*1.5,0))),0)</f>
        <v>0</v>
      </c>
      <c r="K47" s="13">
        <f ca="1">ROUND(0.4*(IF(G47="",5,IF(G47&lt;=3,100,IF(G47&lt;=7,75,IF(G47&lt;=14,50,IF(G47&lt;=30,25,5))))))+0.35*(IFERROR(VLOOKUP(C47,'Demand Weights'!$A:$H,8,0)*100,50))+0.25*(IF(E47=0,100,IF(ISNUMBER('Current Inventory'!J47),IF('Current Inventory'!J47&lt;1,100,IF('Current Inventory'!J47&lt;2,75,IF('Current Inventory'!J47&lt;4,40,5))),5))),0)</f>
        <v>59</v>
      </c>
      <c r="L47" s="6" t="str">
        <f t="shared" ca="1" si="1"/>
        <v>No stock available</v>
      </c>
    </row>
    <row r="48" spans="1:12" x14ac:dyDescent="0.35">
      <c r="A48" s="10" t="s">
        <v>146</v>
      </c>
      <c r="B48" s="7" t="s">
        <v>147</v>
      </c>
      <c r="C48" s="7" t="s">
        <v>8</v>
      </c>
      <c r="D48" s="12" t="s">
        <v>45</v>
      </c>
      <c r="E48" s="8">
        <f ca="1">'Current Inventory'!E48</f>
        <v>160</v>
      </c>
      <c r="F48" s="9">
        <f ca="1">'Current Inventory'!F48</f>
        <v>46201</v>
      </c>
      <c r="G48" s="15">
        <f ca="1">'Current Inventory'!G48</f>
        <v>2</v>
      </c>
      <c r="H48" s="10" t="str">
        <f ca="1">'Current Inventory'!H48</f>
        <v>CRITICAL</v>
      </c>
      <c r="I48" s="7" t="str">
        <f>IFERROR(VLOOKUP(C48,'Demand Weights'!$A:$G,7,0),"Any pantry")</f>
        <v>Oakdale School Family Pantry</v>
      </c>
      <c r="J48" s="8">
        <f ca="1">IFERROR(MIN(E48,MAX(5,ROUND('Current Inventory'!I48*IFERROR(VLOOKUP(C48,'Demand Weights'!$A:$H,8,0),0.5)*1.5,0))),0)</f>
        <v>8</v>
      </c>
      <c r="K48" s="15">
        <f ca="1">ROUND(0.4*(IF(G48="",5,IF(G48&lt;=3,100,IF(G48&lt;=7,75,IF(G48&lt;=14,50,IF(G48&lt;=30,25,5))))))+0.35*(IFERROR(VLOOKUP(C48,'Demand Weights'!$A:$H,8,0)*100,50))+0.25*(IF(E48=0,100,IF(ISNUMBER('Current Inventory'!J48),IF('Current Inventory'!J48&lt;1,100,IF('Current Inventory'!J48&lt;2,75,IF('Current Inventory'!J48&lt;4,40,5))),5))),0)</f>
        <v>73</v>
      </c>
      <c r="L48" s="11" t="str">
        <f t="shared" ca="1" si="1"/>
        <v>URGENT - Distribute TODAY</v>
      </c>
    </row>
    <row r="49" spans="1:12" x14ac:dyDescent="0.35">
      <c r="A49" s="5" t="s">
        <v>149</v>
      </c>
      <c r="B49" s="2" t="s">
        <v>150</v>
      </c>
      <c r="C49" s="2" t="s">
        <v>8</v>
      </c>
      <c r="D49" s="14" t="s">
        <v>33</v>
      </c>
      <c r="E49" s="3">
        <f ca="1">'Current Inventory'!E49</f>
        <v>0</v>
      </c>
      <c r="F49" s="4" t="str">
        <f ca="1">'Current Inventory'!F49</f>
        <v/>
      </c>
      <c r="G49" s="13" t="str">
        <f ca="1">'Current Inventory'!G49</f>
        <v/>
      </c>
      <c r="H49" s="5" t="str">
        <f ca="1">'Current Inventory'!H49</f>
        <v>OUT OF STOCK</v>
      </c>
      <c r="I49" s="2" t="str">
        <f>IFERROR(VLOOKUP(C49,'Demand Weights'!$A:$G,7,0),"Any pantry")</f>
        <v>Oakdale School Family Pantry</v>
      </c>
      <c r="J49" s="3">
        <f ca="1">IFERROR(MIN(E49,MAX(5,ROUND('Current Inventory'!I49*IFERROR(VLOOKUP(C49,'Demand Weights'!$A:$H,8,0),0.5)*1.5,0))),0)</f>
        <v>0</v>
      </c>
      <c r="K49" s="13">
        <f ca="1">ROUND(0.4*(IF(G49="",5,IF(G49&lt;=3,100,IF(G49&lt;=7,75,IF(G49&lt;=14,50,IF(G49&lt;=30,25,5))))))+0.35*(IFERROR(VLOOKUP(C49,'Demand Weights'!$A:$H,8,0)*100,50))+0.25*(IF(E49=0,100,IF(ISNUMBER('Current Inventory'!J49),IF('Current Inventory'!J49&lt;1,100,IF('Current Inventory'!J49&lt;2,75,IF('Current Inventory'!J49&lt;4,40,5))),5))),0)</f>
        <v>59</v>
      </c>
      <c r="L49" s="6" t="str">
        <f t="shared" ca="1" si="1"/>
        <v>No stock available</v>
      </c>
    </row>
    <row r="50" spans="1:12" x14ac:dyDescent="0.35">
      <c r="A50" s="10" t="s">
        <v>151</v>
      </c>
      <c r="B50" s="7" t="s">
        <v>152</v>
      </c>
      <c r="C50" s="7" t="s">
        <v>8</v>
      </c>
      <c r="D50" s="12" t="s">
        <v>45</v>
      </c>
      <c r="E50" s="8">
        <f ca="1">'Current Inventory'!E50</f>
        <v>541</v>
      </c>
      <c r="F50" s="9">
        <f ca="1">'Current Inventory'!F50</f>
        <v>46200</v>
      </c>
      <c r="G50" s="15">
        <f ca="1">'Current Inventory'!G50</f>
        <v>1</v>
      </c>
      <c r="H50" s="10" t="str">
        <f ca="1">'Current Inventory'!H50</f>
        <v>CRITICAL</v>
      </c>
      <c r="I50" s="7" t="str">
        <f>IFERROR(VLOOKUP(C50,'Demand Weights'!$A:$G,7,0),"Any pantry")</f>
        <v>Oakdale School Family Pantry</v>
      </c>
      <c r="J50" s="8">
        <f ca="1">IFERROR(MIN(E50,MAX(5,ROUND('Current Inventory'!I50*IFERROR(VLOOKUP(C50,'Demand Weights'!$A:$H,8,0),0.5)*1.5,0))),0)</f>
        <v>8</v>
      </c>
      <c r="K50" s="15">
        <f ca="1">ROUND(0.4*(IF(G50="",5,IF(G50&lt;=3,100,IF(G50&lt;=7,75,IF(G50&lt;=14,50,IF(G50&lt;=30,25,5))))))+0.35*(IFERROR(VLOOKUP(C50,'Demand Weights'!$A:$H,8,0)*100,50))+0.25*(IF(E50=0,100,IF(ISNUMBER('Current Inventory'!J50),IF('Current Inventory'!J50&lt;1,100,IF('Current Inventory'!J50&lt;2,75,IF('Current Inventory'!J50&lt;4,40,5))),5))),0)</f>
        <v>73</v>
      </c>
      <c r="L50" s="11" t="str">
        <f t="shared" ca="1" si="1"/>
        <v>URGENT - Distribute TODAY</v>
      </c>
    </row>
    <row r="51" spans="1:12" x14ac:dyDescent="0.35">
      <c r="A51" s="5" t="s">
        <v>153</v>
      </c>
      <c r="B51" s="2" t="s">
        <v>154</v>
      </c>
      <c r="C51" s="2" t="s">
        <v>12</v>
      </c>
      <c r="D51" s="12" t="s">
        <v>45</v>
      </c>
      <c r="E51" s="3">
        <f ca="1">'Current Inventory'!E51</f>
        <v>0</v>
      </c>
      <c r="F51" s="4" t="str">
        <f ca="1">'Current Inventory'!F51</f>
        <v/>
      </c>
      <c r="G51" s="13" t="str">
        <f ca="1">'Current Inventory'!G51</f>
        <v/>
      </c>
      <c r="H51" s="5" t="str">
        <f ca="1">'Current Inventory'!H51</f>
        <v>OUT OF STOCK</v>
      </c>
      <c r="I51" s="2" t="str">
        <f>IFERROR(VLOOKUP(C51,'Demand Weights'!$A:$G,7,0),"Any pantry")</f>
        <v>St. Augustine's Shelter Pantry</v>
      </c>
      <c r="J51" s="3">
        <f ca="1">IFERROR(MIN(E51,MAX(5,ROUND('Current Inventory'!I51*IFERROR(VLOOKUP(C51,'Demand Weights'!$A:$H,8,0),0.5)*1.5,0))),0)</f>
        <v>0</v>
      </c>
      <c r="K51" s="13">
        <f ca="1">ROUND(0.4*(IF(G51="",5,IF(G51&lt;=3,100,IF(G51&lt;=7,75,IF(G51&lt;=14,50,IF(G51&lt;=30,25,5))))))+0.35*(IFERROR(VLOOKUP(C51,'Demand Weights'!$A:$H,8,0)*100,50))+0.25*(IF(E51=0,100,IF(ISNUMBER('Current Inventory'!J51),IF('Current Inventory'!J51&lt;1,100,IF('Current Inventory'!J51&lt;2,75,IF('Current Inventory'!J51&lt;4,40,5))),5))),0)</f>
        <v>59</v>
      </c>
      <c r="L51" s="6" t="str">
        <f t="shared" ca="1" si="1"/>
        <v>No stock available</v>
      </c>
    </row>
    <row r="52" spans="1:12" x14ac:dyDescent="0.35">
      <c r="A52" s="10" t="s">
        <v>156</v>
      </c>
      <c r="B52" s="7" t="s">
        <v>11</v>
      </c>
      <c r="C52" s="7" t="s">
        <v>12</v>
      </c>
      <c r="D52" s="12" t="s">
        <v>45</v>
      </c>
      <c r="E52" s="8">
        <f ca="1">'Current Inventory'!E52</f>
        <v>83</v>
      </c>
      <c r="F52" s="9">
        <f ca="1">'Current Inventory'!F52</f>
        <v>46209</v>
      </c>
      <c r="G52" s="15">
        <f ca="1">'Current Inventory'!G52</f>
        <v>10</v>
      </c>
      <c r="H52" s="10" t="str">
        <f ca="1">'Current Inventory'!H52</f>
        <v>NOTICE</v>
      </c>
      <c r="I52" s="7" t="str">
        <f>IFERROR(VLOOKUP(C52,'Demand Weights'!$A:$G,7,0),"Any pantry")</f>
        <v>St. Augustine's Shelter Pantry</v>
      </c>
      <c r="J52" s="8">
        <f ca="1">IFERROR(MIN(E52,MAX(5,ROUND('Current Inventory'!I52*IFERROR(VLOOKUP(C52,'Demand Weights'!$A:$H,8,0),0.5)*1.5,0))),0)</f>
        <v>5</v>
      </c>
      <c r="K52" s="15">
        <f ca="1">ROUND(0.4*(IF(G52="",5,IF(G52&lt;=3,100,IF(G52&lt;=7,75,IF(G52&lt;=14,50,IF(G52&lt;=30,25,5))))))+0.35*(IFERROR(VLOOKUP(C52,'Demand Weights'!$A:$H,8,0)*100,50))+0.25*(IF(E52=0,100,IF(ISNUMBER('Current Inventory'!J52),IF('Current Inventory'!J52&lt;1,100,IF('Current Inventory'!J52&lt;2,75,IF('Current Inventory'!J52&lt;4,40,5))),5))),0)</f>
        <v>53</v>
      </c>
      <c r="L52" s="11" t="str">
        <f t="shared" ca="1" si="1"/>
        <v>STANDARD - Distribute when ready</v>
      </c>
    </row>
    <row r="53" spans="1:12" x14ac:dyDescent="0.35">
      <c r="A53" s="5" t="s">
        <v>157</v>
      </c>
      <c r="B53" s="2" t="s">
        <v>158</v>
      </c>
      <c r="C53" s="2" t="s">
        <v>159</v>
      </c>
      <c r="D53" s="12" t="s">
        <v>45</v>
      </c>
      <c r="E53" s="3">
        <f ca="1">'Current Inventory'!E53</f>
        <v>0</v>
      </c>
      <c r="F53" s="4" t="str">
        <f ca="1">'Current Inventory'!F53</f>
        <v/>
      </c>
      <c r="G53" s="13" t="str">
        <f ca="1">'Current Inventory'!G53</f>
        <v/>
      </c>
      <c r="H53" s="5" t="str">
        <f ca="1">'Current Inventory'!H53</f>
        <v>OUT OF STOCK</v>
      </c>
      <c r="I53" s="2" t="str">
        <f>IFERROR(VLOOKUP(C53,'Demand Weights'!$A:$G,7,0),"Any pantry")</f>
        <v>Riverside Community Pantry</v>
      </c>
      <c r="J53" s="3">
        <f ca="1">IFERROR(MIN(E53,MAX(5,ROUND('Current Inventory'!I53*IFERROR(VLOOKUP(C53,'Demand Weights'!$A:$H,8,0),0.5)*1.5,0))),0)</f>
        <v>0</v>
      </c>
      <c r="K53" s="13">
        <f ca="1">ROUND(0.4*(IF(G53="",5,IF(G53&lt;=3,100,IF(G53&lt;=7,75,IF(G53&lt;=14,50,IF(G53&lt;=30,25,5))))))+0.35*(IFERROR(VLOOKUP(C53,'Demand Weights'!$A:$H,8,0)*100,50))+0.25*(IF(E53=0,100,IF(ISNUMBER('Current Inventory'!J53),IF('Current Inventory'!J53&lt;1,100,IF('Current Inventory'!J53&lt;2,75,IF('Current Inventory'!J53&lt;4,40,5))),5))),0)</f>
        <v>55</v>
      </c>
      <c r="L53" s="6" t="str">
        <f t="shared" ca="1" si="1"/>
        <v>No stock available</v>
      </c>
    </row>
    <row r="54" spans="1:12" x14ac:dyDescent="0.35">
      <c r="A54" s="10" t="s">
        <v>161</v>
      </c>
      <c r="B54" s="7" t="s">
        <v>162</v>
      </c>
      <c r="C54" s="7" t="s">
        <v>159</v>
      </c>
      <c r="D54" s="12" t="s">
        <v>45</v>
      </c>
      <c r="E54" s="8">
        <f ca="1">'Current Inventory'!E54</f>
        <v>0</v>
      </c>
      <c r="F54" s="9" t="str">
        <f ca="1">'Current Inventory'!F54</f>
        <v/>
      </c>
      <c r="G54" s="15" t="str">
        <f ca="1">'Current Inventory'!G54</f>
        <v/>
      </c>
      <c r="H54" s="10" t="str">
        <f ca="1">'Current Inventory'!H54</f>
        <v>OUT OF STOCK</v>
      </c>
      <c r="I54" s="7" t="str">
        <f>IFERROR(VLOOKUP(C54,'Demand Weights'!$A:$G,7,0),"Any pantry")</f>
        <v>Riverside Community Pantry</v>
      </c>
      <c r="J54" s="8">
        <f ca="1">IFERROR(MIN(E54,MAX(5,ROUND('Current Inventory'!I54*IFERROR(VLOOKUP(C54,'Demand Weights'!$A:$H,8,0),0.5)*1.5,0))),0)</f>
        <v>0</v>
      </c>
      <c r="K54" s="15">
        <f ca="1">ROUND(0.4*(IF(G54="",5,IF(G54&lt;=3,100,IF(G54&lt;=7,75,IF(G54&lt;=14,50,IF(G54&lt;=30,25,5))))))+0.35*(IFERROR(VLOOKUP(C54,'Demand Weights'!$A:$H,8,0)*100,50))+0.25*(IF(E54=0,100,IF(ISNUMBER('Current Inventory'!J54),IF('Current Inventory'!J54&lt;1,100,IF('Current Inventory'!J54&lt;2,75,IF('Current Inventory'!J54&lt;4,40,5))),5))),0)</f>
        <v>55</v>
      </c>
      <c r="L54" s="11" t="str">
        <f t="shared" ca="1" si="1"/>
        <v>No stock available</v>
      </c>
    </row>
  </sheetData>
  <autoFilter ref="A4:L54" xr:uid="{00000000-0009-0000-0000-000002000000}"/>
  <mergeCells count="2">
    <mergeCell ref="A2:L2"/>
    <mergeCell ref="A1:L1"/>
  </mergeCells>
  <conditionalFormatting sqref="H5:H54">
    <cfRule type="cellIs" dxfId="15" priority="1" operator="equal">
      <formula>"CRITICAL"</formula>
    </cfRule>
    <cfRule type="cellIs" dxfId="14" priority="2" operator="equal">
      <formula>"WARNING"</formula>
    </cfRule>
    <cfRule type="cellIs" dxfId="13" priority="3" operator="equal">
      <formula>"NOTICE"</formula>
    </cfRule>
    <cfRule type="cellIs" dxfId="12" priority="4" operator="equal">
      <formula>"OK"</formula>
    </cfRule>
    <cfRule type="cellIs" dxfId="11" priority="5" operator="equal">
      <formula>"EXPIRED"</formula>
    </cfRule>
  </conditionalFormatting>
  <conditionalFormatting sqref="K5:K54">
    <cfRule type="cellIs" dxfId="10" priority="6" operator="greaterThanOrEqual">
      <formula>80</formula>
    </cfRule>
    <cfRule type="cellIs" dxfId="9" priority="7" operator="between">
      <formula>60</formula>
      <formula>79</formula>
    </cfRule>
    <cfRule type="cellIs" dxfId="8" priority="8" operator="between">
      <formula>40</formula>
      <formula>59</formula>
    </cfRule>
  </conditionalFormatting>
  <conditionalFormatting sqref="L5:L54">
    <cfRule type="cellIs" dxfId="7" priority="9" operator="equal">
      <formula>"URGENT - Distribute TODAY"</formula>
    </cfRule>
    <cfRule type="cellIs" dxfId="6" priority="10" operator="equal">
      <formula>"HIGH - Distribute this week"</formula>
    </cfRule>
    <cfRule type="cellIs" dxfId="5" priority="11" operator="equal">
      <formula>"PRIORITY - High demand match"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12"/>
  <sheetViews>
    <sheetView showGridLines="0" workbookViewId="0">
      <pane ySplit="4" topLeftCell="A5" activePane="bottomLeft" state="frozen"/>
      <selection pane="bottomLeft" activeCell="O18" sqref="O18"/>
    </sheetView>
  </sheetViews>
  <sheetFormatPr defaultRowHeight="14.5" x14ac:dyDescent="0.35"/>
  <cols>
    <col min="1" max="1" width="13" customWidth="1"/>
    <col min="2" max="2" width="12" customWidth="1"/>
    <col min="3" max="3" width="10" customWidth="1"/>
    <col min="4" max="4" width="28" customWidth="1"/>
    <col min="5" max="5" width="22" customWidth="1"/>
    <col min="6" max="6" width="16" customWidth="1"/>
    <col min="7" max="7" width="14.36328125" customWidth="1"/>
    <col min="8" max="8" width="16.26953125" style="64" customWidth="1"/>
    <col min="9" max="9" width="17.453125" customWidth="1"/>
    <col min="10" max="10" width="14.1796875" customWidth="1"/>
    <col min="11" max="11" width="20" customWidth="1"/>
    <col min="12" max="12" width="22" customWidth="1"/>
  </cols>
  <sheetData>
    <row r="1" spans="1:12" ht="38" customHeight="1" x14ac:dyDescent="0.35">
      <c r="A1" s="78" t="s">
        <v>167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0" customHeight="1" x14ac:dyDescent="0.35">
      <c r="A2" s="76" t="s">
        <v>168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6" customHeight="1" x14ac:dyDescent="0.35"/>
    <row r="4" spans="1:12" ht="28" customHeight="1" x14ac:dyDescent="0.35">
      <c r="A4" s="31" t="s">
        <v>169</v>
      </c>
      <c r="B4" s="32" t="s">
        <v>170</v>
      </c>
      <c r="C4" s="32" t="s">
        <v>22</v>
      </c>
      <c r="D4" s="32" t="s">
        <v>0</v>
      </c>
      <c r="E4" s="32" t="s">
        <v>1</v>
      </c>
      <c r="F4" s="32" t="s">
        <v>23</v>
      </c>
      <c r="G4" s="32" t="s">
        <v>171</v>
      </c>
      <c r="H4" s="65" t="s">
        <v>172</v>
      </c>
      <c r="I4" s="32" t="s">
        <v>24</v>
      </c>
      <c r="J4" s="32" t="s">
        <v>18</v>
      </c>
      <c r="K4" s="32" t="s">
        <v>173</v>
      </c>
      <c r="L4" s="33" t="s">
        <v>174</v>
      </c>
    </row>
    <row r="5" spans="1:12" x14ac:dyDescent="0.35">
      <c r="A5" s="34" t="str">
        <f t="shared" ref="A5:A68" si="0">IF(G5="","","DON-"&amp;TEXT(ROW()-4,"0000"))</f>
        <v>DON-0001</v>
      </c>
      <c r="B5" s="35">
        <v>45833</v>
      </c>
      <c r="C5" s="36" t="s">
        <v>156</v>
      </c>
      <c r="D5" s="36" t="s">
        <v>11</v>
      </c>
      <c r="E5" s="36" t="s">
        <v>12</v>
      </c>
      <c r="F5" s="36" t="s">
        <v>155</v>
      </c>
      <c r="G5" s="37">
        <v>9</v>
      </c>
      <c r="H5" s="66">
        <v>45838</v>
      </c>
      <c r="I5" s="38">
        <f t="shared" ref="I5:I68" ca="1" si="1">IF(H5="","",H5-TODAY())</f>
        <v>-361</v>
      </c>
      <c r="J5" s="38" t="str">
        <f t="shared" ref="J5:J68" ca="1" si="2">IF(I5="","",IF(I5&lt;=0,"EXPIRED",IF(I5&lt;=3,"CRITICAL",IF(I5&lt;=7,"WARNING",IF(I5&lt;=30,"NOTICE","OK")))))</f>
        <v>EXPIRED</v>
      </c>
      <c r="K5" s="36" t="s">
        <v>175</v>
      </c>
      <c r="L5" s="39"/>
    </row>
    <row r="6" spans="1:12" x14ac:dyDescent="0.35">
      <c r="A6" s="34" t="str">
        <f t="shared" si="0"/>
        <v>DON-0002</v>
      </c>
      <c r="B6" s="35">
        <v>45833</v>
      </c>
      <c r="C6" s="36" t="s">
        <v>48</v>
      </c>
      <c r="D6" s="36" t="s">
        <v>49</v>
      </c>
      <c r="E6" s="36" t="s">
        <v>31</v>
      </c>
      <c r="F6" s="36" t="s">
        <v>50</v>
      </c>
      <c r="G6" s="37">
        <v>37</v>
      </c>
      <c r="H6" s="66">
        <v>46083</v>
      </c>
      <c r="I6" s="38">
        <f t="shared" ca="1" si="1"/>
        <v>-116</v>
      </c>
      <c r="J6" s="38" t="str">
        <f t="shared" ca="1" si="2"/>
        <v>EXPIRED</v>
      </c>
      <c r="K6" s="36" t="s">
        <v>175</v>
      </c>
      <c r="L6" s="39"/>
    </row>
    <row r="7" spans="1:12" x14ac:dyDescent="0.35">
      <c r="A7" s="34" t="str">
        <f t="shared" si="0"/>
        <v>DON-0003</v>
      </c>
      <c r="B7" s="35">
        <v>45833</v>
      </c>
      <c r="C7" s="36" t="s">
        <v>54</v>
      </c>
      <c r="D7" s="36" t="s">
        <v>55</v>
      </c>
      <c r="E7" s="36" t="s">
        <v>53</v>
      </c>
      <c r="F7" s="36" t="s">
        <v>56</v>
      </c>
      <c r="G7" s="37">
        <v>40</v>
      </c>
      <c r="H7" s="66">
        <v>46630</v>
      </c>
      <c r="I7" s="38">
        <f t="shared" ca="1" si="1"/>
        <v>431</v>
      </c>
      <c r="J7" s="38" t="str">
        <f t="shared" ca="1" si="2"/>
        <v>OK</v>
      </c>
      <c r="K7" s="36" t="s">
        <v>175</v>
      </c>
      <c r="L7" s="39"/>
    </row>
    <row r="8" spans="1:12" x14ac:dyDescent="0.35">
      <c r="A8" s="34" t="str">
        <f t="shared" si="0"/>
        <v>DON-0004</v>
      </c>
      <c r="B8" s="35">
        <v>45833</v>
      </c>
      <c r="C8" s="36" t="s">
        <v>69</v>
      </c>
      <c r="D8" s="36" t="s">
        <v>70</v>
      </c>
      <c r="E8" s="36" t="s">
        <v>66</v>
      </c>
      <c r="F8" s="36" t="s">
        <v>71</v>
      </c>
      <c r="G8" s="37">
        <v>52</v>
      </c>
      <c r="H8" s="66">
        <v>46756</v>
      </c>
      <c r="I8" s="38">
        <f t="shared" ca="1" si="1"/>
        <v>557</v>
      </c>
      <c r="J8" s="38" t="str">
        <f t="shared" ca="1" si="2"/>
        <v>OK</v>
      </c>
      <c r="K8" s="36" t="s">
        <v>175</v>
      </c>
      <c r="L8" s="39"/>
    </row>
    <row r="9" spans="1:12" x14ac:dyDescent="0.35">
      <c r="A9" s="34" t="str">
        <f t="shared" si="0"/>
        <v>DON-0005</v>
      </c>
      <c r="B9" s="35">
        <v>45837</v>
      </c>
      <c r="C9" s="36" t="s">
        <v>141</v>
      </c>
      <c r="D9" s="36" t="s">
        <v>142</v>
      </c>
      <c r="E9" s="36" t="s">
        <v>8</v>
      </c>
      <c r="F9" s="36" t="s">
        <v>143</v>
      </c>
      <c r="G9" s="37">
        <v>39</v>
      </c>
      <c r="H9" s="66">
        <v>45846</v>
      </c>
      <c r="I9" s="38">
        <f t="shared" ca="1" si="1"/>
        <v>-353</v>
      </c>
      <c r="J9" s="38" t="str">
        <f t="shared" ca="1" si="2"/>
        <v>EXPIRED</v>
      </c>
      <c r="K9" s="36" t="s">
        <v>176</v>
      </c>
      <c r="L9" s="39"/>
    </row>
    <row r="10" spans="1:12" x14ac:dyDescent="0.35">
      <c r="A10" s="34" t="str">
        <f t="shared" si="0"/>
        <v>DON-0006</v>
      </c>
      <c r="B10" s="35">
        <v>45837</v>
      </c>
      <c r="C10" s="36" t="s">
        <v>151</v>
      </c>
      <c r="D10" s="36" t="s">
        <v>152</v>
      </c>
      <c r="E10" s="36" t="s">
        <v>8</v>
      </c>
      <c r="F10" s="36" t="s">
        <v>143</v>
      </c>
      <c r="G10" s="37">
        <v>41</v>
      </c>
      <c r="H10" s="66">
        <v>45847</v>
      </c>
      <c r="I10" s="38">
        <f t="shared" ca="1" si="1"/>
        <v>-352</v>
      </c>
      <c r="J10" s="38" t="str">
        <f t="shared" ca="1" si="2"/>
        <v>EXPIRED</v>
      </c>
      <c r="K10" s="36" t="s">
        <v>176</v>
      </c>
      <c r="L10" s="39"/>
    </row>
    <row r="11" spans="1:12" x14ac:dyDescent="0.35">
      <c r="A11" s="34" t="str">
        <f t="shared" si="0"/>
        <v>DON-0007</v>
      </c>
      <c r="B11" s="35">
        <v>45837</v>
      </c>
      <c r="C11" s="36" t="s">
        <v>149</v>
      </c>
      <c r="D11" s="36" t="s">
        <v>150</v>
      </c>
      <c r="E11" s="36" t="s">
        <v>8</v>
      </c>
      <c r="F11" s="36" t="s">
        <v>75</v>
      </c>
      <c r="G11" s="37">
        <v>37</v>
      </c>
      <c r="H11" s="66">
        <v>45878</v>
      </c>
      <c r="I11" s="38">
        <f t="shared" ca="1" si="1"/>
        <v>-321</v>
      </c>
      <c r="J11" s="38" t="str">
        <f t="shared" ca="1" si="2"/>
        <v>EXPIRED</v>
      </c>
      <c r="K11" s="36" t="s">
        <v>176</v>
      </c>
      <c r="L11" s="39"/>
    </row>
    <row r="12" spans="1:12" x14ac:dyDescent="0.35">
      <c r="A12" s="34" t="str">
        <f t="shared" si="0"/>
        <v>DON-0008</v>
      </c>
      <c r="B12" s="35">
        <v>45837</v>
      </c>
      <c r="C12" s="36" t="s">
        <v>64</v>
      </c>
      <c r="D12" s="36" t="s">
        <v>65</v>
      </c>
      <c r="E12" s="36" t="s">
        <v>66</v>
      </c>
      <c r="F12" s="36" t="s">
        <v>42</v>
      </c>
      <c r="G12" s="37">
        <v>42</v>
      </c>
      <c r="H12" s="66">
        <v>46486</v>
      </c>
      <c r="I12" s="38">
        <f t="shared" ca="1" si="1"/>
        <v>287</v>
      </c>
      <c r="J12" s="38" t="str">
        <f t="shared" ca="1" si="2"/>
        <v>OK</v>
      </c>
      <c r="K12" s="36" t="s">
        <v>176</v>
      </c>
      <c r="L12" s="39"/>
    </row>
    <row r="13" spans="1:12" x14ac:dyDescent="0.35">
      <c r="A13" s="34" t="str">
        <f t="shared" si="0"/>
        <v>DON-0009</v>
      </c>
      <c r="B13" s="35">
        <v>45837</v>
      </c>
      <c r="C13" s="36" t="s">
        <v>104</v>
      </c>
      <c r="D13" s="36" t="s">
        <v>105</v>
      </c>
      <c r="E13" s="36" t="s">
        <v>102</v>
      </c>
      <c r="F13" s="36" t="s">
        <v>103</v>
      </c>
      <c r="G13" s="37">
        <v>72</v>
      </c>
      <c r="H13" s="66">
        <v>46546</v>
      </c>
      <c r="I13" s="38">
        <f t="shared" ca="1" si="1"/>
        <v>347</v>
      </c>
      <c r="J13" s="38" t="str">
        <f t="shared" ca="1" si="2"/>
        <v>OK</v>
      </c>
      <c r="K13" s="36" t="s">
        <v>176</v>
      </c>
      <c r="L13" s="39"/>
    </row>
    <row r="14" spans="1:12" x14ac:dyDescent="0.35">
      <c r="A14" s="34" t="str">
        <f t="shared" si="0"/>
        <v>DON-0010</v>
      </c>
      <c r="B14" s="35">
        <v>45837</v>
      </c>
      <c r="C14" s="36" t="s">
        <v>69</v>
      </c>
      <c r="D14" s="36" t="s">
        <v>70</v>
      </c>
      <c r="E14" s="36" t="s">
        <v>66</v>
      </c>
      <c r="F14" s="36" t="s">
        <v>71</v>
      </c>
      <c r="G14" s="37">
        <v>26</v>
      </c>
      <c r="H14" s="66">
        <v>46591</v>
      </c>
      <c r="I14" s="38">
        <f t="shared" ca="1" si="1"/>
        <v>392</v>
      </c>
      <c r="J14" s="38" t="str">
        <f t="shared" ca="1" si="2"/>
        <v>OK</v>
      </c>
      <c r="K14" s="36" t="s">
        <v>176</v>
      </c>
      <c r="L14" s="39"/>
    </row>
    <row r="15" spans="1:12" x14ac:dyDescent="0.35">
      <c r="A15" s="34" t="str">
        <f t="shared" si="0"/>
        <v>DON-0011</v>
      </c>
      <c r="B15" s="35">
        <v>45837</v>
      </c>
      <c r="C15" s="36" t="s">
        <v>125</v>
      </c>
      <c r="D15" s="36" t="s">
        <v>126</v>
      </c>
      <c r="E15" s="36" t="s">
        <v>14</v>
      </c>
      <c r="F15" s="36" t="s">
        <v>127</v>
      </c>
      <c r="G15" s="37">
        <v>10</v>
      </c>
      <c r="H15" s="66">
        <v>46885</v>
      </c>
      <c r="I15" s="38">
        <f t="shared" ca="1" si="1"/>
        <v>686</v>
      </c>
      <c r="J15" s="38" t="str">
        <f t="shared" ca="1" si="2"/>
        <v>OK</v>
      </c>
      <c r="K15" s="36" t="s">
        <v>176</v>
      </c>
      <c r="L15" s="39"/>
    </row>
    <row r="16" spans="1:12" x14ac:dyDescent="0.35">
      <c r="A16" s="34" t="str">
        <f t="shared" si="0"/>
        <v>DON-0012</v>
      </c>
      <c r="B16" s="35">
        <v>45840</v>
      </c>
      <c r="C16" s="36" t="s">
        <v>138</v>
      </c>
      <c r="D16" s="36" t="s">
        <v>139</v>
      </c>
      <c r="E16" s="36" t="s">
        <v>6</v>
      </c>
      <c r="F16" s="36" t="s">
        <v>140</v>
      </c>
      <c r="G16" s="37">
        <v>30</v>
      </c>
      <c r="H16" s="66">
        <v>45870</v>
      </c>
      <c r="I16" s="38">
        <f t="shared" ca="1" si="1"/>
        <v>-329</v>
      </c>
      <c r="J16" s="38" t="str">
        <f t="shared" ca="1" si="2"/>
        <v>EXPIRED</v>
      </c>
      <c r="K16" s="36" t="s">
        <v>177</v>
      </c>
      <c r="L16" s="39"/>
    </row>
    <row r="17" spans="1:12" x14ac:dyDescent="0.35">
      <c r="A17" s="34" t="str">
        <f t="shared" si="0"/>
        <v>DON-0013</v>
      </c>
      <c r="B17" s="35">
        <v>45840</v>
      </c>
      <c r="C17" s="36" t="s">
        <v>91</v>
      </c>
      <c r="D17" s="36" t="s">
        <v>92</v>
      </c>
      <c r="E17" s="36" t="s">
        <v>93</v>
      </c>
      <c r="F17" s="36" t="s">
        <v>85</v>
      </c>
      <c r="G17" s="37">
        <v>17</v>
      </c>
      <c r="H17" s="66">
        <v>46058</v>
      </c>
      <c r="I17" s="38">
        <f t="shared" ca="1" si="1"/>
        <v>-141</v>
      </c>
      <c r="J17" s="38" t="str">
        <f t="shared" ca="1" si="2"/>
        <v>EXPIRED</v>
      </c>
      <c r="K17" s="36" t="s">
        <v>177</v>
      </c>
      <c r="L17" s="39"/>
    </row>
    <row r="18" spans="1:12" x14ac:dyDescent="0.35">
      <c r="A18" s="34" t="str">
        <f t="shared" si="0"/>
        <v>DON-0014</v>
      </c>
      <c r="B18" s="35">
        <v>45840</v>
      </c>
      <c r="C18" s="36" t="s">
        <v>59</v>
      </c>
      <c r="D18" s="36" t="s">
        <v>60</v>
      </c>
      <c r="E18" s="36" t="s">
        <v>53</v>
      </c>
      <c r="F18" s="36" t="s">
        <v>56</v>
      </c>
      <c r="G18" s="37">
        <v>46</v>
      </c>
      <c r="H18" s="66">
        <v>46455</v>
      </c>
      <c r="I18" s="38">
        <f t="shared" ca="1" si="1"/>
        <v>256</v>
      </c>
      <c r="J18" s="38" t="str">
        <f t="shared" ca="1" si="2"/>
        <v>OK</v>
      </c>
      <c r="K18" s="36" t="s">
        <v>177</v>
      </c>
      <c r="L18" s="39"/>
    </row>
    <row r="19" spans="1:12" x14ac:dyDescent="0.35">
      <c r="A19" s="34" t="str">
        <f t="shared" si="0"/>
        <v>DON-0015</v>
      </c>
      <c r="B19" s="35">
        <v>45840</v>
      </c>
      <c r="C19" s="36" t="s">
        <v>111</v>
      </c>
      <c r="D19" s="36" t="s">
        <v>112</v>
      </c>
      <c r="E19" s="36" t="s">
        <v>102</v>
      </c>
      <c r="F19" s="36" t="s">
        <v>113</v>
      </c>
      <c r="G19" s="37">
        <v>34</v>
      </c>
      <c r="H19" s="66">
        <v>46478</v>
      </c>
      <c r="I19" s="38">
        <f t="shared" ca="1" si="1"/>
        <v>279</v>
      </c>
      <c r="J19" s="38" t="str">
        <f t="shared" ca="1" si="2"/>
        <v>OK</v>
      </c>
      <c r="K19" s="36" t="s">
        <v>177</v>
      </c>
      <c r="L19" s="39"/>
    </row>
    <row r="20" spans="1:12" x14ac:dyDescent="0.35">
      <c r="A20" s="34" t="str">
        <f t="shared" si="0"/>
        <v>DON-0016</v>
      </c>
      <c r="B20" s="35">
        <v>45840</v>
      </c>
      <c r="C20" s="36" t="s">
        <v>94</v>
      </c>
      <c r="D20" s="36" t="s">
        <v>95</v>
      </c>
      <c r="E20" s="36" t="s">
        <v>93</v>
      </c>
      <c r="F20" s="36" t="s">
        <v>96</v>
      </c>
      <c r="G20" s="37">
        <v>14</v>
      </c>
      <c r="H20" s="66">
        <v>46123</v>
      </c>
      <c r="I20" s="38">
        <f t="shared" ca="1" si="1"/>
        <v>-76</v>
      </c>
      <c r="J20" s="38" t="str">
        <f t="shared" ca="1" si="2"/>
        <v>EXPIRED</v>
      </c>
      <c r="K20" s="36" t="s">
        <v>177</v>
      </c>
      <c r="L20" s="39"/>
    </row>
    <row r="21" spans="1:12" x14ac:dyDescent="0.35">
      <c r="A21" s="34" t="str">
        <f t="shared" si="0"/>
        <v>DON-0017</v>
      </c>
      <c r="B21" s="35">
        <v>45842</v>
      </c>
      <c r="C21" s="36" t="s">
        <v>97</v>
      </c>
      <c r="D21" s="36" t="s">
        <v>98</v>
      </c>
      <c r="E21" s="36" t="s">
        <v>93</v>
      </c>
      <c r="F21" s="36" t="s">
        <v>99</v>
      </c>
      <c r="G21" s="37">
        <v>36</v>
      </c>
      <c r="H21" s="66">
        <v>46012</v>
      </c>
      <c r="I21" s="38">
        <f t="shared" ca="1" si="1"/>
        <v>-187</v>
      </c>
      <c r="J21" s="38" t="str">
        <f t="shared" ca="1" si="2"/>
        <v>EXPIRED</v>
      </c>
      <c r="K21" s="36" t="s">
        <v>178</v>
      </c>
      <c r="L21" s="39"/>
    </row>
    <row r="22" spans="1:12" x14ac:dyDescent="0.35">
      <c r="A22" s="34" t="str">
        <f t="shared" si="0"/>
        <v>DON-0018</v>
      </c>
      <c r="B22" s="35">
        <v>45842</v>
      </c>
      <c r="C22" s="36" t="s">
        <v>76</v>
      </c>
      <c r="D22" s="36" t="s">
        <v>77</v>
      </c>
      <c r="E22" s="36" t="s">
        <v>74</v>
      </c>
      <c r="F22" s="36" t="s">
        <v>75</v>
      </c>
      <c r="G22" s="37">
        <v>19</v>
      </c>
      <c r="H22" s="66">
        <v>46038</v>
      </c>
      <c r="I22" s="38">
        <f t="shared" ca="1" si="1"/>
        <v>-161</v>
      </c>
      <c r="J22" s="38" t="str">
        <f t="shared" ca="1" si="2"/>
        <v>EXPIRED</v>
      </c>
      <c r="K22" s="36" t="s">
        <v>178</v>
      </c>
      <c r="L22" s="39"/>
    </row>
    <row r="23" spans="1:12" x14ac:dyDescent="0.35">
      <c r="A23" s="34" t="str">
        <f t="shared" si="0"/>
        <v>DON-0019</v>
      </c>
      <c r="B23" s="35">
        <v>45842</v>
      </c>
      <c r="C23" s="36" t="s">
        <v>153</v>
      </c>
      <c r="D23" s="36" t="s">
        <v>154</v>
      </c>
      <c r="E23" s="36" t="s">
        <v>12</v>
      </c>
      <c r="F23" s="36" t="s">
        <v>155</v>
      </c>
      <c r="G23" s="37">
        <v>25</v>
      </c>
      <c r="H23" s="66">
        <v>46055</v>
      </c>
      <c r="I23" s="38">
        <f t="shared" ca="1" si="1"/>
        <v>-144</v>
      </c>
      <c r="J23" s="38" t="str">
        <f t="shared" ca="1" si="2"/>
        <v>EXPIRED</v>
      </c>
      <c r="K23" s="36" t="s">
        <v>178</v>
      </c>
      <c r="L23" s="39"/>
    </row>
    <row r="24" spans="1:12" x14ac:dyDescent="0.35">
      <c r="A24" s="34" t="str">
        <f t="shared" si="0"/>
        <v>DON-0020</v>
      </c>
      <c r="B24" s="35">
        <v>45842</v>
      </c>
      <c r="C24" s="36" t="s">
        <v>51</v>
      </c>
      <c r="D24" s="36" t="s">
        <v>52</v>
      </c>
      <c r="E24" s="36" t="s">
        <v>53</v>
      </c>
      <c r="F24" s="36" t="s">
        <v>42</v>
      </c>
      <c r="G24" s="37">
        <v>91</v>
      </c>
      <c r="H24" s="66">
        <v>46288</v>
      </c>
      <c r="I24" s="38">
        <f t="shared" ca="1" si="1"/>
        <v>89</v>
      </c>
      <c r="J24" s="38" t="str">
        <f t="shared" ca="1" si="2"/>
        <v>OK</v>
      </c>
      <c r="K24" s="36" t="s">
        <v>178</v>
      </c>
      <c r="L24" s="39"/>
    </row>
    <row r="25" spans="1:12" x14ac:dyDescent="0.35">
      <c r="A25" s="34" t="str">
        <f t="shared" si="0"/>
        <v>DON-0021</v>
      </c>
      <c r="B25" s="35">
        <v>45842</v>
      </c>
      <c r="C25" s="36" t="s">
        <v>37</v>
      </c>
      <c r="D25" s="36" t="s">
        <v>38</v>
      </c>
      <c r="E25" s="36" t="s">
        <v>31</v>
      </c>
      <c r="F25" s="36" t="s">
        <v>39</v>
      </c>
      <c r="G25" s="37">
        <v>72</v>
      </c>
      <c r="H25" s="66">
        <v>46840</v>
      </c>
      <c r="I25" s="38">
        <f t="shared" ca="1" si="1"/>
        <v>641</v>
      </c>
      <c r="J25" s="38" t="str">
        <f t="shared" ca="1" si="2"/>
        <v>OK</v>
      </c>
      <c r="K25" s="36" t="s">
        <v>178</v>
      </c>
      <c r="L25" s="39"/>
    </row>
    <row r="26" spans="1:12" x14ac:dyDescent="0.35">
      <c r="A26" s="34" t="str">
        <f t="shared" si="0"/>
        <v>DON-0022</v>
      </c>
      <c r="B26" s="35">
        <v>45842</v>
      </c>
      <c r="C26" s="36" t="s">
        <v>125</v>
      </c>
      <c r="D26" s="36" t="s">
        <v>126</v>
      </c>
      <c r="E26" s="36" t="s">
        <v>14</v>
      </c>
      <c r="F26" s="36" t="s">
        <v>127</v>
      </c>
      <c r="G26" s="37">
        <v>7</v>
      </c>
      <c r="H26" s="66">
        <v>46916</v>
      </c>
      <c r="I26" s="38">
        <f t="shared" ca="1" si="1"/>
        <v>717</v>
      </c>
      <c r="J26" s="38" t="str">
        <f t="shared" ca="1" si="2"/>
        <v>OK</v>
      </c>
      <c r="K26" s="36" t="s">
        <v>178</v>
      </c>
      <c r="L26" s="39"/>
    </row>
    <row r="27" spans="1:12" x14ac:dyDescent="0.35">
      <c r="A27" s="34" t="str">
        <f t="shared" si="0"/>
        <v>DON-0023</v>
      </c>
      <c r="B27" s="35">
        <v>45842</v>
      </c>
      <c r="C27" s="36" t="s">
        <v>111</v>
      </c>
      <c r="D27" s="36" t="s">
        <v>112</v>
      </c>
      <c r="E27" s="36" t="s">
        <v>102</v>
      </c>
      <c r="F27" s="36" t="s">
        <v>113</v>
      </c>
      <c r="G27" s="37">
        <v>53</v>
      </c>
      <c r="H27" s="66">
        <v>46928</v>
      </c>
      <c r="I27" s="38">
        <f t="shared" ca="1" si="1"/>
        <v>729</v>
      </c>
      <c r="J27" s="38" t="str">
        <f t="shared" ca="1" si="2"/>
        <v>OK</v>
      </c>
      <c r="K27" s="36" t="s">
        <v>178</v>
      </c>
      <c r="L27" s="39"/>
    </row>
    <row r="28" spans="1:12" x14ac:dyDescent="0.35">
      <c r="A28" s="34" t="str">
        <f t="shared" si="0"/>
        <v>DON-0024</v>
      </c>
      <c r="B28" s="35">
        <v>45850</v>
      </c>
      <c r="C28" s="36" t="s">
        <v>128</v>
      </c>
      <c r="D28" s="36" t="s">
        <v>9</v>
      </c>
      <c r="E28" s="36" t="s">
        <v>10</v>
      </c>
      <c r="F28" s="36" t="s">
        <v>129</v>
      </c>
      <c r="G28" s="37">
        <v>22</v>
      </c>
      <c r="H28" s="66">
        <v>45855</v>
      </c>
      <c r="I28" s="38">
        <f t="shared" ca="1" si="1"/>
        <v>-344</v>
      </c>
      <c r="J28" s="38" t="str">
        <f t="shared" ca="1" si="2"/>
        <v>EXPIRED</v>
      </c>
      <c r="K28" s="36" t="s">
        <v>179</v>
      </c>
      <c r="L28" s="39"/>
    </row>
    <row r="29" spans="1:12" x14ac:dyDescent="0.35">
      <c r="A29" s="34" t="str">
        <f t="shared" si="0"/>
        <v>DON-0025</v>
      </c>
      <c r="B29" s="35">
        <v>45850</v>
      </c>
      <c r="C29" s="36" t="s">
        <v>146</v>
      </c>
      <c r="D29" s="36" t="s">
        <v>147</v>
      </c>
      <c r="E29" s="36" t="s">
        <v>8</v>
      </c>
      <c r="F29" s="36" t="s">
        <v>148</v>
      </c>
      <c r="G29" s="37">
        <v>29</v>
      </c>
      <c r="H29" s="66">
        <v>45868</v>
      </c>
      <c r="I29" s="38">
        <f t="shared" ca="1" si="1"/>
        <v>-331</v>
      </c>
      <c r="J29" s="38" t="str">
        <f t="shared" ca="1" si="2"/>
        <v>EXPIRED</v>
      </c>
      <c r="K29" s="36" t="s">
        <v>179</v>
      </c>
      <c r="L29" s="39"/>
    </row>
    <row r="30" spans="1:12" x14ac:dyDescent="0.35">
      <c r="A30" s="34" t="str">
        <f t="shared" si="0"/>
        <v>DON-0026</v>
      </c>
      <c r="B30" s="35">
        <v>45850</v>
      </c>
      <c r="C30" s="36" t="s">
        <v>120</v>
      </c>
      <c r="D30" s="36" t="s">
        <v>121</v>
      </c>
      <c r="E30" s="36" t="s">
        <v>14</v>
      </c>
      <c r="F30" s="36" t="s">
        <v>119</v>
      </c>
      <c r="G30" s="37">
        <v>8</v>
      </c>
      <c r="H30" s="66">
        <v>46011</v>
      </c>
      <c r="I30" s="38">
        <f t="shared" ca="1" si="1"/>
        <v>-188</v>
      </c>
      <c r="J30" s="38" t="str">
        <f t="shared" ca="1" si="2"/>
        <v>EXPIRED</v>
      </c>
      <c r="K30" s="36" t="s">
        <v>178</v>
      </c>
      <c r="L30" s="39"/>
    </row>
    <row r="31" spans="1:12" x14ac:dyDescent="0.35">
      <c r="A31" s="34" t="str">
        <f t="shared" si="0"/>
        <v>DON-0027</v>
      </c>
      <c r="B31" s="35">
        <v>45850</v>
      </c>
      <c r="C31" s="36" t="s">
        <v>117</v>
      </c>
      <c r="D31" s="36" t="s">
        <v>118</v>
      </c>
      <c r="E31" s="36" t="s">
        <v>14</v>
      </c>
      <c r="F31" s="36" t="s">
        <v>119</v>
      </c>
      <c r="G31" s="37">
        <v>17</v>
      </c>
      <c r="H31" s="66">
        <v>46079</v>
      </c>
      <c r="I31" s="38">
        <f t="shared" ca="1" si="1"/>
        <v>-120</v>
      </c>
      <c r="J31" s="38" t="str">
        <f t="shared" ca="1" si="2"/>
        <v>EXPIRED</v>
      </c>
      <c r="K31" s="36" t="s">
        <v>178</v>
      </c>
      <c r="L31" s="39"/>
    </row>
    <row r="32" spans="1:12" x14ac:dyDescent="0.35">
      <c r="A32" s="34" t="str">
        <f t="shared" si="0"/>
        <v>DON-0028</v>
      </c>
      <c r="B32" s="35">
        <v>45850</v>
      </c>
      <c r="C32" s="36" t="s">
        <v>153</v>
      </c>
      <c r="D32" s="36" t="s">
        <v>154</v>
      </c>
      <c r="E32" s="36" t="s">
        <v>12</v>
      </c>
      <c r="F32" s="36" t="s">
        <v>155</v>
      </c>
      <c r="G32" s="37">
        <v>26</v>
      </c>
      <c r="H32" s="66">
        <v>46166</v>
      </c>
      <c r="I32" s="38">
        <f t="shared" ca="1" si="1"/>
        <v>-33</v>
      </c>
      <c r="J32" s="38" t="str">
        <f t="shared" ca="1" si="2"/>
        <v>EXPIRED</v>
      </c>
      <c r="K32" s="36" t="s">
        <v>179</v>
      </c>
      <c r="L32" s="39"/>
    </row>
    <row r="33" spans="1:12" x14ac:dyDescent="0.35">
      <c r="A33" s="34" t="str">
        <f t="shared" si="0"/>
        <v>DON-0029</v>
      </c>
      <c r="B33" s="35">
        <v>45850</v>
      </c>
      <c r="C33" s="36" t="s">
        <v>76</v>
      </c>
      <c r="D33" s="36" t="s">
        <v>77</v>
      </c>
      <c r="E33" s="36" t="s">
        <v>74</v>
      </c>
      <c r="F33" s="36" t="s">
        <v>75</v>
      </c>
      <c r="G33" s="37">
        <v>45</v>
      </c>
      <c r="H33" s="66">
        <v>46167</v>
      </c>
      <c r="I33" s="38">
        <f t="shared" ca="1" si="1"/>
        <v>-32</v>
      </c>
      <c r="J33" s="38" t="str">
        <f t="shared" ca="1" si="2"/>
        <v>EXPIRED</v>
      </c>
      <c r="K33" s="36" t="s">
        <v>179</v>
      </c>
      <c r="L33" s="39"/>
    </row>
    <row r="34" spans="1:12" x14ac:dyDescent="0.35">
      <c r="A34" s="34" t="str">
        <f t="shared" si="0"/>
        <v>DON-0030</v>
      </c>
      <c r="B34" s="35">
        <v>45850</v>
      </c>
      <c r="C34" s="36" t="s">
        <v>54</v>
      </c>
      <c r="D34" s="36" t="s">
        <v>55</v>
      </c>
      <c r="E34" s="36" t="s">
        <v>53</v>
      </c>
      <c r="F34" s="36" t="s">
        <v>56</v>
      </c>
      <c r="G34" s="37">
        <v>90</v>
      </c>
      <c r="H34" s="66">
        <v>46327</v>
      </c>
      <c r="I34" s="38">
        <f t="shared" ca="1" si="1"/>
        <v>128</v>
      </c>
      <c r="J34" s="38" t="str">
        <f t="shared" ca="1" si="2"/>
        <v>OK</v>
      </c>
      <c r="K34" s="36" t="s">
        <v>178</v>
      </c>
      <c r="L34" s="39"/>
    </row>
    <row r="35" spans="1:12" x14ac:dyDescent="0.35">
      <c r="A35" s="34" t="str">
        <f t="shared" si="0"/>
        <v>DON-0031</v>
      </c>
      <c r="B35" s="35">
        <v>45850</v>
      </c>
      <c r="C35" s="36" t="s">
        <v>29</v>
      </c>
      <c r="D35" s="36" t="s">
        <v>30</v>
      </c>
      <c r="E35" s="36" t="s">
        <v>31</v>
      </c>
      <c r="F35" s="36" t="s">
        <v>32</v>
      </c>
      <c r="G35" s="37">
        <v>41</v>
      </c>
      <c r="H35" s="66">
        <v>46376</v>
      </c>
      <c r="I35" s="38">
        <f t="shared" ca="1" si="1"/>
        <v>177</v>
      </c>
      <c r="J35" s="38" t="str">
        <f t="shared" ca="1" si="2"/>
        <v>OK</v>
      </c>
      <c r="K35" s="36" t="s">
        <v>179</v>
      </c>
      <c r="L35" s="39"/>
    </row>
    <row r="36" spans="1:12" x14ac:dyDescent="0.35">
      <c r="A36" s="34" t="str">
        <f t="shared" si="0"/>
        <v>DON-0032</v>
      </c>
      <c r="B36" s="35">
        <v>45850</v>
      </c>
      <c r="C36" s="36" t="s">
        <v>51</v>
      </c>
      <c r="D36" s="36" t="s">
        <v>52</v>
      </c>
      <c r="E36" s="36" t="s">
        <v>53</v>
      </c>
      <c r="F36" s="36" t="s">
        <v>42</v>
      </c>
      <c r="G36" s="37">
        <v>99</v>
      </c>
      <c r="H36" s="66">
        <v>46484</v>
      </c>
      <c r="I36" s="38">
        <f t="shared" ca="1" si="1"/>
        <v>285</v>
      </c>
      <c r="J36" s="38" t="str">
        <f t="shared" ca="1" si="2"/>
        <v>OK</v>
      </c>
      <c r="K36" s="36" t="s">
        <v>179</v>
      </c>
      <c r="L36" s="39"/>
    </row>
    <row r="37" spans="1:12" x14ac:dyDescent="0.35">
      <c r="A37" s="34" t="str">
        <f t="shared" si="0"/>
        <v>DON-0033</v>
      </c>
      <c r="B37" s="35">
        <v>45850</v>
      </c>
      <c r="C37" s="36" t="s">
        <v>46</v>
      </c>
      <c r="D37" s="36" t="s">
        <v>47</v>
      </c>
      <c r="E37" s="36" t="s">
        <v>31</v>
      </c>
      <c r="F37" s="36" t="s">
        <v>42</v>
      </c>
      <c r="G37" s="37">
        <v>58</v>
      </c>
      <c r="H37" s="66">
        <v>46609</v>
      </c>
      <c r="I37" s="38">
        <f t="shared" ca="1" si="1"/>
        <v>410</v>
      </c>
      <c r="J37" s="38" t="str">
        <f t="shared" ca="1" si="2"/>
        <v>OK</v>
      </c>
      <c r="K37" s="36" t="s">
        <v>178</v>
      </c>
      <c r="L37" s="39"/>
    </row>
    <row r="38" spans="1:12" x14ac:dyDescent="0.35">
      <c r="A38" s="34" t="str">
        <f t="shared" si="0"/>
        <v>DON-0034</v>
      </c>
      <c r="B38" s="35">
        <v>45850</v>
      </c>
      <c r="C38" s="36" t="s">
        <v>125</v>
      </c>
      <c r="D38" s="36" t="s">
        <v>126</v>
      </c>
      <c r="E38" s="36" t="s">
        <v>14</v>
      </c>
      <c r="F38" s="36" t="s">
        <v>127</v>
      </c>
      <c r="G38" s="37">
        <v>8</v>
      </c>
      <c r="H38" s="66">
        <v>46675</v>
      </c>
      <c r="I38" s="38">
        <f t="shared" ca="1" si="1"/>
        <v>476</v>
      </c>
      <c r="J38" s="38" t="str">
        <f t="shared" ca="1" si="2"/>
        <v>OK</v>
      </c>
      <c r="K38" s="36" t="s">
        <v>179</v>
      </c>
      <c r="L38" s="39"/>
    </row>
    <row r="39" spans="1:12" x14ac:dyDescent="0.35">
      <c r="A39" s="34" t="str">
        <f t="shared" si="0"/>
        <v>DON-0035</v>
      </c>
      <c r="B39" s="35">
        <v>45852</v>
      </c>
      <c r="C39" s="36" t="s">
        <v>86</v>
      </c>
      <c r="D39" s="36" t="s">
        <v>87</v>
      </c>
      <c r="E39" s="36" t="s">
        <v>74</v>
      </c>
      <c r="F39" s="36" t="s">
        <v>75</v>
      </c>
      <c r="G39" s="37">
        <v>24</v>
      </c>
      <c r="H39" s="66">
        <v>46214</v>
      </c>
      <c r="I39" s="38">
        <f t="shared" ca="1" si="1"/>
        <v>15</v>
      </c>
      <c r="J39" s="38" t="str">
        <f t="shared" ca="1" si="2"/>
        <v>NOTICE</v>
      </c>
      <c r="K39" s="36" t="s">
        <v>180</v>
      </c>
      <c r="L39" s="39"/>
    </row>
    <row r="40" spans="1:12" x14ac:dyDescent="0.35">
      <c r="A40" s="34" t="str">
        <f t="shared" si="0"/>
        <v>DON-0036</v>
      </c>
      <c r="B40" s="35">
        <v>45852</v>
      </c>
      <c r="C40" s="36" t="s">
        <v>161</v>
      </c>
      <c r="D40" s="36" t="s">
        <v>162</v>
      </c>
      <c r="E40" s="36" t="s">
        <v>159</v>
      </c>
      <c r="F40" s="36" t="s">
        <v>163</v>
      </c>
      <c r="G40" s="37">
        <v>21</v>
      </c>
      <c r="H40" s="66">
        <v>46230</v>
      </c>
      <c r="I40" s="38">
        <f t="shared" ca="1" si="1"/>
        <v>31</v>
      </c>
      <c r="J40" s="38" t="str">
        <f t="shared" ca="1" si="2"/>
        <v>OK</v>
      </c>
      <c r="K40" s="36" t="s">
        <v>180</v>
      </c>
      <c r="L40" s="39"/>
    </row>
    <row r="41" spans="1:12" x14ac:dyDescent="0.35">
      <c r="A41" s="34" t="str">
        <f t="shared" si="0"/>
        <v>DON-0037</v>
      </c>
      <c r="B41" s="35">
        <v>45852</v>
      </c>
      <c r="C41" s="36" t="s">
        <v>78</v>
      </c>
      <c r="D41" s="36" t="s">
        <v>79</v>
      </c>
      <c r="E41" s="36" t="s">
        <v>74</v>
      </c>
      <c r="F41" s="36" t="s">
        <v>80</v>
      </c>
      <c r="G41" s="37">
        <v>37</v>
      </c>
      <c r="H41" s="66">
        <v>46477</v>
      </c>
      <c r="I41" s="38">
        <f t="shared" ca="1" si="1"/>
        <v>278</v>
      </c>
      <c r="J41" s="38" t="str">
        <f t="shared" ca="1" si="2"/>
        <v>OK</v>
      </c>
      <c r="K41" s="36" t="s">
        <v>180</v>
      </c>
      <c r="L41" s="39"/>
    </row>
    <row r="42" spans="1:12" x14ac:dyDescent="0.35">
      <c r="A42" s="34" t="str">
        <f t="shared" si="0"/>
        <v>DON-0038</v>
      </c>
      <c r="B42" s="35">
        <v>45852</v>
      </c>
      <c r="C42" s="36" t="s">
        <v>40</v>
      </c>
      <c r="D42" s="36" t="s">
        <v>41</v>
      </c>
      <c r="E42" s="36" t="s">
        <v>31</v>
      </c>
      <c r="F42" s="36" t="s">
        <v>42</v>
      </c>
      <c r="G42" s="37">
        <v>57</v>
      </c>
      <c r="H42" s="66">
        <v>46539</v>
      </c>
      <c r="I42" s="38">
        <f t="shared" ca="1" si="1"/>
        <v>340</v>
      </c>
      <c r="J42" s="38" t="str">
        <f t="shared" ca="1" si="2"/>
        <v>OK</v>
      </c>
      <c r="K42" s="36" t="s">
        <v>180</v>
      </c>
      <c r="L42" s="39"/>
    </row>
    <row r="43" spans="1:12" x14ac:dyDescent="0.35">
      <c r="A43" s="34" t="str">
        <f t="shared" si="0"/>
        <v>DON-0039</v>
      </c>
      <c r="B43" s="35">
        <v>45852</v>
      </c>
      <c r="C43" s="36" t="s">
        <v>69</v>
      </c>
      <c r="D43" s="36" t="s">
        <v>70</v>
      </c>
      <c r="E43" s="36" t="s">
        <v>66</v>
      </c>
      <c r="F43" s="36" t="s">
        <v>71</v>
      </c>
      <c r="G43" s="37">
        <v>31</v>
      </c>
      <c r="H43" s="66">
        <v>46728</v>
      </c>
      <c r="I43" s="38">
        <f t="shared" ca="1" si="1"/>
        <v>529</v>
      </c>
      <c r="J43" s="38" t="str">
        <f t="shared" ca="1" si="2"/>
        <v>OK</v>
      </c>
      <c r="K43" s="36" t="s">
        <v>180</v>
      </c>
      <c r="L43" s="39"/>
    </row>
    <row r="44" spans="1:12" x14ac:dyDescent="0.35">
      <c r="A44" s="34" t="str">
        <f t="shared" si="0"/>
        <v>DON-0040</v>
      </c>
      <c r="B44" s="35">
        <v>45852</v>
      </c>
      <c r="C44" s="36" t="s">
        <v>100</v>
      </c>
      <c r="D44" s="36" t="s">
        <v>101</v>
      </c>
      <c r="E44" s="36" t="s">
        <v>102</v>
      </c>
      <c r="F44" s="36" t="s">
        <v>103</v>
      </c>
      <c r="G44" s="37">
        <v>30</v>
      </c>
      <c r="H44" s="66">
        <v>46791</v>
      </c>
      <c r="I44" s="38">
        <f t="shared" ca="1" si="1"/>
        <v>592</v>
      </c>
      <c r="J44" s="38" t="str">
        <f t="shared" ca="1" si="2"/>
        <v>OK</v>
      </c>
      <c r="K44" s="36" t="s">
        <v>180</v>
      </c>
      <c r="L44" s="39"/>
    </row>
    <row r="45" spans="1:12" x14ac:dyDescent="0.35">
      <c r="A45" s="34" t="str">
        <f t="shared" si="0"/>
        <v>DON-0041</v>
      </c>
      <c r="B45" s="35">
        <v>45852</v>
      </c>
      <c r="C45" s="36" t="s">
        <v>43</v>
      </c>
      <c r="D45" s="36" t="s">
        <v>44</v>
      </c>
      <c r="E45" s="36" t="s">
        <v>31</v>
      </c>
      <c r="F45" s="36" t="s">
        <v>42</v>
      </c>
      <c r="G45" s="37">
        <v>58</v>
      </c>
      <c r="H45" s="66">
        <v>46814</v>
      </c>
      <c r="I45" s="38">
        <f t="shared" ca="1" si="1"/>
        <v>615</v>
      </c>
      <c r="J45" s="38" t="str">
        <f t="shared" ca="1" si="2"/>
        <v>OK</v>
      </c>
      <c r="K45" s="36" t="s">
        <v>180</v>
      </c>
      <c r="L45" s="39"/>
    </row>
    <row r="46" spans="1:12" x14ac:dyDescent="0.35">
      <c r="A46" s="34" t="str">
        <f t="shared" si="0"/>
        <v>DON-0042</v>
      </c>
      <c r="B46" s="35">
        <v>45852</v>
      </c>
      <c r="C46" s="36" t="s">
        <v>37</v>
      </c>
      <c r="D46" s="36" t="s">
        <v>38</v>
      </c>
      <c r="E46" s="36" t="s">
        <v>31</v>
      </c>
      <c r="F46" s="36" t="s">
        <v>39</v>
      </c>
      <c r="G46" s="37">
        <v>47</v>
      </c>
      <c r="H46" s="66">
        <v>46875</v>
      </c>
      <c r="I46" s="38">
        <f t="shared" ca="1" si="1"/>
        <v>676</v>
      </c>
      <c r="J46" s="38" t="str">
        <f t="shared" ca="1" si="2"/>
        <v>OK</v>
      </c>
      <c r="K46" s="36" t="s">
        <v>180</v>
      </c>
      <c r="L46" s="39"/>
    </row>
    <row r="47" spans="1:12" x14ac:dyDescent="0.35">
      <c r="A47" s="34" t="str">
        <f t="shared" si="0"/>
        <v>DON-0043</v>
      </c>
      <c r="B47" s="35">
        <v>45853</v>
      </c>
      <c r="C47" s="36" t="s">
        <v>94</v>
      </c>
      <c r="D47" s="36" t="s">
        <v>95</v>
      </c>
      <c r="E47" s="36" t="s">
        <v>93</v>
      </c>
      <c r="F47" s="36" t="s">
        <v>96</v>
      </c>
      <c r="G47" s="37">
        <v>19</v>
      </c>
      <c r="H47" s="66">
        <v>46035</v>
      </c>
      <c r="I47" s="38">
        <f t="shared" ca="1" si="1"/>
        <v>-164</v>
      </c>
      <c r="J47" s="38" t="str">
        <f t="shared" ca="1" si="2"/>
        <v>EXPIRED</v>
      </c>
      <c r="K47" s="36" t="s">
        <v>175</v>
      </c>
      <c r="L47" s="39"/>
    </row>
    <row r="48" spans="1:12" x14ac:dyDescent="0.35">
      <c r="A48" s="34" t="str">
        <f t="shared" si="0"/>
        <v>DON-0044</v>
      </c>
      <c r="B48" s="35">
        <v>45853</v>
      </c>
      <c r="C48" s="36" t="s">
        <v>135</v>
      </c>
      <c r="D48" s="36" t="s">
        <v>5</v>
      </c>
      <c r="E48" s="36" t="s">
        <v>6</v>
      </c>
      <c r="F48" s="36" t="s">
        <v>136</v>
      </c>
      <c r="G48" s="37">
        <v>20</v>
      </c>
      <c r="H48" s="66">
        <v>45855</v>
      </c>
      <c r="I48" s="38">
        <f t="shared" ca="1" si="1"/>
        <v>-344</v>
      </c>
      <c r="J48" s="38" t="str">
        <f t="shared" ca="1" si="2"/>
        <v>EXPIRED</v>
      </c>
      <c r="K48" s="36" t="s">
        <v>175</v>
      </c>
      <c r="L48" s="39"/>
    </row>
    <row r="49" spans="1:12" x14ac:dyDescent="0.35">
      <c r="A49" s="34" t="str">
        <f t="shared" si="0"/>
        <v>DON-0045</v>
      </c>
      <c r="B49" s="35">
        <v>45853</v>
      </c>
      <c r="C49" s="36" t="s">
        <v>120</v>
      </c>
      <c r="D49" s="36" t="s">
        <v>121</v>
      </c>
      <c r="E49" s="36" t="s">
        <v>14</v>
      </c>
      <c r="F49" s="36" t="s">
        <v>119</v>
      </c>
      <c r="G49" s="37">
        <v>19</v>
      </c>
      <c r="H49" s="66">
        <v>46127</v>
      </c>
      <c r="I49" s="38">
        <f t="shared" ca="1" si="1"/>
        <v>-72</v>
      </c>
      <c r="J49" s="38" t="str">
        <f t="shared" ca="1" si="2"/>
        <v>EXPIRED</v>
      </c>
      <c r="K49" s="36" t="s">
        <v>175</v>
      </c>
      <c r="L49" s="39"/>
    </row>
    <row r="50" spans="1:12" x14ac:dyDescent="0.35">
      <c r="A50" s="34" t="str">
        <f t="shared" si="0"/>
        <v>DON-0046</v>
      </c>
      <c r="B50" s="35">
        <v>45853</v>
      </c>
      <c r="C50" s="36" t="s">
        <v>59</v>
      </c>
      <c r="D50" s="36" t="s">
        <v>60</v>
      </c>
      <c r="E50" s="36" t="s">
        <v>53</v>
      </c>
      <c r="F50" s="36" t="s">
        <v>56</v>
      </c>
      <c r="G50" s="37">
        <v>99</v>
      </c>
      <c r="H50" s="66">
        <v>46298</v>
      </c>
      <c r="I50" s="38">
        <f t="shared" ca="1" si="1"/>
        <v>99</v>
      </c>
      <c r="J50" s="38" t="str">
        <f t="shared" ca="1" si="2"/>
        <v>OK</v>
      </c>
      <c r="K50" s="36" t="s">
        <v>175</v>
      </c>
      <c r="L50" s="39"/>
    </row>
    <row r="51" spans="1:12" x14ac:dyDescent="0.35">
      <c r="A51" s="34" t="str">
        <f t="shared" si="0"/>
        <v>DON-0047</v>
      </c>
      <c r="B51" s="35">
        <v>45853</v>
      </c>
      <c r="C51" s="36" t="s">
        <v>57</v>
      </c>
      <c r="D51" s="36" t="s">
        <v>58</v>
      </c>
      <c r="E51" s="36" t="s">
        <v>53</v>
      </c>
      <c r="F51" s="36" t="s">
        <v>42</v>
      </c>
      <c r="G51" s="37">
        <v>99</v>
      </c>
      <c r="H51" s="66">
        <v>46532</v>
      </c>
      <c r="I51" s="38">
        <f t="shared" ca="1" si="1"/>
        <v>333</v>
      </c>
      <c r="J51" s="38" t="str">
        <f t="shared" ca="1" si="2"/>
        <v>OK</v>
      </c>
      <c r="K51" s="36" t="s">
        <v>175</v>
      </c>
      <c r="L51" s="39"/>
    </row>
    <row r="52" spans="1:12" x14ac:dyDescent="0.35">
      <c r="A52" s="34" t="str">
        <f t="shared" si="0"/>
        <v>DON-0048</v>
      </c>
      <c r="B52" s="35">
        <v>45853</v>
      </c>
      <c r="C52" s="36" t="s">
        <v>64</v>
      </c>
      <c r="D52" s="36" t="s">
        <v>65</v>
      </c>
      <c r="E52" s="36" t="s">
        <v>66</v>
      </c>
      <c r="F52" s="36" t="s">
        <v>42</v>
      </c>
      <c r="G52" s="37">
        <v>26</v>
      </c>
      <c r="H52" s="66">
        <v>46589</v>
      </c>
      <c r="I52" s="38">
        <f t="shared" ca="1" si="1"/>
        <v>390</v>
      </c>
      <c r="J52" s="38" t="str">
        <f t="shared" ca="1" si="2"/>
        <v>OK</v>
      </c>
      <c r="K52" s="36" t="s">
        <v>175</v>
      </c>
      <c r="L52" s="39"/>
    </row>
    <row r="53" spans="1:12" x14ac:dyDescent="0.35">
      <c r="A53" s="34" t="str">
        <f t="shared" si="0"/>
        <v>DON-0049</v>
      </c>
      <c r="B53" s="35">
        <v>45853</v>
      </c>
      <c r="C53" s="36" t="s">
        <v>125</v>
      </c>
      <c r="D53" s="36" t="s">
        <v>126</v>
      </c>
      <c r="E53" s="36" t="s">
        <v>14</v>
      </c>
      <c r="F53" s="36" t="s">
        <v>127</v>
      </c>
      <c r="G53" s="37">
        <v>7</v>
      </c>
      <c r="H53" s="66">
        <v>47456</v>
      </c>
      <c r="I53" s="38">
        <f t="shared" ca="1" si="1"/>
        <v>1257</v>
      </c>
      <c r="J53" s="38" t="str">
        <f t="shared" ca="1" si="2"/>
        <v>OK</v>
      </c>
      <c r="K53" s="36" t="s">
        <v>175</v>
      </c>
      <c r="L53" s="39"/>
    </row>
    <row r="54" spans="1:12" x14ac:dyDescent="0.35">
      <c r="A54" s="34" t="str">
        <f t="shared" si="0"/>
        <v>DON-0050</v>
      </c>
      <c r="B54" s="35">
        <v>45853</v>
      </c>
      <c r="C54" s="36" t="s">
        <v>122</v>
      </c>
      <c r="D54" s="36" t="s">
        <v>123</v>
      </c>
      <c r="E54" s="36" t="s">
        <v>14</v>
      </c>
      <c r="F54" s="36" t="s">
        <v>124</v>
      </c>
      <c r="G54" s="37">
        <v>17</v>
      </c>
      <c r="H54" s="66">
        <v>47551</v>
      </c>
      <c r="I54" s="38">
        <f t="shared" ca="1" si="1"/>
        <v>1352</v>
      </c>
      <c r="J54" s="38" t="str">
        <f t="shared" ca="1" si="2"/>
        <v>OK</v>
      </c>
      <c r="K54" s="36" t="s">
        <v>175</v>
      </c>
      <c r="L54" s="39"/>
    </row>
    <row r="55" spans="1:12" x14ac:dyDescent="0.35">
      <c r="A55" s="34" t="str">
        <f t="shared" si="0"/>
        <v>DON-0051</v>
      </c>
      <c r="B55" s="35">
        <v>45855</v>
      </c>
      <c r="C55" s="36" t="s">
        <v>135</v>
      </c>
      <c r="D55" s="36" t="s">
        <v>5</v>
      </c>
      <c r="E55" s="36" t="s">
        <v>6</v>
      </c>
      <c r="F55" s="36" t="s">
        <v>136</v>
      </c>
      <c r="G55" s="37">
        <v>23</v>
      </c>
      <c r="H55" s="66">
        <v>45861</v>
      </c>
      <c r="I55" s="38">
        <f t="shared" ca="1" si="1"/>
        <v>-338</v>
      </c>
      <c r="J55" s="38" t="str">
        <f t="shared" ca="1" si="2"/>
        <v>EXPIRED</v>
      </c>
      <c r="K55" s="36" t="s">
        <v>179</v>
      </c>
      <c r="L55" s="39"/>
    </row>
    <row r="56" spans="1:12" x14ac:dyDescent="0.35">
      <c r="A56" s="34" t="str">
        <f t="shared" si="0"/>
        <v>DON-0052</v>
      </c>
      <c r="B56" s="35">
        <v>45855</v>
      </c>
      <c r="C56" s="36" t="s">
        <v>138</v>
      </c>
      <c r="D56" s="36" t="s">
        <v>139</v>
      </c>
      <c r="E56" s="36" t="s">
        <v>6</v>
      </c>
      <c r="F56" s="36" t="s">
        <v>140</v>
      </c>
      <c r="G56" s="37">
        <v>13</v>
      </c>
      <c r="H56" s="66">
        <v>45872</v>
      </c>
      <c r="I56" s="38">
        <f t="shared" ca="1" si="1"/>
        <v>-327</v>
      </c>
      <c r="J56" s="38" t="str">
        <f t="shared" ca="1" si="2"/>
        <v>EXPIRED</v>
      </c>
      <c r="K56" s="36" t="s">
        <v>180</v>
      </c>
      <c r="L56" s="39"/>
    </row>
    <row r="57" spans="1:12" x14ac:dyDescent="0.35">
      <c r="A57" s="34" t="str">
        <f t="shared" si="0"/>
        <v>DON-0053</v>
      </c>
      <c r="B57" s="35">
        <v>45855</v>
      </c>
      <c r="C57" s="36" t="s">
        <v>151</v>
      </c>
      <c r="D57" s="36" t="s">
        <v>152</v>
      </c>
      <c r="E57" s="36" t="s">
        <v>8</v>
      </c>
      <c r="F57" s="36" t="s">
        <v>143</v>
      </c>
      <c r="G57" s="37">
        <v>44</v>
      </c>
      <c r="H57" s="66">
        <v>45875</v>
      </c>
      <c r="I57" s="38">
        <f t="shared" ca="1" si="1"/>
        <v>-324</v>
      </c>
      <c r="J57" s="38" t="str">
        <f t="shared" ca="1" si="2"/>
        <v>EXPIRED</v>
      </c>
      <c r="K57" s="36" t="s">
        <v>180</v>
      </c>
      <c r="L57" s="39"/>
    </row>
    <row r="58" spans="1:12" x14ac:dyDescent="0.35">
      <c r="A58" s="34" t="str">
        <f t="shared" si="0"/>
        <v>DON-0054</v>
      </c>
      <c r="B58" s="35">
        <v>45855</v>
      </c>
      <c r="C58" s="36" t="s">
        <v>76</v>
      </c>
      <c r="D58" s="36" t="s">
        <v>77</v>
      </c>
      <c r="E58" s="36" t="s">
        <v>74</v>
      </c>
      <c r="F58" s="36" t="s">
        <v>75</v>
      </c>
      <c r="G58" s="37">
        <v>24</v>
      </c>
      <c r="H58" s="66">
        <v>46055</v>
      </c>
      <c r="I58" s="38">
        <f t="shared" ca="1" si="1"/>
        <v>-144</v>
      </c>
      <c r="J58" s="38" t="str">
        <f t="shared" ca="1" si="2"/>
        <v>EXPIRED</v>
      </c>
      <c r="K58" s="36" t="s">
        <v>179</v>
      </c>
      <c r="L58" s="39"/>
    </row>
    <row r="59" spans="1:12" x14ac:dyDescent="0.35">
      <c r="A59" s="34" t="str">
        <f t="shared" si="0"/>
        <v>DON-0055</v>
      </c>
      <c r="B59" s="35">
        <v>45855</v>
      </c>
      <c r="C59" s="36" t="s">
        <v>43</v>
      </c>
      <c r="D59" s="36" t="s">
        <v>44</v>
      </c>
      <c r="E59" s="36" t="s">
        <v>31</v>
      </c>
      <c r="F59" s="36" t="s">
        <v>42</v>
      </c>
      <c r="G59" s="37">
        <v>28</v>
      </c>
      <c r="H59" s="66">
        <v>46289</v>
      </c>
      <c r="I59" s="38">
        <f t="shared" ca="1" si="1"/>
        <v>90</v>
      </c>
      <c r="J59" s="38" t="str">
        <f t="shared" ca="1" si="2"/>
        <v>OK</v>
      </c>
      <c r="K59" s="36" t="s">
        <v>180</v>
      </c>
      <c r="L59" s="39"/>
    </row>
    <row r="60" spans="1:12" x14ac:dyDescent="0.35">
      <c r="A60" s="34" t="str">
        <f t="shared" si="0"/>
        <v>DON-0056</v>
      </c>
      <c r="B60" s="35">
        <v>45855</v>
      </c>
      <c r="C60" s="36" t="s">
        <v>106</v>
      </c>
      <c r="D60" s="36" t="s">
        <v>107</v>
      </c>
      <c r="E60" s="36" t="s">
        <v>102</v>
      </c>
      <c r="F60" s="36" t="s">
        <v>108</v>
      </c>
      <c r="G60" s="37">
        <v>46</v>
      </c>
      <c r="H60" s="66">
        <v>46473</v>
      </c>
      <c r="I60" s="38">
        <f t="shared" ca="1" si="1"/>
        <v>274</v>
      </c>
      <c r="J60" s="38" t="str">
        <f t="shared" ca="1" si="2"/>
        <v>OK</v>
      </c>
      <c r="K60" s="36" t="s">
        <v>179</v>
      </c>
      <c r="L60" s="39"/>
    </row>
    <row r="61" spans="1:12" x14ac:dyDescent="0.35">
      <c r="A61" s="34" t="str">
        <f t="shared" si="0"/>
        <v>DON-0057</v>
      </c>
      <c r="B61" s="35">
        <v>45855</v>
      </c>
      <c r="C61" s="36" t="s">
        <v>67</v>
      </c>
      <c r="D61" s="36" t="s">
        <v>68</v>
      </c>
      <c r="E61" s="36" t="s">
        <v>66</v>
      </c>
      <c r="F61" s="36" t="s">
        <v>42</v>
      </c>
      <c r="G61" s="37">
        <v>31</v>
      </c>
      <c r="H61" s="66">
        <v>46566</v>
      </c>
      <c r="I61" s="38">
        <f t="shared" ca="1" si="1"/>
        <v>367</v>
      </c>
      <c r="J61" s="38" t="str">
        <f t="shared" ca="1" si="2"/>
        <v>OK</v>
      </c>
      <c r="K61" s="36" t="s">
        <v>179</v>
      </c>
      <c r="L61" s="39"/>
    </row>
    <row r="62" spans="1:12" x14ac:dyDescent="0.35">
      <c r="A62" s="34" t="str">
        <f t="shared" si="0"/>
        <v>DON-0058</v>
      </c>
      <c r="B62" s="35">
        <v>45855</v>
      </c>
      <c r="C62" s="36" t="s">
        <v>59</v>
      </c>
      <c r="D62" s="36" t="s">
        <v>60</v>
      </c>
      <c r="E62" s="36" t="s">
        <v>53</v>
      </c>
      <c r="F62" s="36" t="s">
        <v>56</v>
      </c>
      <c r="G62" s="37">
        <v>90</v>
      </c>
      <c r="H62" s="66">
        <v>46926</v>
      </c>
      <c r="I62" s="38">
        <f t="shared" ca="1" si="1"/>
        <v>727</v>
      </c>
      <c r="J62" s="38" t="str">
        <f t="shared" ca="1" si="2"/>
        <v>OK</v>
      </c>
      <c r="K62" s="36" t="s">
        <v>179</v>
      </c>
      <c r="L62" s="39"/>
    </row>
    <row r="63" spans="1:12" x14ac:dyDescent="0.35">
      <c r="A63" s="34" t="str">
        <f t="shared" si="0"/>
        <v>DON-0059</v>
      </c>
      <c r="B63" s="35">
        <v>45855</v>
      </c>
      <c r="C63" s="36" t="s">
        <v>122</v>
      </c>
      <c r="D63" s="36" t="s">
        <v>123</v>
      </c>
      <c r="E63" s="36" t="s">
        <v>14</v>
      </c>
      <c r="F63" s="36" t="s">
        <v>124</v>
      </c>
      <c r="G63" s="37">
        <v>11</v>
      </c>
      <c r="H63" s="66">
        <v>47227</v>
      </c>
      <c r="I63" s="38">
        <f t="shared" ca="1" si="1"/>
        <v>1028</v>
      </c>
      <c r="J63" s="38" t="str">
        <f t="shared" ca="1" si="2"/>
        <v>OK</v>
      </c>
      <c r="K63" s="36" t="s">
        <v>179</v>
      </c>
      <c r="L63" s="39"/>
    </row>
    <row r="64" spans="1:12" x14ac:dyDescent="0.35">
      <c r="A64" s="34" t="str">
        <f t="shared" si="0"/>
        <v>DON-0060</v>
      </c>
      <c r="B64" s="35">
        <v>45855</v>
      </c>
      <c r="C64" s="36" t="s">
        <v>125</v>
      </c>
      <c r="D64" s="36" t="s">
        <v>126</v>
      </c>
      <c r="E64" s="36" t="s">
        <v>14</v>
      </c>
      <c r="F64" s="36" t="s">
        <v>127</v>
      </c>
      <c r="G64" s="37">
        <v>6</v>
      </c>
      <c r="H64" s="66">
        <v>47597</v>
      </c>
      <c r="I64" s="38">
        <f t="shared" ca="1" si="1"/>
        <v>1398</v>
      </c>
      <c r="J64" s="38" t="str">
        <f t="shared" ca="1" si="2"/>
        <v>OK</v>
      </c>
      <c r="K64" s="36" t="s">
        <v>179</v>
      </c>
      <c r="L64" s="39"/>
    </row>
    <row r="65" spans="1:12" x14ac:dyDescent="0.35">
      <c r="A65" s="34" t="str">
        <f t="shared" si="0"/>
        <v>DON-0061</v>
      </c>
      <c r="B65" s="35">
        <v>45856</v>
      </c>
      <c r="C65" s="36" t="s">
        <v>130</v>
      </c>
      <c r="D65" s="36" t="s">
        <v>16</v>
      </c>
      <c r="E65" s="36" t="s">
        <v>10</v>
      </c>
      <c r="F65" s="36" t="s">
        <v>131</v>
      </c>
      <c r="G65" s="37">
        <v>22</v>
      </c>
      <c r="H65" s="66">
        <v>45878</v>
      </c>
      <c r="I65" s="38">
        <f t="shared" ca="1" si="1"/>
        <v>-321</v>
      </c>
      <c r="J65" s="38" t="str">
        <f t="shared" ca="1" si="2"/>
        <v>EXPIRED</v>
      </c>
      <c r="K65" s="36" t="s">
        <v>179</v>
      </c>
      <c r="L65" s="39"/>
    </row>
    <row r="66" spans="1:12" x14ac:dyDescent="0.35">
      <c r="A66" s="34" t="str">
        <f t="shared" si="0"/>
        <v>DON-0062</v>
      </c>
      <c r="B66" s="35">
        <v>45856</v>
      </c>
      <c r="C66" s="36" t="s">
        <v>153</v>
      </c>
      <c r="D66" s="36" t="s">
        <v>154</v>
      </c>
      <c r="E66" s="36" t="s">
        <v>12</v>
      </c>
      <c r="F66" s="36" t="s">
        <v>155</v>
      </c>
      <c r="G66" s="37">
        <v>12</v>
      </c>
      <c r="H66" s="66">
        <v>46001</v>
      </c>
      <c r="I66" s="38">
        <f t="shared" ca="1" si="1"/>
        <v>-198</v>
      </c>
      <c r="J66" s="38" t="str">
        <f t="shared" ca="1" si="2"/>
        <v>EXPIRED</v>
      </c>
      <c r="K66" s="36" t="s">
        <v>179</v>
      </c>
      <c r="L66" s="39"/>
    </row>
    <row r="67" spans="1:12" x14ac:dyDescent="0.35">
      <c r="A67" s="34" t="str">
        <f t="shared" si="0"/>
        <v>DON-0063</v>
      </c>
      <c r="B67" s="35">
        <v>45856</v>
      </c>
      <c r="C67" s="36" t="s">
        <v>54</v>
      </c>
      <c r="D67" s="36" t="s">
        <v>55</v>
      </c>
      <c r="E67" s="36" t="s">
        <v>53</v>
      </c>
      <c r="F67" s="36" t="s">
        <v>56</v>
      </c>
      <c r="G67" s="37">
        <v>92</v>
      </c>
      <c r="H67" s="66">
        <v>46637</v>
      </c>
      <c r="I67" s="38">
        <f t="shared" ca="1" si="1"/>
        <v>438</v>
      </c>
      <c r="J67" s="38" t="str">
        <f t="shared" ca="1" si="2"/>
        <v>OK</v>
      </c>
      <c r="K67" s="36" t="s">
        <v>179</v>
      </c>
      <c r="L67" s="39"/>
    </row>
    <row r="68" spans="1:12" x14ac:dyDescent="0.35">
      <c r="A68" s="34" t="str">
        <f t="shared" si="0"/>
        <v>DON-0064</v>
      </c>
      <c r="B68" s="35">
        <v>45856</v>
      </c>
      <c r="C68" s="36" t="s">
        <v>125</v>
      </c>
      <c r="D68" s="36" t="s">
        <v>126</v>
      </c>
      <c r="E68" s="36" t="s">
        <v>14</v>
      </c>
      <c r="F68" s="36" t="s">
        <v>127</v>
      </c>
      <c r="G68" s="37">
        <v>14</v>
      </c>
      <c r="H68" s="66">
        <v>46961</v>
      </c>
      <c r="I68" s="38">
        <f t="shared" ca="1" si="1"/>
        <v>762</v>
      </c>
      <c r="J68" s="38" t="str">
        <f t="shared" ca="1" si="2"/>
        <v>OK</v>
      </c>
      <c r="K68" s="36" t="s">
        <v>179</v>
      </c>
      <c r="L68" s="39"/>
    </row>
    <row r="69" spans="1:12" x14ac:dyDescent="0.35">
      <c r="A69" s="34" t="str">
        <f t="shared" ref="A69:A132" si="3">IF(G69="","","DON-"&amp;TEXT(ROW()-4,"0000"))</f>
        <v>DON-0065</v>
      </c>
      <c r="B69" s="35">
        <v>45862</v>
      </c>
      <c r="C69" s="36" t="s">
        <v>144</v>
      </c>
      <c r="D69" s="36" t="s">
        <v>7</v>
      </c>
      <c r="E69" s="36" t="s">
        <v>8</v>
      </c>
      <c r="F69" s="36" t="s">
        <v>145</v>
      </c>
      <c r="G69" s="37">
        <v>22</v>
      </c>
      <c r="H69" s="66">
        <v>45871</v>
      </c>
      <c r="I69" s="38">
        <f t="shared" ref="I69:I132" ca="1" si="4">IF(H69="","",H69-TODAY())</f>
        <v>-328</v>
      </c>
      <c r="J69" s="38" t="str">
        <f t="shared" ref="J69:J132" ca="1" si="5">IF(I69="","",IF(I69&lt;=0,"EXPIRED",IF(I69&lt;=3,"CRITICAL",IF(I69&lt;=7,"WARNING",IF(I69&lt;=30,"NOTICE","OK")))))</f>
        <v>EXPIRED</v>
      </c>
      <c r="K69" s="36" t="s">
        <v>176</v>
      </c>
      <c r="L69" s="39"/>
    </row>
    <row r="70" spans="1:12" x14ac:dyDescent="0.35">
      <c r="A70" s="34" t="str">
        <f t="shared" si="3"/>
        <v>DON-0066</v>
      </c>
      <c r="B70" s="35">
        <v>45862</v>
      </c>
      <c r="C70" s="36" t="s">
        <v>130</v>
      </c>
      <c r="D70" s="36" t="s">
        <v>16</v>
      </c>
      <c r="E70" s="36" t="s">
        <v>10</v>
      </c>
      <c r="F70" s="36" t="s">
        <v>131</v>
      </c>
      <c r="G70" s="37">
        <v>18</v>
      </c>
      <c r="H70" s="66">
        <v>45897</v>
      </c>
      <c r="I70" s="38">
        <f t="shared" ca="1" si="4"/>
        <v>-302</v>
      </c>
      <c r="J70" s="38" t="str">
        <f t="shared" ca="1" si="5"/>
        <v>EXPIRED</v>
      </c>
      <c r="K70" s="36" t="s">
        <v>176</v>
      </c>
      <c r="L70" s="39"/>
    </row>
    <row r="71" spans="1:12" x14ac:dyDescent="0.35">
      <c r="A71" s="34" t="str">
        <f t="shared" si="3"/>
        <v>DON-0067</v>
      </c>
      <c r="B71" s="35">
        <v>45862</v>
      </c>
      <c r="C71" s="36" t="s">
        <v>132</v>
      </c>
      <c r="D71" s="36" t="s">
        <v>133</v>
      </c>
      <c r="E71" s="36" t="s">
        <v>10</v>
      </c>
      <c r="F71" s="36" t="s">
        <v>134</v>
      </c>
      <c r="G71" s="37">
        <v>12</v>
      </c>
      <c r="H71" s="66">
        <v>45901</v>
      </c>
      <c r="I71" s="38">
        <f t="shared" ca="1" si="4"/>
        <v>-298</v>
      </c>
      <c r="J71" s="38" t="str">
        <f t="shared" ca="1" si="5"/>
        <v>EXPIRED</v>
      </c>
      <c r="K71" s="36" t="s">
        <v>176</v>
      </c>
      <c r="L71" s="39"/>
    </row>
    <row r="72" spans="1:12" x14ac:dyDescent="0.35">
      <c r="A72" s="34" t="str">
        <f t="shared" si="3"/>
        <v>DON-0068</v>
      </c>
      <c r="B72" s="35">
        <v>45862</v>
      </c>
      <c r="C72" s="36" t="s">
        <v>86</v>
      </c>
      <c r="D72" s="36" t="s">
        <v>87</v>
      </c>
      <c r="E72" s="36" t="s">
        <v>74</v>
      </c>
      <c r="F72" s="36" t="s">
        <v>75</v>
      </c>
      <c r="G72" s="37">
        <v>34</v>
      </c>
      <c r="H72" s="66">
        <v>46127</v>
      </c>
      <c r="I72" s="38">
        <f t="shared" ca="1" si="4"/>
        <v>-72</v>
      </c>
      <c r="J72" s="38" t="str">
        <f t="shared" ca="1" si="5"/>
        <v>EXPIRED</v>
      </c>
      <c r="K72" s="36" t="s">
        <v>176</v>
      </c>
      <c r="L72" s="39"/>
    </row>
    <row r="73" spans="1:12" x14ac:dyDescent="0.35">
      <c r="A73" s="34" t="str">
        <f t="shared" si="3"/>
        <v>DON-0069</v>
      </c>
      <c r="B73" s="35">
        <v>45862</v>
      </c>
      <c r="C73" s="36" t="s">
        <v>46</v>
      </c>
      <c r="D73" s="36" t="s">
        <v>47</v>
      </c>
      <c r="E73" s="36" t="s">
        <v>31</v>
      </c>
      <c r="F73" s="36" t="s">
        <v>42</v>
      </c>
      <c r="G73" s="37">
        <v>77</v>
      </c>
      <c r="H73" s="66">
        <v>46436</v>
      </c>
      <c r="I73" s="38">
        <f t="shared" ca="1" si="4"/>
        <v>237</v>
      </c>
      <c r="J73" s="38" t="str">
        <f t="shared" ca="1" si="5"/>
        <v>OK</v>
      </c>
      <c r="K73" s="36" t="s">
        <v>176</v>
      </c>
      <c r="L73" s="39"/>
    </row>
    <row r="74" spans="1:12" x14ac:dyDescent="0.35">
      <c r="A74" s="34" t="str">
        <f t="shared" si="3"/>
        <v>DON-0070</v>
      </c>
      <c r="B74" s="35">
        <v>45862</v>
      </c>
      <c r="C74" s="36" t="s">
        <v>122</v>
      </c>
      <c r="D74" s="36" t="s">
        <v>123</v>
      </c>
      <c r="E74" s="36" t="s">
        <v>14</v>
      </c>
      <c r="F74" s="36" t="s">
        <v>124</v>
      </c>
      <c r="G74" s="37">
        <v>19</v>
      </c>
      <c r="H74" s="66">
        <v>46489</v>
      </c>
      <c r="I74" s="38">
        <f t="shared" ca="1" si="4"/>
        <v>290</v>
      </c>
      <c r="J74" s="38" t="str">
        <f t="shared" ca="1" si="5"/>
        <v>OK</v>
      </c>
      <c r="K74" s="36" t="s">
        <v>176</v>
      </c>
      <c r="L74" s="39"/>
    </row>
    <row r="75" spans="1:12" x14ac:dyDescent="0.35">
      <c r="A75" s="34" t="str">
        <f t="shared" si="3"/>
        <v>DON-0071</v>
      </c>
      <c r="B75" s="35">
        <v>45862</v>
      </c>
      <c r="C75" s="36" t="s">
        <v>104</v>
      </c>
      <c r="D75" s="36" t="s">
        <v>105</v>
      </c>
      <c r="E75" s="36" t="s">
        <v>102</v>
      </c>
      <c r="F75" s="36" t="s">
        <v>103</v>
      </c>
      <c r="G75" s="37">
        <v>57</v>
      </c>
      <c r="H75" s="66">
        <v>46548</v>
      </c>
      <c r="I75" s="38">
        <f t="shared" ca="1" si="4"/>
        <v>349</v>
      </c>
      <c r="J75" s="38" t="str">
        <f t="shared" ca="1" si="5"/>
        <v>OK</v>
      </c>
      <c r="K75" s="36" t="s">
        <v>176</v>
      </c>
      <c r="L75" s="39"/>
    </row>
    <row r="76" spans="1:12" x14ac:dyDescent="0.35">
      <c r="A76" s="34" t="str">
        <f t="shared" si="3"/>
        <v>DON-0072</v>
      </c>
      <c r="B76" s="35">
        <v>45864</v>
      </c>
      <c r="C76" s="36" t="s">
        <v>156</v>
      </c>
      <c r="D76" s="36" t="s">
        <v>11</v>
      </c>
      <c r="E76" s="36" t="s">
        <v>12</v>
      </c>
      <c r="F76" s="36" t="s">
        <v>155</v>
      </c>
      <c r="G76" s="37">
        <v>16</v>
      </c>
      <c r="H76" s="66">
        <v>45872</v>
      </c>
      <c r="I76" s="38">
        <f t="shared" ca="1" si="4"/>
        <v>-327</v>
      </c>
      <c r="J76" s="38" t="str">
        <f t="shared" ca="1" si="5"/>
        <v>EXPIRED</v>
      </c>
      <c r="K76" s="36" t="s">
        <v>179</v>
      </c>
      <c r="L76" s="39"/>
    </row>
    <row r="77" spans="1:12" x14ac:dyDescent="0.35">
      <c r="A77" s="34" t="str">
        <f t="shared" si="3"/>
        <v>DON-0073</v>
      </c>
      <c r="B77" s="35">
        <v>45864</v>
      </c>
      <c r="C77" s="36" t="s">
        <v>141</v>
      </c>
      <c r="D77" s="36" t="s">
        <v>142</v>
      </c>
      <c r="E77" s="36" t="s">
        <v>8</v>
      </c>
      <c r="F77" s="36" t="s">
        <v>143</v>
      </c>
      <c r="G77" s="37">
        <v>32</v>
      </c>
      <c r="H77" s="66">
        <v>45873</v>
      </c>
      <c r="I77" s="38">
        <f t="shared" ca="1" si="4"/>
        <v>-326</v>
      </c>
      <c r="J77" s="38" t="str">
        <f t="shared" ca="1" si="5"/>
        <v>EXPIRED</v>
      </c>
      <c r="K77" s="36" t="s">
        <v>179</v>
      </c>
      <c r="L77" s="39"/>
    </row>
    <row r="78" spans="1:12" x14ac:dyDescent="0.35">
      <c r="A78" s="34" t="str">
        <f t="shared" si="3"/>
        <v>DON-0074</v>
      </c>
      <c r="B78" s="35">
        <v>45864</v>
      </c>
      <c r="C78" s="36" t="s">
        <v>146</v>
      </c>
      <c r="D78" s="36" t="s">
        <v>147</v>
      </c>
      <c r="E78" s="36" t="s">
        <v>8</v>
      </c>
      <c r="F78" s="36" t="s">
        <v>148</v>
      </c>
      <c r="G78" s="37">
        <v>22</v>
      </c>
      <c r="H78" s="66">
        <v>45874</v>
      </c>
      <c r="I78" s="38">
        <f t="shared" ca="1" si="4"/>
        <v>-325</v>
      </c>
      <c r="J78" s="38" t="str">
        <f t="shared" ca="1" si="5"/>
        <v>EXPIRED</v>
      </c>
      <c r="K78" s="36" t="s">
        <v>179</v>
      </c>
      <c r="L78" s="39"/>
    </row>
    <row r="79" spans="1:12" x14ac:dyDescent="0.35">
      <c r="A79" s="34" t="str">
        <f t="shared" si="3"/>
        <v>DON-0075</v>
      </c>
      <c r="B79" s="35">
        <v>45864</v>
      </c>
      <c r="C79" s="36" t="s">
        <v>128</v>
      </c>
      <c r="D79" s="36" t="s">
        <v>9</v>
      </c>
      <c r="E79" s="36" t="s">
        <v>10</v>
      </c>
      <c r="F79" s="36" t="s">
        <v>129</v>
      </c>
      <c r="G79" s="37">
        <v>10</v>
      </c>
      <c r="H79" s="66">
        <v>45877</v>
      </c>
      <c r="I79" s="38">
        <f t="shared" ca="1" si="4"/>
        <v>-322</v>
      </c>
      <c r="J79" s="38" t="str">
        <f t="shared" ca="1" si="5"/>
        <v>EXPIRED</v>
      </c>
      <c r="K79" s="36" t="s">
        <v>176</v>
      </c>
      <c r="L79" s="39"/>
    </row>
    <row r="80" spans="1:12" x14ac:dyDescent="0.35">
      <c r="A80" s="34" t="str">
        <f t="shared" si="3"/>
        <v>DON-0076</v>
      </c>
      <c r="B80" s="35">
        <v>45864</v>
      </c>
      <c r="C80" s="36" t="s">
        <v>149</v>
      </c>
      <c r="D80" s="36" t="s">
        <v>150</v>
      </c>
      <c r="E80" s="36" t="s">
        <v>8</v>
      </c>
      <c r="F80" s="36" t="s">
        <v>75</v>
      </c>
      <c r="G80" s="37">
        <v>16</v>
      </c>
      <c r="H80" s="66">
        <v>45904</v>
      </c>
      <c r="I80" s="38">
        <f t="shared" ca="1" si="4"/>
        <v>-295</v>
      </c>
      <c r="J80" s="38" t="str">
        <f t="shared" ca="1" si="5"/>
        <v>EXPIRED</v>
      </c>
      <c r="K80" s="36" t="s">
        <v>176</v>
      </c>
      <c r="L80" s="39"/>
    </row>
    <row r="81" spans="1:12" x14ac:dyDescent="0.35">
      <c r="A81" s="34" t="str">
        <f t="shared" si="3"/>
        <v>DON-0077</v>
      </c>
      <c r="B81" s="35">
        <v>45864</v>
      </c>
      <c r="C81" s="36" t="s">
        <v>120</v>
      </c>
      <c r="D81" s="36" t="s">
        <v>121</v>
      </c>
      <c r="E81" s="36" t="s">
        <v>14</v>
      </c>
      <c r="F81" s="36" t="s">
        <v>119</v>
      </c>
      <c r="G81" s="37">
        <v>7</v>
      </c>
      <c r="H81" s="66">
        <v>46002</v>
      </c>
      <c r="I81" s="38">
        <f t="shared" ca="1" si="4"/>
        <v>-197</v>
      </c>
      <c r="J81" s="38" t="str">
        <f t="shared" ca="1" si="5"/>
        <v>EXPIRED</v>
      </c>
      <c r="K81" s="36" t="s">
        <v>181</v>
      </c>
      <c r="L81" s="39"/>
    </row>
    <row r="82" spans="1:12" x14ac:dyDescent="0.35">
      <c r="A82" s="34" t="str">
        <f t="shared" si="3"/>
        <v>DON-0078</v>
      </c>
      <c r="B82" s="35">
        <v>45864</v>
      </c>
      <c r="C82" s="36" t="s">
        <v>76</v>
      </c>
      <c r="D82" s="36" t="s">
        <v>77</v>
      </c>
      <c r="E82" s="36" t="s">
        <v>74</v>
      </c>
      <c r="F82" s="36" t="s">
        <v>75</v>
      </c>
      <c r="G82" s="37">
        <v>41</v>
      </c>
      <c r="H82" s="66">
        <v>46109</v>
      </c>
      <c r="I82" s="38">
        <f t="shared" ca="1" si="4"/>
        <v>-90</v>
      </c>
      <c r="J82" s="38" t="str">
        <f t="shared" ca="1" si="5"/>
        <v>EXPIRED</v>
      </c>
      <c r="K82" s="36" t="s">
        <v>176</v>
      </c>
      <c r="L82" s="39"/>
    </row>
    <row r="83" spans="1:12" x14ac:dyDescent="0.35">
      <c r="A83" s="34" t="str">
        <f t="shared" si="3"/>
        <v>DON-0079</v>
      </c>
      <c r="B83" s="35">
        <v>45864</v>
      </c>
      <c r="C83" s="36" t="s">
        <v>81</v>
      </c>
      <c r="D83" s="36" t="s">
        <v>82</v>
      </c>
      <c r="E83" s="36" t="s">
        <v>74</v>
      </c>
      <c r="F83" s="36" t="s">
        <v>80</v>
      </c>
      <c r="G83" s="37">
        <v>25</v>
      </c>
      <c r="H83" s="66">
        <v>46136</v>
      </c>
      <c r="I83" s="38">
        <f t="shared" ca="1" si="4"/>
        <v>-63</v>
      </c>
      <c r="J83" s="38" t="str">
        <f t="shared" ca="1" si="5"/>
        <v>EXPIRED</v>
      </c>
      <c r="K83" s="36" t="s">
        <v>176</v>
      </c>
      <c r="L83" s="39"/>
    </row>
    <row r="84" spans="1:12" x14ac:dyDescent="0.35">
      <c r="A84" s="34" t="str">
        <f t="shared" si="3"/>
        <v>DON-0080</v>
      </c>
      <c r="B84" s="35">
        <v>45864</v>
      </c>
      <c r="C84" s="36" t="s">
        <v>88</v>
      </c>
      <c r="D84" s="36" t="s">
        <v>89</v>
      </c>
      <c r="E84" s="36" t="s">
        <v>74</v>
      </c>
      <c r="F84" s="36" t="s">
        <v>90</v>
      </c>
      <c r="G84" s="37">
        <v>20</v>
      </c>
      <c r="H84" s="66">
        <v>46151</v>
      </c>
      <c r="I84" s="38">
        <f t="shared" ca="1" si="4"/>
        <v>-48</v>
      </c>
      <c r="J84" s="38" t="str">
        <f t="shared" ca="1" si="5"/>
        <v>EXPIRED</v>
      </c>
      <c r="K84" s="36" t="s">
        <v>179</v>
      </c>
      <c r="L84" s="39"/>
    </row>
    <row r="85" spans="1:12" x14ac:dyDescent="0.35">
      <c r="A85" s="34" t="str">
        <f t="shared" si="3"/>
        <v>DON-0081</v>
      </c>
      <c r="B85" s="35">
        <v>45864</v>
      </c>
      <c r="C85" s="36" t="s">
        <v>48</v>
      </c>
      <c r="D85" s="36" t="s">
        <v>49</v>
      </c>
      <c r="E85" s="36" t="s">
        <v>31</v>
      </c>
      <c r="F85" s="36" t="s">
        <v>50</v>
      </c>
      <c r="G85" s="37">
        <v>51</v>
      </c>
      <c r="H85" s="66">
        <v>46208</v>
      </c>
      <c r="I85" s="38">
        <f t="shared" ca="1" si="4"/>
        <v>9</v>
      </c>
      <c r="J85" s="38" t="str">
        <f t="shared" ca="1" si="5"/>
        <v>NOTICE</v>
      </c>
      <c r="K85" s="36" t="s">
        <v>179</v>
      </c>
      <c r="L85" s="39"/>
    </row>
    <row r="86" spans="1:12" x14ac:dyDescent="0.35">
      <c r="A86" s="34" t="str">
        <f t="shared" si="3"/>
        <v>DON-0082</v>
      </c>
      <c r="B86" s="35">
        <v>45864</v>
      </c>
      <c r="C86" s="36" t="s">
        <v>161</v>
      </c>
      <c r="D86" s="36" t="s">
        <v>162</v>
      </c>
      <c r="E86" s="36" t="s">
        <v>159</v>
      </c>
      <c r="F86" s="36" t="s">
        <v>163</v>
      </c>
      <c r="G86" s="37">
        <v>32</v>
      </c>
      <c r="H86" s="66">
        <v>46333</v>
      </c>
      <c r="I86" s="38">
        <f t="shared" ca="1" si="4"/>
        <v>134</v>
      </c>
      <c r="J86" s="38" t="str">
        <f t="shared" ca="1" si="5"/>
        <v>OK</v>
      </c>
      <c r="K86" s="36" t="s">
        <v>179</v>
      </c>
      <c r="L86" s="39"/>
    </row>
    <row r="87" spans="1:12" x14ac:dyDescent="0.35">
      <c r="A87" s="34" t="str">
        <f t="shared" si="3"/>
        <v>DON-0083</v>
      </c>
      <c r="B87" s="35">
        <v>45864</v>
      </c>
      <c r="C87" s="36" t="s">
        <v>40</v>
      </c>
      <c r="D87" s="36" t="s">
        <v>41</v>
      </c>
      <c r="E87" s="36" t="s">
        <v>31</v>
      </c>
      <c r="F87" s="36" t="s">
        <v>42</v>
      </c>
      <c r="G87" s="37">
        <v>70</v>
      </c>
      <c r="H87" s="66">
        <v>46340</v>
      </c>
      <c r="I87" s="38">
        <f t="shared" ca="1" si="4"/>
        <v>141</v>
      </c>
      <c r="J87" s="38" t="str">
        <f t="shared" ca="1" si="5"/>
        <v>OK</v>
      </c>
      <c r="K87" s="36" t="s">
        <v>179</v>
      </c>
      <c r="L87" s="39"/>
    </row>
    <row r="88" spans="1:12" x14ac:dyDescent="0.35">
      <c r="A88" s="34" t="str">
        <f t="shared" si="3"/>
        <v>DON-0084</v>
      </c>
      <c r="B88" s="35">
        <v>45864</v>
      </c>
      <c r="C88" s="36" t="s">
        <v>46</v>
      </c>
      <c r="D88" s="36" t="s">
        <v>47</v>
      </c>
      <c r="E88" s="36" t="s">
        <v>31</v>
      </c>
      <c r="F88" s="36" t="s">
        <v>42</v>
      </c>
      <c r="G88" s="37">
        <v>63</v>
      </c>
      <c r="H88" s="66">
        <v>46469</v>
      </c>
      <c r="I88" s="38">
        <f t="shared" ca="1" si="4"/>
        <v>270</v>
      </c>
      <c r="J88" s="38" t="str">
        <f t="shared" ca="1" si="5"/>
        <v>OK</v>
      </c>
      <c r="K88" s="36" t="s">
        <v>181</v>
      </c>
      <c r="L88" s="39"/>
    </row>
    <row r="89" spans="1:12" x14ac:dyDescent="0.35">
      <c r="A89" s="34" t="str">
        <f t="shared" si="3"/>
        <v>DON-0085</v>
      </c>
      <c r="B89" s="35">
        <v>45864</v>
      </c>
      <c r="C89" s="36" t="s">
        <v>111</v>
      </c>
      <c r="D89" s="36" t="s">
        <v>112</v>
      </c>
      <c r="E89" s="36" t="s">
        <v>102</v>
      </c>
      <c r="F89" s="36" t="s">
        <v>113</v>
      </c>
      <c r="G89" s="37">
        <v>31</v>
      </c>
      <c r="H89" s="66">
        <v>46532</v>
      </c>
      <c r="I89" s="38">
        <f t="shared" ca="1" si="4"/>
        <v>333</v>
      </c>
      <c r="J89" s="38" t="str">
        <f t="shared" ca="1" si="5"/>
        <v>OK</v>
      </c>
      <c r="K89" s="36" t="s">
        <v>176</v>
      </c>
      <c r="L89" s="39"/>
    </row>
    <row r="90" spans="1:12" x14ac:dyDescent="0.35">
      <c r="A90" s="34" t="str">
        <f t="shared" si="3"/>
        <v>DON-0086</v>
      </c>
      <c r="B90" s="35">
        <v>45864</v>
      </c>
      <c r="C90" s="36" t="s">
        <v>106</v>
      </c>
      <c r="D90" s="36" t="s">
        <v>107</v>
      </c>
      <c r="E90" s="36" t="s">
        <v>102</v>
      </c>
      <c r="F90" s="36" t="s">
        <v>108</v>
      </c>
      <c r="G90" s="37">
        <v>53</v>
      </c>
      <c r="H90" s="66">
        <v>46784</v>
      </c>
      <c r="I90" s="38">
        <f t="shared" ca="1" si="4"/>
        <v>585</v>
      </c>
      <c r="J90" s="38" t="str">
        <f t="shared" ca="1" si="5"/>
        <v>OK</v>
      </c>
      <c r="K90" s="36" t="s">
        <v>176</v>
      </c>
      <c r="L90" s="39"/>
    </row>
    <row r="91" spans="1:12" x14ac:dyDescent="0.35">
      <c r="A91" s="34" t="str">
        <f t="shared" si="3"/>
        <v>DON-0087</v>
      </c>
      <c r="B91" s="35">
        <v>45864</v>
      </c>
      <c r="C91" s="36" t="s">
        <v>100</v>
      </c>
      <c r="D91" s="36" t="s">
        <v>101</v>
      </c>
      <c r="E91" s="36" t="s">
        <v>102</v>
      </c>
      <c r="F91" s="36" t="s">
        <v>103</v>
      </c>
      <c r="G91" s="37">
        <v>64</v>
      </c>
      <c r="H91" s="66">
        <v>46792</v>
      </c>
      <c r="I91" s="38">
        <f t="shared" ca="1" si="4"/>
        <v>593</v>
      </c>
      <c r="J91" s="38" t="str">
        <f t="shared" ca="1" si="5"/>
        <v>OK</v>
      </c>
      <c r="K91" s="36" t="s">
        <v>179</v>
      </c>
      <c r="L91" s="39"/>
    </row>
    <row r="92" spans="1:12" x14ac:dyDescent="0.35">
      <c r="A92" s="34" t="str">
        <f t="shared" si="3"/>
        <v>DON-0088</v>
      </c>
      <c r="B92" s="35">
        <v>45864</v>
      </c>
      <c r="C92" s="36" t="s">
        <v>61</v>
      </c>
      <c r="D92" s="36" t="s">
        <v>62</v>
      </c>
      <c r="E92" s="36" t="s">
        <v>53</v>
      </c>
      <c r="F92" s="36" t="s">
        <v>42</v>
      </c>
      <c r="G92" s="37">
        <v>64</v>
      </c>
      <c r="H92" s="66">
        <v>46812</v>
      </c>
      <c r="I92" s="38">
        <f t="shared" ca="1" si="4"/>
        <v>613</v>
      </c>
      <c r="J92" s="38" t="str">
        <f t="shared" ca="1" si="5"/>
        <v>OK</v>
      </c>
      <c r="K92" s="36" t="s">
        <v>181</v>
      </c>
      <c r="L92" s="39"/>
    </row>
    <row r="93" spans="1:12" x14ac:dyDescent="0.35">
      <c r="A93" s="34" t="str">
        <f t="shared" si="3"/>
        <v>DON-0089</v>
      </c>
      <c r="B93" s="35">
        <v>45865</v>
      </c>
      <c r="C93" s="36" t="s">
        <v>157</v>
      </c>
      <c r="D93" s="36" t="s">
        <v>158</v>
      </c>
      <c r="E93" s="36" t="s">
        <v>159</v>
      </c>
      <c r="F93" s="36" t="s">
        <v>160</v>
      </c>
      <c r="G93" s="37">
        <v>20</v>
      </c>
      <c r="H93" s="66">
        <v>46109</v>
      </c>
      <c r="I93" s="38">
        <f t="shared" ca="1" si="4"/>
        <v>-90</v>
      </c>
      <c r="J93" s="38" t="str">
        <f t="shared" ca="1" si="5"/>
        <v>EXPIRED</v>
      </c>
      <c r="K93" s="36" t="s">
        <v>176</v>
      </c>
      <c r="L93" s="39"/>
    </row>
    <row r="94" spans="1:12" x14ac:dyDescent="0.35">
      <c r="A94" s="34" t="str">
        <f t="shared" si="3"/>
        <v>DON-0090</v>
      </c>
      <c r="B94" s="35">
        <v>45865</v>
      </c>
      <c r="C94" s="36" t="s">
        <v>72</v>
      </c>
      <c r="D94" s="36" t="s">
        <v>73</v>
      </c>
      <c r="E94" s="36" t="s">
        <v>74</v>
      </c>
      <c r="F94" s="36" t="s">
        <v>75</v>
      </c>
      <c r="G94" s="37">
        <v>24</v>
      </c>
      <c r="H94" s="66">
        <v>46313</v>
      </c>
      <c r="I94" s="38">
        <f t="shared" ca="1" si="4"/>
        <v>114</v>
      </c>
      <c r="J94" s="38" t="str">
        <f t="shared" ca="1" si="5"/>
        <v>OK</v>
      </c>
      <c r="K94" s="36" t="s">
        <v>176</v>
      </c>
      <c r="L94" s="39"/>
    </row>
    <row r="95" spans="1:12" x14ac:dyDescent="0.35">
      <c r="A95" s="34" t="str">
        <f t="shared" si="3"/>
        <v>DON-0091</v>
      </c>
      <c r="B95" s="35">
        <v>45865</v>
      </c>
      <c r="C95" s="36" t="s">
        <v>59</v>
      </c>
      <c r="D95" s="36" t="s">
        <v>60</v>
      </c>
      <c r="E95" s="36" t="s">
        <v>53</v>
      </c>
      <c r="F95" s="36" t="s">
        <v>56</v>
      </c>
      <c r="G95" s="37">
        <v>101</v>
      </c>
      <c r="H95" s="66">
        <v>46398</v>
      </c>
      <c r="I95" s="38">
        <f t="shared" ca="1" si="4"/>
        <v>199</v>
      </c>
      <c r="J95" s="38" t="str">
        <f t="shared" ca="1" si="5"/>
        <v>OK</v>
      </c>
      <c r="K95" s="36" t="s">
        <v>176</v>
      </c>
      <c r="L95" s="39"/>
    </row>
    <row r="96" spans="1:12" x14ac:dyDescent="0.35">
      <c r="A96" s="34" t="str">
        <f t="shared" si="3"/>
        <v>DON-0092</v>
      </c>
      <c r="B96" s="35">
        <v>45868</v>
      </c>
      <c r="C96" s="36" t="s">
        <v>91</v>
      </c>
      <c r="D96" s="36" t="s">
        <v>92</v>
      </c>
      <c r="E96" s="36" t="s">
        <v>93</v>
      </c>
      <c r="F96" s="36" t="s">
        <v>85</v>
      </c>
      <c r="G96" s="37">
        <v>29</v>
      </c>
      <c r="H96" s="66">
        <v>46195</v>
      </c>
      <c r="I96" s="38">
        <f t="shared" ca="1" si="4"/>
        <v>-4</v>
      </c>
      <c r="J96" s="38" t="str">
        <f t="shared" ca="1" si="5"/>
        <v>EXPIRED</v>
      </c>
      <c r="K96" s="36" t="s">
        <v>180</v>
      </c>
      <c r="L96" s="39"/>
    </row>
    <row r="97" spans="1:12" x14ac:dyDescent="0.35">
      <c r="A97" s="34" t="str">
        <f t="shared" si="3"/>
        <v>DON-0093</v>
      </c>
      <c r="B97" s="35">
        <v>45868</v>
      </c>
      <c r="C97" s="36" t="s">
        <v>76</v>
      </c>
      <c r="D97" s="36" t="s">
        <v>77</v>
      </c>
      <c r="E97" s="36" t="s">
        <v>74</v>
      </c>
      <c r="F97" s="36" t="s">
        <v>75</v>
      </c>
      <c r="G97" s="37">
        <v>22</v>
      </c>
      <c r="H97" s="66">
        <v>46202</v>
      </c>
      <c r="I97" s="38">
        <f t="shared" ca="1" si="4"/>
        <v>3</v>
      </c>
      <c r="J97" s="38" t="str">
        <f t="shared" ca="1" si="5"/>
        <v>CRITICAL</v>
      </c>
      <c r="K97" s="36" t="s">
        <v>180</v>
      </c>
      <c r="L97" s="39"/>
    </row>
    <row r="98" spans="1:12" x14ac:dyDescent="0.35">
      <c r="A98" s="34" t="str">
        <f t="shared" si="3"/>
        <v>DON-0094</v>
      </c>
      <c r="B98" s="35">
        <v>45868</v>
      </c>
      <c r="C98" s="36" t="s">
        <v>43</v>
      </c>
      <c r="D98" s="36" t="s">
        <v>44</v>
      </c>
      <c r="E98" s="36" t="s">
        <v>31</v>
      </c>
      <c r="F98" s="36" t="s">
        <v>42</v>
      </c>
      <c r="G98" s="37">
        <v>62</v>
      </c>
      <c r="H98" s="66">
        <v>46241</v>
      </c>
      <c r="I98" s="38">
        <f t="shared" ca="1" si="4"/>
        <v>42</v>
      </c>
      <c r="J98" s="38" t="str">
        <f t="shared" ca="1" si="5"/>
        <v>OK</v>
      </c>
      <c r="K98" s="36" t="s">
        <v>180</v>
      </c>
      <c r="L98" s="39"/>
    </row>
    <row r="99" spans="1:12" x14ac:dyDescent="0.35">
      <c r="A99" s="34" t="str">
        <f t="shared" si="3"/>
        <v>DON-0095</v>
      </c>
      <c r="B99" s="35">
        <v>45868</v>
      </c>
      <c r="C99" s="36" t="s">
        <v>72</v>
      </c>
      <c r="D99" s="36" t="s">
        <v>73</v>
      </c>
      <c r="E99" s="36" t="s">
        <v>74</v>
      </c>
      <c r="F99" s="36" t="s">
        <v>75</v>
      </c>
      <c r="G99" s="37">
        <v>41</v>
      </c>
      <c r="H99" s="66">
        <v>46394</v>
      </c>
      <c r="I99" s="38">
        <f t="shared" ca="1" si="4"/>
        <v>195</v>
      </c>
      <c r="J99" s="38" t="str">
        <f t="shared" ca="1" si="5"/>
        <v>OK</v>
      </c>
      <c r="K99" s="36" t="s">
        <v>180</v>
      </c>
      <c r="L99" s="39"/>
    </row>
    <row r="100" spans="1:12" x14ac:dyDescent="0.35">
      <c r="A100" s="34" t="str">
        <f t="shared" si="3"/>
        <v>DON-0096</v>
      </c>
      <c r="B100" s="35">
        <v>45868</v>
      </c>
      <c r="C100" s="36" t="s">
        <v>54</v>
      </c>
      <c r="D100" s="36" t="s">
        <v>55</v>
      </c>
      <c r="E100" s="36" t="s">
        <v>53</v>
      </c>
      <c r="F100" s="36" t="s">
        <v>56</v>
      </c>
      <c r="G100" s="37">
        <v>74</v>
      </c>
      <c r="H100" s="66">
        <v>46542</v>
      </c>
      <c r="I100" s="38">
        <f t="shared" ca="1" si="4"/>
        <v>343</v>
      </c>
      <c r="J100" s="38" t="str">
        <f t="shared" ca="1" si="5"/>
        <v>OK</v>
      </c>
      <c r="K100" s="36" t="s">
        <v>180</v>
      </c>
      <c r="L100" s="39"/>
    </row>
    <row r="101" spans="1:12" x14ac:dyDescent="0.35">
      <c r="A101" s="34" t="str">
        <f t="shared" si="3"/>
        <v>DON-0097</v>
      </c>
      <c r="B101" s="35">
        <v>45868</v>
      </c>
      <c r="C101" s="36" t="s">
        <v>81</v>
      </c>
      <c r="D101" s="36" t="s">
        <v>82</v>
      </c>
      <c r="E101" s="36" t="s">
        <v>74</v>
      </c>
      <c r="F101" s="36" t="s">
        <v>80</v>
      </c>
      <c r="G101" s="37">
        <v>20</v>
      </c>
      <c r="H101" s="66">
        <v>46560</v>
      </c>
      <c r="I101" s="38">
        <f t="shared" ca="1" si="4"/>
        <v>361</v>
      </c>
      <c r="J101" s="38" t="str">
        <f t="shared" ca="1" si="5"/>
        <v>OK</v>
      </c>
      <c r="K101" s="36" t="s">
        <v>180</v>
      </c>
      <c r="L101" s="39"/>
    </row>
    <row r="102" spans="1:12" x14ac:dyDescent="0.35">
      <c r="A102" s="34" t="str">
        <f t="shared" si="3"/>
        <v>DON-0098</v>
      </c>
      <c r="B102" s="35">
        <v>45868</v>
      </c>
      <c r="C102" s="36" t="s">
        <v>94</v>
      </c>
      <c r="D102" s="36" t="s">
        <v>95</v>
      </c>
      <c r="E102" s="36" t="s">
        <v>93</v>
      </c>
      <c r="F102" s="36" t="s">
        <v>96</v>
      </c>
      <c r="G102" s="37">
        <v>21</v>
      </c>
      <c r="H102" s="66">
        <v>46158</v>
      </c>
      <c r="I102" s="38">
        <f t="shared" ca="1" si="4"/>
        <v>-41</v>
      </c>
      <c r="J102" s="38" t="str">
        <f t="shared" ca="1" si="5"/>
        <v>EXPIRED</v>
      </c>
      <c r="K102" s="36" t="s">
        <v>180</v>
      </c>
      <c r="L102" s="39"/>
    </row>
    <row r="103" spans="1:12" x14ac:dyDescent="0.35">
      <c r="A103" s="34" t="str">
        <f t="shared" si="3"/>
        <v>DON-0099</v>
      </c>
      <c r="B103" s="35">
        <v>45869</v>
      </c>
      <c r="C103" s="36" t="s">
        <v>156</v>
      </c>
      <c r="D103" s="36" t="s">
        <v>11</v>
      </c>
      <c r="E103" s="36" t="s">
        <v>12</v>
      </c>
      <c r="F103" s="36" t="s">
        <v>155</v>
      </c>
      <c r="G103" s="37">
        <v>19</v>
      </c>
      <c r="H103" s="66">
        <v>45878</v>
      </c>
      <c r="I103" s="38">
        <f t="shared" ca="1" si="4"/>
        <v>-321</v>
      </c>
      <c r="J103" s="38" t="str">
        <f t="shared" ca="1" si="5"/>
        <v>EXPIRED</v>
      </c>
      <c r="K103" s="36" t="s">
        <v>175</v>
      </c>
      <c r="L103" s="39"/>
    </row>
    <row r="104" spans="1:12" x14ac:dyDescent="0.35">
      <c r="A104" s="34" t="str">
        <f t="shared" si="3"/>
        <v>DON-0100</v>
      </c>
      <c r="B104" s="35">
        <v>45869</v>
      </c>
      <c r="C104" s="36" t="s">
        <v>128</v>
      </c>
      <c r="D104" s="36" t="s">
        <v>9</v>
      </c>
      <c r="E104" s="36" t="s">
        <v>10</v>
      </c>
      <c r="F104" s="36" t="s">
        <v>129</v>
      </c>
      <c r="G104" s="37">
        <v>13</v>
      </c>
      <c r="H104" s="66">
        <v>45883</v>
      </c>
      <c r="I104" s="38">
        <f t="shared" ca="1" si="4"/>
        <v>-316</v>
      </c>
      <c r="J104" s="38" t="str">
        <f t="shared" ca="1" si="5"/>
        <v>EXPIRED</v>
      </c>
      <c r="K104" s="36" t="s">
        <v>175</v>
      </c>
      <c r="L104" s="39"/>
    </row>
    <row r="105" spans="1:12" x14ac:dyDescent="0.35">
      <c r="A105" s="34" t="str">
        <f t="shared" si="3"/>
        <v>DON-0101</v>
      </c>
      <c r="B105" s="35">
        <v>45869</v>
      </c>
      <c r="C105" s="36" t="s">
        <v>48</v>
      </c>
      <c r="D105" s="36" t="s">
        <v>49</v>
      </c>
      <c r="E105" s="36" t="s">
        <v>31</v>
      </c>
      <c r="F105" s="36" t="s">
        <v>50</v>
      </c>
      <c r="G105" s="37">
        <v>34</v>
      </c>
      <c r="H105" s="66">
        <v>46062</v>
      </c>
      <c r="I105" s="38">
        <f t="shared" ca="1" si="4"/>
        <v>-137</v>
      </c>
      <c r="J105" s="38" t="str">
        <f t="shared" ca="1" si="5"/>
        <v>EXPIRED</v>
      </c>
      <c r="K105" s="36" t="s">
        <v>175</v>
      </c>
      <c r="L105" s="39"/>
    </row>
    <row r="106" spans="1:12" x14ac:dyDescent="0.35">
      <c r="A106" s="34" t="str">
        <f t="shared" si="3"/>
        <v>DON-0102</v>
      </c>
      <c r="B106" s="35">
        <v>45875</v>
      </c>
      <c r="C106" s="36" t="s">
        <v>149</v>
      </c>
      <c r="D106" s="36" t="s">
        <v>150</v>
      </c>
      <c r="E106" s="36" t="s">
        <v>8</v>
      </c>
      <c r="F106" s="36" t="s">
        <v>75</v>
      </c>
      <c r="G106" s="37">
        <v>16</v>
      </c>
      <c r="H106" s="66">
        <v>45918</v>
      </c>
      <c r="I106" s="38">
        <f t="shared" ca="1" si="4"/>
        <v>-281</v>
      </c>
      <c r="J106" s="38" t="str">
        <f t="shared" ca="1" si="5"/>
        <v>EXPIRED</v>
      </c>
      <c r="K106" s="36" t="s">
        <v>182</v>
      </c>
      <c r="L106" s="39"/>
    </row>
    <row r="107" spans="1:12" x14ac:dyDescent="0.35">
      <c r="A107" s="34" t="str">
        <f t="shared" si="3"/>
        <v>DON-0103</v>
      </c>
      <c r="B107" s="35">
        <v>45875</v>
      </c>
      <c r="C107" s="36" t="s">
        <v>57</v>
      </c>
      <c r="D107" s="36" t="s">
        <v>58</v>
      </c>
      <c r="E107" s="36" t="s">
        <v>53</v>
      </c>
      <c r="F107" s="36" t="s">
        <v>42</v>
      </c>
      <c r="G107" s="37">
        <v>77</v>
      </c>
      <c r="H107" s="66">
        <v>46391</v>
      </c>
      <c r="I107" s="38">
        <f t="shared" ca="1" si="4"/>
        <v>192</v>
      </c>
      <c r="J107" s="38" t="str">
        <f t="shared" ca="1" si="5"/>
        <v>OK</v>
      </c>
      <c r="K107" s="36" t="s">
        <v>182</v>
      </c>
      <c r="L107" s="39"/>
    </row>
    <row r="108" spans="1:12" x14ac:dyDescent="0.35">
      <c r="A108" s="34" t="str">
        <f t="shared" si="3"/>
        <v>DON-0104</v>
      </c>
      <c r="B108" s="35">
        <v>45875</v>
      </c>
      <c r="C108" s="36" t="s">
        <v>125</v>
      </c>
      <c r="D108" s="36" t="s">
        <v>126</v>
      </c>
      <c r="E108" s="36" t="s">
        <v>14</v>
      </c>
      <c r="F108" s="36" t="s">
        <v>127</v>
      </c>
      <c r="G108" s="37">
        <v>12</v>
      </c>
      <c r="H108" s="66">
        <v>46568</v>
      </c>
      <c r="I108" s="38">
        <f t="shared" ca="1" si="4"/>
        <v>369</v>
      </c>
      <c r="J108" s="38" t="str">
        <f t="shared" ca="1" si="5"/>
        <v>OK</v>
      </c>
      <c r="K108" s="36" t="s">
        <v>182</v>
      </c>
      <c r="L108" s="39"/>
    </row>
    <row r="109" spans="1:12" x14ac:dyDescent="0.35">
      <c r="A109" s="34" t="str">
        <f t="shared" si="3"/>
        <v>DON-0105</v>
      </c>
      <c r="B109" s="35">
        <v>45877</v>
      </c>
      <c r="C109" s="36" t="s">
        <v>146</v>
      </c>
      <c r="D109" s="36" t="s">
        <v>147</v>
      </c>
      <c r="E109" s="36" t="s">
        <v>8</v>
      </c>
      <c r="F109" s="36" t="s">
        <v>148</v>
      </c>
      <c r="G109" s="37">
        <v>43</v>
      </c>
      <c r="H109" s="66">
        <v>45890</v>
      </c>
      <c r="I109" s="38">
        <f t="shared" ca="1" si="4"/>
        <v>-309</v>
      </c>
      <c r="J109" s="38" t="str">
        <f t="shared" ca="1" si="5"/>
        <v>EXPIRED</v>
      </c>
      <c r="K109" s="36" t="s">
        <v>178</v>
      </c>
      <c r="L109" s="39"/>
    </row>
    <row r="110" spans="1:12" x14ac:dyDescent="0.35">
      <c r="A110" s="34" t="str">
        <f t="shared" si="3"/>
        <v>DON-0106</v>
      </c>
      <c r="B110" s="35">
        <v>45877</v>
      </c>
      <c r="C110" s="36" t="s">
        <v>91</v>
      </c>
      <c r="D110" s="36" t="s">
        <v>92</v>
      </c>
      <c r="E110" s="36" t="s">
        <v>93</v>
      </c>
      <c r="F110" s="36" t="s">
        <v>85</v>
      </c>
      <c r="G110" s="37">
        <v>19</v>
      </c>
      <c r="H110" s="66">
        <v>46024</v>
      </c>
      <c r="I110" s="38">
        <f t="shared" ca="1" si="4"/>
        <v>-175</v>
      </c>
      <c r="J110" s="38" t="str">
        <f t="shared" ca="1" si="5"/>
        <v>EXPIRED</v>
      </c>
      <c r="K110" s="36" t="s">
        <v>178</v>
      </c>
      <c r="L110" s="39"/>
    </row>
    <row r="111" spans="1:12" x14ac:dyDescent="0.35">
      <c r="A111" s="34" t="str">
        <f t="shared" si="3"/>
        <v>DON-0107</v>
      </c>
      <c r="B111" s="35">
        <v>45877</v>
      </c>
      <c r="C111" s="36" t="s">
        <v>67</v>
      </c>
      <c r="D111" s="36" t="s">
        <v>68</v>
      </c>
      <c r="E111" s="36" t="s">
        <v>66</v>
      </c>
      <c r="F111" s="36" t="s">
        <v>42</v>
      </c>
      <c r="G111" s="37">
        <v>37</v>
      </c>
      <c r="H111" s="66">
        <v>46815</v>
      </c>
      <c r="I111" s="38">
        <f t="shared" ca="1" si="4"/>
        <v>616</v>
      </c>
      <c r="J111" s="38" t="str">
        <f t="shared" ca="1" si="5"/>
        <v>OK</v>
      </c>
      <c r="K111" s="36" t="s">
        <v>178</v>
      </c>
      <c r="L111" s="39"/>
    </row>
    <row r="112" spans="1:12" x14ac:dyDescent="0.35">
      <c r="A112" s="34" t="str">
        <f t="shared" si="3"/>
        <v>DON-0108</v>
      </c>
      <c r="B112" s="35">
        <v>45879</v>
      </c>
      <c r="C112" s="36" t="s">
        <v>138</v>
      </c>
      <c r="D112" s="36" t="s">
        <v>139</v>
      </c>
      <c r="E112" s="36" t="s">
        <v>6</v>
      </c>
      <c r="F112" s="36" t="s">
        <v>140</v>
      </c>
      <c r="G112" s="37">
        <v>37</v>
      </c>
      <c r="H112" s="66">
        <v>45894</v>
      </c>
      <c r="I112" s="38">
        <f t="shared" ca="1" si="4"/>
        <v>-305</v>
      </c>
      <c r="J112" s="38" t="str">
        <f t="shared" ca="1" si="5"/>
        <v>EXPIRED</v>
      </c>
      <c r="K112" s="36" t="s">
        <v>179</v>
      </c>
      <c r="L112" s="39"/>
    </row>
    <row r="113" spans="1:12" x14ac:dyDescent="0.35">
      <c r="A113" s="34" t="str">
        <f t="shared" si="3"/>
        <v>DON-0109</v>
      </c>
      <c r="B113" s="35">
        <v>45879</v>
      </c>
      <c r="C113" s="36" t="s">
        <v>78</v>
      </c>
      <c r="D113" s="36" t="s">
        <v>79</v>
      </c>
      <c r="E113" s="36" t="s">
        <v>74</v>
      </c>
      <c r="F113" s="36" t="s">
        <v>80</v>
      </c>
      <c r="G113" s="37">
        <v>43</v>
      </c>
      <c r="H113" s="66">
        <v>46409</v>
      </c>
      <c r="I113" s="38">
        <f t="shared" ca="1" si="4"/>
        <v>210</v>
      </c>
      <c r="J113" s="38" t="str">
        <f t="shared" ca="1" si="5"/>
        <v>OK</v>
      </c>
      <c r="K113" s="36" t="s">
        <v>179</v>
      </c>
      <c r="L113" s="39"/>
    </row>
    <row r="114" spans="1:12" x14ac:dyDescent="0.35">
      <c r="A114" s="34" t="str">
        <f t="shared" si="3"/>
        <v>DON-0110</v>
      </c>
      <c r="B114" s="35">
        <v>45879</v>
      </c>
      <c r="C114" s="36" t="s">
        <v>104</v>
      </c>
      <c r="D114" s="36" t="s">
        <v>105</v>
      </c>
      <c r="E114" s="36" t="s">
        <v>102</v>
      </c>
      <c r="F114" s="36" t="s">
        <v>103</v>
      </c>
      <c r="G114" s="37">
        <v>64</v>
      </c>
      <c r="H114" s="66">
        <v>46498</v>
      </c>
      <c r="I114" s="38">
        <f t="shared" ca="1" si="4"/>
        <v>299</v>
      </c>
      <c r="J114" s="38" t="str">
        <f t="shared" ca="1" si="5"/>
        <v>OK</v>
      </c>
      <c r="K114" s="36" t="s">
        <v>181</v>
      </c>
      <c r="L114" s="39"/>
    </row>
    <row r="115" spans="1:12" x14ac:dyDescent="0.35">
      <c r="A115" s="34" t="str">
        <f t="shared" si="3"/>
        <v>DON-0111</v>
      </c>
      <c r="B115" s="35">
        <v>45879</v>
      </c>
      <c r="C115" s="36" t="s">
        <v>59</v>
      </c>
      <c r="D115" s="36" t="s">
        <v>60</v>
      </c>
      <c r="E115" s="36" t="s">
        <v>53</v>
      </c>
      <c r="F115" s="36" t="s">
        <v>56</v>
      </c>
      <c r="G115" s="37">
        <v>47</v>
      </c>
      <c r="H115" s="66">
        <v>46584</v>
      </c>
      <c r="I115" s="38">
        <f t="shared" ca="1" si="4"/>
        <v>385</v>
      </c>
      <c r="J115" s="38" t="str">
        <f t="shared" ca="1" si="5"/>
        <v>OK</v>
      </c>
      <c r="K115" s="36" t="s">
        <v>181</v>
      </c>
      <c r="L115" s="39"/>
    </row>
    <row r="116" spans="1:12" x14ac:dyDescent="0.35">
      <c r="A116" s="34" t="str">
        <f t="shared" si="3"/>
        <v>DON-0112</v>
      </c>
      <c r="B116" s="35">
        <v>45879</v>
      </c>
      <c r="C116" s="36" t="s">
        <v>40</v>
      </c>
      <c r="D116" s="36" t="s">
        <v>41</v>
      </c>
      <c r="E116" s="36" t="s">
        <v>31</v>
      </c>
      <c r="F116" s="36" t="s">
        <v>42</v>
      </c>
      <c r="G116" s="37">
        <v>27</v>
      </c>
      <c r="H116" s="66">
        <v>46585</v>
      </c>
      <c r="I116" s="38">
        <f t="shared" ca="1" si="4"/>
        <v>386</v>
      </c>
      <c r="J116" s="38" t="str">
        <f t="shared" ca="1" si="5"/>
        <v>OK</v>
      </c>
      <c r="K116" s="36" t="s">
        <v>179</v>
      </c>
      <c r="L116" s="39"/>
    </row>
    <row r="117" spans="1:12" x14ac:dyDescent="0.35">
      <c r="A117" s="34" t="str">
        <f t="shared" si="3"/>
        <v>DON-0113</v>
      </c>
      <c r="B117" s="35">
        <v>45879</v>
      </c>
      <c r="C117" s="36" t="s">
        <v>61</v>
      </c>
      <c r="D117" s="36" t="s">
        <v>62</v>
      </c>
      <c r="E117" s="36" t="s">
        <v>53</v>
      </c>
      <c r="F117" s="36" t="s">
        <v>42</v>
      </c>
      <c r="G117" s="37">
        <v>92</v>
      </c>
      <c r="H117" s="66">
        <v>46665</v>
      </c>
      <c r="I117" s="38">
        <f t="shared" ca="1" si="4"/>
        <v>466</v>
      </c>
      <c r="J117" s="38" t="str">
        <f t="shared" ca="1" si="5"/>
        <v>OK</v>
      </c>
      <c r="K117" s="36" t="s">
        <v>181</v>
      </c>
      <c r="L117" s="39"/>
    </row>
    <row r="118" spans="1:12" x14ac:dyDescent="0.35">
      <c r="A118" s="34" t="str">
        <f t="shared" si="3"/>
        <v>DON-0114</v>
      </c>
      <c r="B118" s="35">
        <v>45879</v>
      </c>
      <c r="C118" s="36" t="s">
        <v>106</v>
      </c>
      <c r="D118" s="36" t="s">
        <v>107</v>
      </c>
      <c r="E118" s="36" t="s">
        <v>102</v>
      </c>
      <c r="F118" s="36" t="s">
        <v>108</v>
      </c>
      <c r="G118" s="37">
        <v>61</v>
      </c>
      <c r="H118" s="66">
        <v>46808</v>
      </c>
      <c r="I118" s="38">
        <f t="shared" ca="1" si="4"/>
        <v>609</v>
      </c>
      <c r="J118" s="38" t="str">
        <f t="shared" ca="1" si="5"/>
        <v>OK</v>
      </c>
      <c r="K118" s="36" t="s">
        <v>179</v>
      </c>
      <c r="L118" s="39"/>
    </row>
    <row r="119" spans="1:12" x14ac:dyDescent="0.35">
      <c r="A119" s="34" t="str">
        <f t="shared" si="3"/>
        <v>DON-0115</v>
      </c>
      <c r="B119" s="35">
        <v>45879</v>
      </c>
      <c r="C119" s="36" t="s">
        <v>46</v>
      </c>
      <c r="D119" s="36" t="s">
        <v>47</v>
      </c>
      <c r="E119" s="36" t="s">
        <v>31</v>
      </c>
      <c r="F119" s="36" t="s">
        <v>42</v>
      </c>
      <c r="G119" s="37">
        <v>68</v>
      </c>
      <c r="H119" s="66">
        <v>46896</v>
      </c>
      <c r="I119" s="38">
        <f t="shared" ca="1" si="4"/>
        <v>697</v>
      </c>
      <c r="J119" s="38" t="str">
        <f t="shared" ca="1" si="5"/>
        <v>OK</v>
      </c>
      <c r="K119" s="36" t="s">
        <v>179</v>
      </c>
      <c r="L119" s="39"/>
    </row>
    <row r="120" spans="1:12" x14ac:dyDescent="0.35">
      <c r="A120" s="34" t="str">
        <f t="shared" si="3"/>
        <v>DON-0116</v>
      </c>
      <c r="B120" s="35">
        <v>45879</v>
      </c>
      <c r="C120" s="36" t="s">
        <v>34</v>
      </c>
      <c r="D120" s="36" t="s">
        <v>35</v>
      </c>
      <c r="E120" s="36" t="s">
        <v>31</v>
      </c>
      <c r="F120" s="36" t="s">
        <v>36</v>
      </c>
      <c r="G120" s="37">
        <v>40</v>
      </c>
      <c r="H120" s="66">
        <v>46962</v>
      </c>
      <c r="I120" s="38">
        <f t="shared" ca="1" si="4"/>
        <v>763</v>
      </c>
      <c r="J120" s="38" t="str">
        <f t="shared" ca="1" si="5"/>
        <v>OK</v>
      </c>
      <c r="K120" s="36" t="s">
        <v>181</v>
      </c>
      <c r="L120" s="39"/>
    </row>
    <row r="121" spans="1:12" x14ac:dyDescent="0.35">
      <c r="A121" s="34" t="str">
        <f t="shared" si="3"/>
        <v>DON-0117</v>
      </c>
      <c r="B121" s="35">
        <v>45885</v>
      </c>
      <c r="C121" s="36" t="s">
        <v>91</v>
      </c>
      <c r="D121" s="36" t="s">
        <v>92</v>
      </c>
      <c r="E121" s="36" t="s">
        <v>93</v>
      </c>
      <c r="F121" s="36" t="s">
        <v>85</v>
      </c>
      <c r="G121" s="37">
        <v>39</v>
      </c>
      <c r="H121" s="66">
        <v>46077</v>
      </c>
      <c r="I121" s="38">
        <f t="shared" ca="1" si="4"/>
        <v>-122</v>
      </c>
      <c r="J121" s="38" t="str">
        <f t="shared" ca="1" si="5"/>
        <v>EXPIRED</v>
      </c>
      <c r="K121" s="36" t="s">
        <v>176</v>
      </c>
      <c r="L121" s="39"/>
    </row>
    <row r="122" spans="1:12" x14ac:dyDescent="0.35">
      <c r="A122" s="34" t="str">
        <f t="shared" si="3"/>
        <v>DON-0118</v>
      </c>
      <c r="B122" s="35">
        <v>45885</v>
      </c>
      <c r="C122" s="36" t="s">
        <v>83</v>
      </c>
      <c r="D122" s="36" t="s">
        <v>84</v>
      </c>
      <c r="E122" s="36" t="s">
        <v>74</v>
      </c>
      <c r="F122" s="36" t="s">
        <v>85</v>
      </c>
      <c r="G122" s="37">
        <v>30</v>
      </c>
      <c r="H122" s="66">
        <v>46136</v>
      </c>
      <c r="I122" s="38">
        <f t="shared" ca="1" si="4"/>
        <v>-63</v>
      </c>
      <c r="J122" s="38" t="str">
        <f t="shared" ca="1" si="5"/>
        <v>EXPIRED</v>
      </c>
      <c r="K122" s="36" t="s">
        <v>176</v>
      </c>
      <c r="L122" s="39"/>
    </row>
    <row r="123" spans="1:12" x14ac:dyDescent="0.35">
      <c r="A123" s="34" t="str">
        <f t="shared" si="3"/>
        <v>DON-0119</v>
      </c>
      <c r="B123" s="35">
        <v>45885</v>
      </c>
      <c r="C123" s="36" t="s">
        <v>111</v>
      </c>
      <c r="D123" s="36" t="s">
        <v>112</v>
      </c>
      <c r="E123" s="36" t="s">
        <v>102</v>
      </c>
      <c r="F123" s="36" t="s">
        <v>113</v>
      </c>
      <c r="G123" s="37">
        <v>37</v>
      </c>
      <c r="H123" s="66">
        <v>46321</v>
      </c>
      <c r="I123" s="38">
        <f t="shared" ca="1" si="4"/>
        <v>122</v>
      </c>
      <c r="J123" s="38" t="str">
        <f t="shared" ca="1" si="5"/>
        <v>OK</v>
      </c>
      <c r="K123" s="36" t="s">
        <v>176</v>
      </c>
      <c r="L123" s="39"/>
    </row>
    <row r="124" spans="1:12" x14ac:dyDescent="0.35">
      <c r="A124" s="34" t="str">
        <f t="shared" si="3"/>
        <v>DON-0120</v>
      </c>
      <c r="B124" s="35">
        <v>45885</v>
      </c>
      <c r="C124" s="36" t="s">
        <v>161</v>
      </c>
      <c r="D124" s="36" t="s">
        <v>162</v>
      </c>
      <c r="E124" s="36" t="s">
        <v>159</v>
      </c>
      <c r="F124" s="36" t="s">
        <v>163</v>
      </c>
      <c r="G124" s="37">
        <v>19</v>
      </c>
      <c r="H124" s="66">
        <v>46559</v>
      </c>
      <c r="I124" s="38">
        <f t="shared" ca="1" si="4"/>
        <v>360</v>
      </c>
      <c r="J124" s="38" t="str">
        <f t="shared" ca="1" si="5"/>
        <v>OK</v>
      </c>
      <c r="K124" s="36" t="s">
        <v>176</v>
      </c>
      <c r="L124" s="39"/>
    </row>
    <row r="125" spans="1:12" x14ac:dyDescent="0.35">
      <c r="A125" s="34" t="str">
        <f t="shared" si="3"/>
        <v>DON-0121</v>
      </c>
      <c r="B125" s="35">
        <v>45885</v>
      </c>
      <c r="C125" s="36" t="s">
        <v>64</v>
      </c>
      <c r="D125" s="36" t="s">
        <v>65</v>
      </c>
      <c r="E125" s="36" t="s">
        <v>66</v>
      </c>
      <c r="F125" s="36" t="s">
        <v>42</v>
      </c>
      <c r="G125" s="37">
        <v>30</v>
      </c>
      <c r="H125" s="66">
        <v>46586</v>
      </c>
      <c r="I125" s="38">
        <f t="shared" ca="1" si="4"/>
        <v>387</v>
      </c>
      <c r="J125" s="38" t="str">
        <f t="shared" ca="1" si="5"/>
        <v>OK</v>
      </c>
      <c r="K125" s="36" t="s">
        <v>176</v>
      </c>
      <c r="L125" s="39"/>
    </row>
    <row r="126" spans="1:12" x14ac:dyDescent="0.35">
      <c r="A126" s="34" t="str">
        <f t="shared" si="3"/>
        <v>DON-0122</v>
      </c>
      <c r="B126" s="35">
        <v>45885</v>
      </c>
      <c r="C126" s="36" t="s">
        <v>69</v>
      </c>
      <c r="D126" s="36" t="s">
        <v>70</v>
      </c>
      <c r="E126" s="36" t="s">
        <v>66</v>
      </c>
      <c r="F126" s="36" t="s">
        <v>71</v>
      </c>
      <c r="G126" s="37">
        <v>31</v>
      </c>
      <c r="H126" s="66">
        <v>46925</v>
      </c>
      <c r="I126" s="38">
        <f t="shared" ca="1" si="4"/>
        <v>726</v>
      </c>
      <c r="J126" s="38" t="str">
        <f t="shared" ca="1" si="5"/>
        <v>OK</v>
      </c>
      <c r="K126" s="36" t="s">
        <v>176</v>
      </c>
      <c r="L126" s="39"/>
    </row>
    <row r="127" spans="1:12" x14ac:dyDescent="0.35">
      <c r="A127" s="34" t="str">
        <f t="shared" si="3"/>
        <v>DON-0123</v>
      </c>
      <c r="B127" s="35">
        <v>45886</v>
      </c>
      <c r="C127" s="36" t="s">
        <v>76</v>
      </c>
      <c r="D127" s="36" t="s">
        <v>77</v>
      </c>
      <c r="E127" s="36" t="s">
        <v>74</v>
      </c>
      <c r="F127" s="36" t="s">
        <v>75</v>
      </c>
      <c r="G127" s="37">
        <v>18</v>
      </c>
      <c r="H127" s="66">
        <v>46159</v>
      </c>
      <c r="I127" s="38">
        <f t="shared" ca="1" si="4"/>
        <v>-40</v>
      </c>
      <c r="J127" s="38" t="str">
        <f t="shared" ca="1" si="5"/>
        <v>EXPIRED</v>
      </c>
      <c r="K127" s="36" t="s">
        <v>178</v>
      </c>
      <c r="L127" s="39"/>
    </row>
    <row r="128" spans="1:12" x14ac:dyDescent="0.35">
      <c r="A128" s="34" t="str">
        <f t="shared" si="3"/>
        <v>DON-0124</v>
      </c>
      <c r="B128" s="35">
        <v>45886</v>
      </c>
      <c r="C128" s="36" t="s">
        <v>51</v>
      </c>
      <c r="D128" s="36" t="s">
        <v>52</v>
      </c>
      <c r="E128" s="36" t="s">
        <v>53</v>
      </c>
      <c r="F128" s="36" t="s">
        <v>42</v>
      </c>
      <c r="G128" s="37">
        <v>77</v>
      </c>
      <c r="H128" s="66">
        <v>46522</v>
      </c>
      <c r="I128" s="38">
        <f t="shared" ca="1" si="4"/>
        <v>323</v>
      </c>
      <c r="J128" s="38" t="str">
        <f t="shared" ca="1" si="5"/>
        <v>OK</v>
      </c>
      <c r="K128" s="36" t="s">
        <v>178</v>
      </c>
      <c r="L128" s="39"/>
    </row>
    <row r="129" spans="1:12" x14ac:dyDescent="0.35">
      <c r="A129" s="34" t="str">
        <f t="shared" si="3"/>
        <v>DON-0125</v>
      </c>
      <c r="B129" s="35">
        <v>45886</v>
      </c>
      <c r="C129" s="36" t="s">
        <v>61</v>
      </c>
      <c r="D129" s="36" t="s">
        <v>62</v>
      </c>
      <c r="E129" s="36" t="s">
        <v>53</v>
      </c>
      <c r="F129" s="36" t="s">
        <v>42</v>
      </c>
      <c r="G129" s="37">
        <v>66</v>
      </c>
      <c r="H129" s="66">
        <v>46572</v>
      </c>
      <c r="I129" s="38">
        <f t="shared" ca="1" si="4"/>
        <v>373</v>
      </c>
      <c r="J129" s="38" t="str">
        <f t="shared" ca="1" si="5"/>
        <v>OK</v>
      </c>
      <c r="K129" s="36" t="s">
        <v>178</v>
      </c>
      <c r="L129" s="39"/>
    </row>
    <row r="130" spans="1:12" x14ac:dyDescent="0.35">
      <c r="A130" s="34" t="str">
        <f t="shared" si="3"/>
        <v>DON-0126</v>
      </c>
      <c r="B130" s="35">
        <v>45890</v>
      </c>
      <c r="C130" s="36" t="s">
        <v>114</v>
      </c>
      <c r="D130" s="36" t="s">
        <v>13</v>
      </c>
      <c r="E130" s="36" t="s">
        <v>14</v>
      </c>
      <c r="F130" s="36" t="s">
        <v>115</v>
      </c>
      <c r="G130" s="37">
        <v>16</v>
      </c>
      <c r="H130" s="66">
        <v>46137</v>
      </c>
      <c r="I130" s="38">
        <f t="shared" ca="1" si="4"/>
        <v>-62</v>
      </c>
      <c r="J130" s="38" t="str">
        <f t="shared" ca="1" si="5"/>
        <v>EXPIRED</v>
      </c>
      <c r="K130" s="36" t="s">
        <v>180</v>
      </c>
      <c r="L130" s="39"/>
    </row>
    <row r="131" spans="1:12" x14ac:dyDescent="0.35">
      <c r="A131" s="34" t="str">
        <f t="shared" si="3"/>
        <v>DON-0127</v>
      </c>
      <c r="B131" s="35">
        <v>45890</v>
      </c>
      <c r="C131" s="36" t="s">
        <v>34</v>
      </c>
      <c r="D131" s="36" t="s">
        <v>35</v>
      </c>
      <c r="E131" s="36" t="s">
        <v>31</v>
      </c>
      <c r="F131" s="36" t="s">
        <v>36</v>
      </c>
      <c r="G131" s="37">
        <v>59</v>
      </c>
      <c r="H131" s="66">
        <v>46329</v>
      </c>
      <c r="I131" s="38">
        <f t="shared" ca="1" si="4"/>
        <v>130</v>
      </c>
      <c r="J131" s="38" t="str">
        <f t="shared" ca="1" si="5"/>
        <v>OK</v>
      </c>
      <c r="K131" s="36" t="s">
        <v>180</v>
      </c>
      <c r="L131" s="39"/>
    </row>
    <row r="132" spans="1:12" x14ac:dyDescent="0.35">
      <c r="A132" s="34" t="str">
        <f t="shared" si="3"/>
        <v>DON-0128</v>
      </c>
      <c r="B132" s="35">
        <v>45890</v>
      </c>
      <c r="C132" s="36" t="s">
        <v>72</v>
      </c>
      <c r="D132" s="36" t="s">
        <v>73</v>
      </c>
      <c r="E132" s="36" t="s">
        <v>74</v>
      </c>
      <c r="F132" s="36" t="s">
        <v>75</v>
      </c>
      <c r="G132" s="37">
        <v>38</v>
      </c>
      <c r="H132" s="66">
        <v>46500</v>
      </c>
      <c r="I132" s="38">
        <f t="shared" ca="1" si="4"/>
        <v>301</v>
      </c>
      <c r="J132" s="38" t="str">
        <f t="shared" ca="1" si="5"/>
        <v>OK</v>
      </c>
      <c r="K132" s="36" t="s">
        <v>180</v>
      </c>
      <c r="L132" s="39"/>
    </row>
    <row r="133" spans="1:12" x14ac:dyDescent="0.35">
      <c r="A133" s="34" t="str">
        <f t="shared" ref="A133:A196" si="6">IF(G133="","","DON-"&amp;TEXT(ROW()-4,"0000"))</f>
        <v>DON-0129</v>
      </c>
      <c r="B133" s="35">
        <v>45890</v>
      </c>
      <c r="C133" s="36" t="s">
        <v>37</v>
      </c>
      <c r="D133" s="36" t="s">
        <v>38</v>
      </c>
      <c r="E133" s="36" t="s">
        <v>31</v>
      </c>
      <c r="F133" s="36" t="s">
        <v>39</v>
      </c>
      <c r="G133" s="37">
        <v>51</v>
      </c>
      <c r="H133" s="66">
        <v>46899</v>
      </c>
      <c r="I133" s="38">
        <f t="shared" ref="I133:I196" ca="1" si="7">IF(H133="","",H133-TODAY())</f>
        <v>700</v>
      </c>
      <c r="J133" s="38" t="str">
        <f t="shared" ref="J133:J196" ca="1" si="8">IF(I133="","",IF(I133&lt;=0,"EXPIRED",IF(I133&lt;=3,"CRITICAL",IF(I133&lt;=7,"WARNING",IF(I133&lt;=30,"NOTICE","OK")))))</f>
        <v>OK</v>
      </c>
      <c r="K133" s="36" t="s">
        <v>180</v>
      </c>
      <c r="L133" s="39"/>
    </row>
    <row r="134" spans="1:12" x14ac:dyDescent="0.35">
      <c r="A134" s="34" t="str">
        <f t="shared" si="6"/>
        <v>DON-0130</v>
      </c>
      <c r="B134" s="35">
        <v>45892</v>
      </c>
      <c r="C134" s="36" t="s">
        <v>141</v>
      </c>
      <c r="D134" s="36" t="s">
        <v>142</v>
      </c>
      <c r="E134" s="36" t="s">
        <v>8</v>
      </c>
      <c r="F134" s="36" t="s">
        <v>143</v>
      </c>
      <c r="G134" s="37">
        <v>42</v>
      </c>
      <c r="H134" s="66">
        <v>45913</v>
      </c>
      <c r="I134" s="38">
        <f t="shared" ca="1" si="7"/>
        <v>-286</v>
      </c>
      <c r="J134" s="38" t="str">
        <f t="shared" ca="1" si="8"/>
        <v>EXPIRED</v>
      </c>
      <c r="K134" s="36" t="s">
        <v>180</v>
      </c>
      <c r="L134" s="39"/>
    </row>
    <row r="135" spans="1:12" x14ac:dyDescent="0.35">
      <c r="A135" s="34" t="str">
        <f t="shared" si="6"/>
        <v>DON-0131</v>
      </c>
      <c r="B135" s="35">
        <v>45892</v>
      </c>
      <c r="C135" s="36" t="s">
        <v>149</v>
      </c>
      <c r="D135" s="36" t="s">
        <v>150</v>
      </c>
      <c r="E135" s="36" t="s">
        <v>8</v>
      </c>
      <c r="F135" s="36" t="s">
        <v>75</v>
      </c>
      <c r="G135" s="37">
        <v>18</v>
      </c>
      <c r="H135" s="66">
        <v>45939</v>
      </c>
      <c r="I135" s="38">
        <f t="shared" ca="1" si="7"/>
        <v>-260</v>
      </c>
      <c r="J135" s="38" t="str">
        <f t="shared" ca="1" si="8"/>
        <v>EXPIRED</v>
      </c>
      <c r="K135" s="36" t="s">
        <v>180</v>
      </c>
      <c r="L135" s="39"/>
    </row>
    <row r="136" spans="1:12" x14ac:dyDescent="0.35">
      <c r="A136" s="34" t="str">
        <f t="shared" si="6"/>
        <v>DON-0132</v>
      </c>
      <c r="B136" s="35">
        <v>45892</v>
      </c>
      <c r="C136" s="36" t="s">
        <v>157</v>
      </c>
      <c r="D136" s="36" t="s">
        <v>158</v>
      </c>
      <c r="E136" s="36" t="s">
        <v>159</v>
      </c>
      <c r="F136" s="36" t="s">
        <v>160</v>
      </c>
      <c r="G136" s="37">
        <v>22</v>
      </c>
      <c r="H136" s="66">
        <v>46025</v>
      </c>
      <c r="I136" s="38">
        <f t="shared" ca="1" si="7"/>
        <v>-174</v>
      </c>
      <c r="J136" s="38" t="str">
        <f t="shared" ca="1" si="8"/>
        <v>EXPIRED</v>
      </c>
      <c r="K136" s="36" t="s">
        <v>180</v>
      </c>
      <c r="L136" s="39"/>
    </row>
    <row r="137" spans="1:12" x14ac:dyDescent="0.35">
      <c r="A137" s="34" t="str">
        <f t="shared" si="6"/>
        <v>DON-0133</v>
      </c>
      <c r="B137" s="35">
        <v>45892</v>
      </c>
      <c r="C137" s="36" t="s">
        <v>29</v>
      </c>
      <c r="D137" s="36" t="s">
        <v>30</v>
      </c>
      <c r="E137" s="36" t="s">
        <v>31</v>
      </c>
      <c r="F137" s="36" t="s">
        <v>32</v>
      </c>
      <c r="G137" s="37">
        <v>37</v>
      </c>
      <c r="H137" s="66">
        <v>46969</v>
      </c>
      <c r="I137" s="38">
        <f t="shared" ca="1" si="7"/>
        <v>770</v>
      </c>
      <c r="J137" s="38" t="str">
        <f t="shared" ca="1" si="8"/>
        <v>OK</v>
      </c>
      <c r="K137" s="36" t="s">
        <v>180</v>
      </c>
      <c r="L137" s="39"/>
    </row>
    <row r="138" spans="1:12" x14ac:dyDescent="0.35">
      <c r="A138" s="34" t="str">
        <f t="shared" si="6"/>
        <v>DON-0134</v>
      </c>
      <c r="B138" s="35">
        <v>45893</v>
      </c>
      <c r="C138" s="36" t="s">
        <v>146</v>
      </c>
      <c r="D138" s="36" t="s">
        <v>147</v>
      </c>
      <c r="E138" s="36" t="s">
        <v>8</v>
      </c>
      <c r="F138" s="36" t="s">
        <v>148</v>
      </c>
      <c r="G138" s="37">
        <v>31</v>
      </c>
      <c r="H138" s="66">
        <v>45910</v>
      </c>
      <c r="I138" s="38">
        <f t="shared" ca="1" si="7"/>
        <v>-289</v>
      </c>
      <c r="J138" s="38" t="str">
        <f t="shared" ca="1" si="8"/>
        <v>EXPIRED</v>
      </c>
      <c r="K138" s="36" t="s">
        <v>178</v>
      </c>
      <c r="L138" s="39"/>
    </row>
    <row r="139" spans="1:12" x14ac:dyDescent="0.35">
      <c r="A139" s="34" t="str">
        <f t="shared" si="6"/>
        <v>DON-0135</v>
      </c>
      <c r="B139" s="35">
        <v>45893</v>
      </c>
      <c r="C139" s="36" t="s">
        <v>130</v>
      </c>
      <c r="D139" s="36" t="s">
        <v>16</v>
      </c>
      <c r="E139" s="36" t="s">
        <v>10</v>
      </c>
      <c r="F139" s="36" t="s">
        <v>131</v>
      </c>
      <c r="G139" s="37">
        <v>9</v>
      </c>
      <c r="H139" s="66">
        <v>45921</v>
      </c>
      <c r="I139" s="38">
        <f t="shared" ca="1" si="7"/>
        <v>-278</v>
      </c>
      <c r="J139" s="38" t="str">
        <f t="shared" ca="1" si="8"/>
        <v>EXPIRED</v>
      </c>
      <c r="K139" s="36" t="s">
        <v>182</v>
      </c>
      <c r="L139" s="39"/>
    </row>
    <row r="140" spans="1:12" x14ac:dyDescent="0.35">
      <c r="A140" s="34" t="str">
        <f t="shared" si="6"/>
        <v>DON-0136</v>
      </c>
      <c r="B140" s="35">
        <v>45893</v>
      </c>
      <c r="C140" s="36" t="s">
        <v>151</v>
      </c>
      <c r="D140" s="36" t="s">
        <v>152</v>
      </c>
      <c r="E140" s="36" t="s">
        <v>8</v>
      </c>
      <c r="F140" s="36" t="s">
        <v>143</v>
      </c>
      <c r="G140" s="37">
        <v>44</v>
      </c>
      <c r="H140" s="66">
        <v>45922</v>
      </c>
      <c r="I140" s="38">
        <f t="shared" ca="1" si="7"/>
        <v>-277</v>
      </c>
      <c r="J140" s="38" t="str">
        <f t="shared" ca="1" si="8"/>
        <v>EXPIRED</v>
      </c>
      <c r="K140" s="36" t="s">
        <v>182</v>
      </c>
      <c r="L140" s="39"/>
    </row>
    <row r="141" spans="1:12" x14ac:dyDescent="0.35">
      <c r="A141" s="34" t="str">
        <f t="shared" si="6"/>
        <v>DON-0137</v>
      </c>
      <c r="B141" s="35">
        <v>45893</v>
      </c>
      <c r="C141" s="36" t="s">
        <v>114</v>
      </c>
      <c r="D141" s="36" t="s">
        <v>13</v>
      </c>
      <c r="E141" s="36" t="s">
        <v>14</v>
      </c>
      <c r="F141" s="36" t="s">
        <v>115</v>
      </c>
      <c r="G141" s="37">
        <v>9</v>
      </c>
      <c r="H141" s="66">
        <v>46093</v>
      </c>
      <c r="I141" s="38">
        <f t="shared" ca="1" si="7"/>
        <v>-106</v>
      </c>
      <c r="J141" s="38" t="str">
        <f t="shared" ca="1" si="8"/>
        <v>EXPIRED</v>
      </c>
      <c r="K141" s="36" t="s">
        <v>178</v>
      </c>
      <c r="L141" s="39"/>
    </row>
    <row r="142" spans="1:12" x14ac:dyDescent="0.35">
      <c r="A142" s="34" t="str">
        <f t="shared" si="6"/>
        <v>DON-0138</v>
      </c>
      <c r="B142" s="35">
        <v>45893</v>
      </c>
      <c r="C142" s="36" t="s">
        <v>76</v>
      </c>
      <c r="D142" s="36" t="s">
        <v>77</v>
      </c>
      <c r="E142" s="36" t="s">
        <v>74</v>
      </c>
      <c r="F142" s="36" t="s">
        <v>75</v>
      </c>
      <c r="G142" s="37">
        <v>24</v>
      </c>
      <c r="H142" s="66">
        <v>46124</v>
      </c>
      <c r="I142" s="38">
        <f t="shared" ca="1" si="7"/>
        <v>-75</v>
      </c>
      <c r="J142" s="38" t="str">
        <f t="shared" ca="1" si="8"/>
        <v>EXPIRED</v>
      </c>
      <c r="K142" s="36" t="s">
        <v>182</v>
      </c>
      <c r="L142" s="39"/>
    </row>
    <row r="143" spans="1:12" x14ac:dyDescent="0.35">
      <c r="A143" s="34" t="str">
        <f t="shared" si="6"/>
        <v>DON-0139</v>
      </c>
      <c r="B143" s="35">
        <v>45893</v>
      </c>
      <c r="C143" s="36" t="s">
        <v>120</v>
      </c>
      <c r="D143" s="36" t="s">
        <v>121</v>
      </c>
      <c r="E143" s="36" t="s">
        <v>14</v>
      </c>
      <c r="F143" s="36" t="s">
        <v>119</v>
      </c>
      <c r="G143" s="37">
        <v>17</v>
      </c>
      <c r="H143" s="66">
        <v>46206</v>
      </c>
      <c r="I143" s="38">
        <f t="shared" ca="1" si="7"/>
        <v>7</v>
      </c>
      <c r="J143" s="38" t="str">
        <f t="shared" ca="1" si="8"/>
        <v>WARNING</v>
      </c>
      <c r="K143" s="36" t="s">
        <v>178</v>
      </c>
      <c r="L143" s="39"/>
    </row>
    <row r="144" spans="1:12" x14ac:dyDescent="0.35">
      <c r="A144" s="34" t="str">
        <f t="shared" si="6"/>
        <v>DON-0140</v>
      </c>
      <c r="B144" s="35">
        <v>45893</v>
      </c>
      <c r="C144" s="36" t="s">
        <v>161</v>
      </c>
      <c r="D144" s="36" t="s">
        <v>162</v>
      </c>
      <c r="E144" s="36" t="s">
        <v>159</v>
      </c>
      <c r="F144" s="36" t="s">
        <v>163</v>
      </c>
      <c r="G144" s="37">
        <v>26</v>
      </c>
      <c r="H144" s="66">
        <v>46281</v>
      </c>
      <c r="I144" s="38">
        <f t="shared" ca="1" si="7"/>
        <v>82</v>
      </c>
      <c r="J144" s="38" t="str">
        <f t="shared" ca="1" si="8"/>
        <v>OK</v>
      </c>
      <c r="K144" s="36" t="s">
        <v>178</v>
      </c>
      <c r="L144" s="39"/>
    </row>
    <row r="145" spans="1:12" x14ac:dyDescent="0.35">
      <c r="A145" s="34" t="str">
        <f t="shared" si="6"/>
        <v>DON-0141</v>
      </c>
      <c r="B145" s="35">
        <v>45893</v>
      </c>
      <c r="C145" s="36" t="s">
        <v>67</v>
      </c>
      <c r="D145" s="36" t="s">
        <v>68</v>
      </c>
      <c r="E145" s="36" t="s">
        <v>66</v>
      </c>
      <c r="F145" s="36" t="s">
        <v>42</v>
      </c>
      <c r="G145" s="37">
        <v>50</v>
      </c>
      <c r="H145" s="66">
        <v>46353</v>
      </c>
      <c r="I145" s="38">
        <f t="shared" ca="1" si="7"/>
        <v>154</v>
      </c>
      <c r="J145" s="38" t="str">
        <f t="shared" ca="1" si="8"/>
        <v>OK</v>
      </c>
      <c r="K145" s="36" t="s">
        <v>178</v>
      </c>
      <c r="L145" s="39"/>
    </row>
    <row r="146" spans="1:12" x14ac:dyDescent="0.35">
      <c r="A146" s="34" t="str">
        <f t="shared" si="6"/>
        <v>DON-0142</v>
      </c>
      <c r="B146" s="35">
        <v>45893</v>
      </c>
      <c r="C146" s="36" t="s">
        <v>106</v>
      </c>
      <c r="D146" s="36" t="s">
        <v>107</v>
      </c>
      <c r="E146" s="36" t="s">
        <v>102</v>
      </c>
      <c r="F146" s="36" t="s">
        <v>108</v>
      </c>
      <c r="G146" s="37">
        <v>39</v>
      </c>
      <c r="H146" s="66">
        <v>46385</v>
      </c>
      <c r="I146" s="38">
        <f t="shared" ca="1" si="7"/>
        <v>186</v>
      </c>
      <c r="J146" s="38" t="str">
        <f t="shared" ca="1" si="8"/>
        <v>OK</v>
      </c>
      <c r="K146" s="36" t="s">
        <v>182</v>
      </c>
      <c r="L146" s="39"/>
    </row>
    <row r="147" spans="1:12" x14ac:dyDescent="0.35">
      <c r="A147" s="34" t="str">
        <f t="shared" si="6"/>
        <v>DON-0143</v>
      </c>
      <c r="B147" s="35">
        <v>45893</v>
      </c>
      <c r="C147" s="36" t="s">
        <v>109</v>
      </c>
      <c r="D147" s="36" t="s">
        <v>110</v>
      </c>
      <c r="E147" s="36" t="s">
        <v>102</v>
      </c>
      <c r="F147" s="36" t="s">
        <v>42</v>
      </c>
      <c r="G147" s="37">
        <v>64</v>
      </c>
      <c r="H147" s="66">
        <v>46431</v>
      </c>
      <c r="I147" s="38">
        <f t="shared" ca="1" si="7"/>
        <v>232</v>
      </c>
      <c r="J147" s="38" t="str">
        <f t="shared" ca="1" si="8"/>
        <v>OK</v>
      </c>
      <c r="K147" s="36" t="s">
        <v>178</v>
      </c>
      <c r="L147" s="39"/>
    </row>
    <row r="148" spans="1:12" x14ac:dyDescent="0.35">
      <c r="A148" s="34" t="str">
        <f t="shared" si="6"/>
        <v>DON-0144</v>
      </c>
      <c r="B148" s="35">
        <v>45893</v>
      </c>
      <c r="C148" s="36" t="s">
        <v>37</v>
      </c>
      <c r="D148" s="36" t="s">
        <v>38</v>
      </c>
      <c r="E148" s="36" t="s">
        <v>31</v>
      </c>
      <c r="F148" s="36" t="s">
        <v>39</v>
      </c>
      <c r="G148" s="37">
        <v>29</v>
      </c>
      <c r="H148" s="66">
        <v>46938</v>
      </c>
      <c r="I148" s="38">
        <f t="shared" ca="1" si="7"/>
        <v>739</v>
      </c>
      <c r="J148" s="38" t="str">
        <f t="shared" ca="1" si="8"/>
        <v>OK</v>
      </c>
      <c r="K148" s="36" t="s">
        <v>182</v>
      </c>
      <c r="L148" s="39"/>
    </row>
    <row r="149" spans="1:12" x14ac:dyDescent="0.35">
      <c r="A149" s="34" t="str">
        <f t="shared" si="6"/>
        <v>DON-0145</v>
      </c>
      <c r="B149" s="35">
        <v>45893</v>
      </c>
      <c r="C149" s="36" t="s">
        <v>64</v>
      </c>
      <c r="D149" s="36" t="s">
        <v>65</v>
      </c>
      <c r="E149" s="36" t="s">
        <v>66</v>
      </c>
      <c r="F149" s="36" t="s">
        <v>42</v>
      </c>
      <c r="G149" s="37">
        <v>53</v>
      </c>
      <c r="H149" s="66">
        <v>46944</v>
      </c>
      <c r="I149" s="38">
        <f t="shared" ca="1" si="7"/>
        <v>745</v>
      </c>
      <c r="J149" s="38" t="str">
        <f t="shared" ca="1" si="8"/>
        <v>OK</v>
      </c>
      <c r="K149" s="36" t="s">
        <v>182</v>
      </c>
      <c r="L149" s="39"/>
    </row>
    <row r="150" spans="1:12" x14ac:dyDescent="0.35">
      <c r="A150" s="34" t="str">
        <f t="shared" si="6"/>
        <v>DON-0146</v>
      </c>
      <c r="B150" s="35">
        <v>45894</v>
      </c>
      <c r="C150" s="36" t="s">
        <v>144</v>
      </c>
      <c r="D150" s="36" t="s">
        <v>7</v>
      </c>
      <c r="E150" s="36" t="s">
        <v>8</v>
      </c>
      <c r="F150" s="36" t="s">
        <v>145</v>
      </c>
      <c r="G150" s="37">
        <v>28</v>
      </c>
      <c r="H150" s="66">
        <v>45903</v>
      </c>
      <c r="I150" s="38">
        <f t="shared" ca="1" si="7"/>
        <v>-296</v>
      </c>
      <c r="J150" s="38" t="str">
        <f t="shared" ca="1" si="8"/>
        <v>EXPIRED</v>
      </c>
      <c r="K150" s="36" t="s">
        <v>175</v>
      </c>
      <c r="L150" s="39"/>
    </row>
    <row r="151" spans="1:12" x14ac:dyDescent="0.35">
      <c r="A151" s="34" t="str">
        <f t="shared" si="6"/>
        <v>DON-0147</v>
      </c>
      <c r="B151" s="35">
        <v>45894</v>
      </c>
      <c r="C151" s="36" t="s">
        <v>149</v>
      </c>
      <c r="D151" s="36" t="s">
        <v>150</v>
      </c>
      <c r="E151" s="36" t="s">
        <v>8</v>
      </c>
      <c r="F151" s="36" t="s">
        <v>75</v>
      </c>
      <c r="G151" s="37">
        <v>24</v>
      </c>
      <c r="H151" s="66">
        <v>45927</v>
      </c>
      <c r="I151" s="38">
        <f t="shared" ca="1" si="7"/>
        <v>-272</v>
      </c>
      <c r="J151" s="38" t="str">
        <f t="shared" ca="1" si="8"/>
        <v>EXPIRED</v>
      </c>
      <c r="K151" s="36" t="s">
        <v>175</v>
      </c>
      <c r="L151" s="39"/>
    </row>
    <row r="152" spans="1:12" x14ac:dyDescent="0.35">
      <c r="A152" s="34" t="str">
        <f t="shared" si="6"/>
        <v>DON-0148</v>
      </c>
      <c r="B152" s="35">
        <v>45894</v>
      </c>
      <c r="C152" s="36" t="s">
        <v>83</v>
      </c>
      <c r="D152" s="36" t="s">
        <v>84</v>
      </c>
      <c r="E152" s="36" t="s">
        <v>74</v>
      </c>
      <c r="F152" s="36" t="s">
        <v>85</v>
      </c>
      <c r="G152" s="37">
        <v>37</v>
      </c>
      <c r="H152" s="66">
        <v>46064</v>
      </c>
      <c r="I152" s="38">
        <f t="shared" ca="1" si="7"/>
        <v>-135</v>
      </c>
      <c r="J152" s="38" t="str">
        <f t="shared" ca="1" si="8"/>
        <v>EXPIRED</v>
      </c>
      <c r="K152" s="36" t="s">
        <v>175</v>
      </c>
      <c r="L152" s="39"/>
    </row>
    <row r="153" spans="1:12" x14ac:dyDescent="0.35">
      <c r="A153" s="34" t="str">
        <f t="shared" si="6"/>
        <v>DON-0149</v>
      </c>
      <c r="B153" s="35">
        <v>45894</v>
      </c>
      <c r="C153" s="36" t="s">
        <v>86</v>
      </c>
      <c r="D153" s="36" t="s">
        <v>87</v>
      </c>
      <c r="E153" s="36" t="s">
        <v>74</v>
      </c>
      <c r="F153" s="36" t="s">
        <v>75</v>
      </c>
      <c r="G153" s="37">
        <v>40</v>
      </c>
      <c r="H153" s="66">
        <v>46092</v>
      </c>
      <c r="I153" s="38">
        <f t="shared" ca="1" si="7"/>
        <v>-107</v>
      </c>
      <c r="J153" s="38" t="str">
        <f t="shared" ca="1" si="8"/>
        <v>EXPIRED</v>
      </c>
      <c r="K153" s="36" t="s">
        <v>175</v>
      </c>
      <c r="L153" s="39"/>
    </row>
    <row r="154" spans="1:12" x14ac:dyDescent="0.35">
      <c r="A154" s="34" t="str">
        <f t="shared" si="6"/>
        <v>DON-0150</v>
      </c>
      <c r="B154" s="35">
        <v>45894</v>
      </c>
      <c r="C154" s="36" t="s">
        <v>100</v>
      </c>
      <c r="D154" s="36" t="s">
        <v>101</v>
      </c>
      <c r="E154" s="36" t="s">
        <v>102</v>
      </c>
      <c r="F154" s="36" t="s">
        <v>103</v>
      </c>
      <c r="G154" s="37">
        <v>44</v>
      </c>
      <c r="H154" s="66">
        <v>46259</v>
      </c>
      <c r="I154" s="38">
        <f t="shared" ca="1" si="7"/>
        <v>60</v>
      </c>
      <c r="J154" s="38" t="str">
        <f t="shared" ca="1" si="8"/>
        <v>OK</v>
      </c>
      <c r="K154" s="36" t="s">
        <v>175</v>
      </c>
      <c r="L154" s="39"/>
    </row>
    <row r="155" spans="1:12" x14ac:dyDescent="0.35">
      <c r="A155" s="34" t="str">
        <f t="shared" si="6"/>
        <v>DON-0151</v>
      </c>
      <c r="B155" s="35">
        <v>45894</v>
      </c>
      <c r="C155" s="36" t="s">
        <v>81</v>
      </c>
      <c r="D155" s="36" t="s">
        <v>82</v>
      </c>
      <c r="E155" s="36" t="s">
        <v>74</v>
      </c>
      <c r="F155" s="36" t="s">
        <v>80</v>
      </c>
      <c r="G155" s="37">
        <v>33</v>
      </c>
      <c r="H155" s="66">
        <v>46433</v>
      </c>
      <c r="I155" s="38">
        <f t="shared" ca="1" si="7"/>
        <v>234</v>
      </c>
      <c r="J155" s="38" t="str">
        <f t="shared" ca="1" si="8"/>
        <v>OK</v>
      </c>
      <c r="K155" s="36" t="s">
        <v>175</v>
      </c>
      <c r="L155" s="39"/>
    </row>
    <row r="156" spans="1:12" x14ac:dyDescent="0.35">
      <c r="A156" s="34" t="str">
        <f t="shared" si="6"/>
        <v>DON-0152</v>
      </c>
      <c r="B156" s="35">
        <v>45894</v>
      </c>
      <c r="C156" s="36" t="s">
        <v>104</v>
      </c>
      <c r="D156" s="36" t="s">
        <v>105</v>
      </c>
      <c r="E156" s="36" t="s">
        <v>102</v>
      </c>
      <c r="F156" s="36" t="s">
        <v>103</v>
      </c>
      <c r="G156" s="37">
        <v>58</v>
      </c>
      <c r="H156" s="66">
        <v>46437</v>
      </c>
      <c r="I156" s="38">
        <f t="shared" ca="1" si="7"/>
        <v>238</v>
      </c>
      <c r="J156" s="38" t="str">
        <f t="shared" ca="1" si="8"/>
        <v>OK</v>
      </c>
      <c r="K156" s="36" t="s">
        <v>175</v>
      </c>
      <c r="L156" s="39"/>
    </row>
    <row r="157" spans="1:12" x14ac:dyDescent="0.35">
      <c r="A157" s="34" t="str">
        <f t="shared" si="6"/>
        <v>DON-0153</v>
      </c>
      <c r="B157" s="35">
        <v>45899</v>
      </c>
      <c r="C157" s="36" t="s">
        <v>97</v>
      </c>
      <c r="D157" s="36" t="s">
        <v>98</v>
      </c>
      <c r="E157" s="36" t="s">
        <v>93</v>
      </c>
      <c r="F157" s="36" t="s">
        <v>99</v>
      </c>
      <c r="G157" s="37">
        <v>27</v>
      </c>
      <c r="H157" s="66">
        <v>46053</v>
      </c>
      <c r="I157" s="38">
        <f t="shared" ca="1" si="7"/>
        <v>-146</v>
      </c>
      <c r="J157" s="38" t="str">
        <f t="shared" ca="1" si="8"/>
        <v>EXPIRED</v>
      </c>
      <c r="K157" s="36" t="s">
        <v>176</v>
      </c>
      <c r="L157" s="39"/>
    </row>
    <row r="158" spans="1:12" x14ac:dyDescent="0.35">
      <c r="A158" s="34" t="str">
        <f t="shared" si="6"/>
        <v>DON-0154</v>
      </c>
      <c r="B158" s="35">
        <v>45899</v>
      </c>
      <c r="C158" s="36" t="s">
        <v>83</v>
      </c>
      <c r="D158" s="36" t="s">
        <v>84</v>
      </c>
      <c r="E158" s="36" t="s">
        <v>74</v>
      </c>
      <c r="F158" s="36" t="s">
        <v>85</v>
      </c>
      <c r="G158" s="37">
        <v>35</v>
      </c>
      <c r="H158" s="66">
        <v>46119</v>
      </c>
      <c r="I158" s="38">
        <f t="shared" ca="1" si="7"/>
        <v>-80</v>
      </c>
      <c r="J158" s="38" t="str">
        <f t="shared" ca="1" si="8"/>
        <v>EXPIRED</v>
      </c>
      <c r="K158" s="36" t="s">
        <v>176</v>
      </c>
      <c r="L158" s="39"/>
    </row>
    <row r="159" spans="1:12" x14ac:dyDescent="0.35">
      <c r="A159" s="34" t="str">
        <f t="shared" si="6"/>
        <v>DON-0155</v>
      </c>
      <c r="B159" s="35">
        <v>45899</v>
      </c>
      <c r="C159" s="36" t="s">
        <v>91</v>
      </c>
      <c r="D159" s="36" t="s">
        <v>92</v>
      </c>
      <c r="E159" s="36" t="s">
        <v>93</v>
      </c>
      <c r="F159" s="36" t="s">
        <v>85</v>
      </c>
      <c r="G159" s="37">
        <v>18</v>
      </c>
      <c r="H159" s="66">
        <v>46131</v>
      </c>
      <c r="I159" s="38">
        <f t="shared" ca="1" si="7"/>
        <v>-68</v>
      </c>
      <c r="J159" s="38" t="str">
        <f t="shared" ca="1" si="8"/>
        <v>EXPIRED</v>
      </c>
      <c r="K159" s="36" t="s">
        <v>176</v>
      </c>
      <c r="L159" s="39"/>
    </row>
    <row r="160" spans="1:12" x14ac:dyDescent="0.35">
      <c r="A160" s="34" t="str">
        <f t="shared" si="6"/>
        <v>DON-0156</v>
      </c>
      <c r="B160" s="35">
        <v>45899</v>
      </c>
      <c r="C160" s="36" t="s">
        <v>114</v>
      </c>
      <c r="D160" s="36" t="s">
        <v>13</v>
      </c>
      <c r="E160" s="36" t="s">
        <v>14</v>
      </c>
      <c r="F160" s="36" t="s">
        <v>115</v>
      </c>
      <c r="G160" s="37">
        <v>14</v>
      </c>
      <c r="H160" s="66">
        <v>46174</v>
      </c>
      <c r="I160" s="38">
        <f t="shared" ca="1" si="7"/>
        <v>-25</v>
      </c>
      <c r="J160" s="38" t="str">
        <f t="shared" ca="1" si="8"/>
        <v>EXPIRED</v>
      </c>
      <c r="K160" s="36" t="s">
        <v>176</v>
      </c>
      <c r="L160" s="39"/>
    </row>
    <row r="161" spans="1:12" x14ac:dyDescent="0.35">
      <c r="A161" s="34" t="str">
        <f t="shared" si="6"/>
        <v>DON-0157</v>
      </c>
      <c r="B161" s="35">
        <v>45899</v>
      </c>
      <c r="C161" s="36" t="s">
        <v>104</v>
      </c>
      <c r="D161" s="36" t="s">
        <v>105</v>
      </c>
      <c r="E161" s="36" t="s">
        <v>102</v>
      </c>
      <c r="F161" s="36" t="s">
        <v>103</v>
      </c>
      <c r="G161" s="37">
        <v>64</v>
      </c>
      <c r="H161" s="66">
        <v>46433</v>
      </c>
      <c r="I161" s="38">
        <f t="shared" ca="1" si="7"/>
        <v>234</v>
      </c>
      <c r="J161" s="38" t="str">
        <f t="shared" ca="1" si="8"/>
        <v>OK</v>
      </c>
      <c r="K161" s="36" t="s">
        <v>176</v>
      </c>
      <c r="L161" s="39"/>
    </row>
    <row r="162" spans="1:12" x14ac:dyDescent="0.35">
      <c r="A162" s="34" t="str">
        <f t="shared" si="6"/>
        <v>DON-0158</v>
      </c>
      <c r="B162" s="35">
        <v>45899</v>
      </c>
      <c r="C162" s="36" t="s">
        <v>161</v>
      </c>
      <c r="D162" s="36" t="s">
        <v>162</v>
      </c>
      <c r="E162" s="36" t="s">
        <v>159</v>
      </c>
      <c r="F162" s="36" t="s">
        <v>163</v>
      </c>
      <c r="G162" s="37">
        <v>18</v>
      </c>
      <c r="H162" s="66">
        <v>46489</v>
      </c>
      <c r="I162" s="38">
        <f t="shared" ca="1" si="7"/>
        <v>290</v>
      </c>
      <c r="J162" s="38" t="str">
        <f t="shared" ca="1" si="8"/>
        <v>OK</v>
      </c>
      <c r="K162" s="36" t="s">
        <v>176</v>
      </c>
      <c r="L162" s="39"/>
    </row>
    <row r="163" spans="1:12" x14ac:dyDescent="0.35">
      <c r="A163" s="34" t="str">
        <f t="shared" si="6"/>
        <v>DON-0159</v>
      </c>
      <c r="B163" s="35">
        <v>45899</v>
      </c>
      <c r="C163" s="36" t="s">
        <v>29</v>
      </c>
      <c r="D163" s="36" t="s">
        <v>30</v>
      </c>
      <c r="E163" s="36" t="s">
        <v>31</v>
      </c>
      <c r="F163" s="36" t="s">
        <v>32</v>
      </c>
      <c r="G163" s="37">
        <v>75</v>
      </c>
      <c r="H163" s="66">
        <v>46763</v>
      </c>
      <c r="I163" s="38">
        <f t="shared" ca="1" si="7"/>
        <v>564</v>
      </c>
      <c r="J163" s="38" t="str">
        <f t="shared" ca="1" si="8"/>
        <v>OK</v>
      </c>
      <c r="K163" s="36" t="s">
        <v>176</v>
      </c>
      <c r="L163" s="39"/>
    </row>
    <row r="164" spans="1:12" x14ac:dyDescent="0.35">
      <c r="A164" s="34" t="str">
        <f t="shared" si="6"/>
        <v>DON-0160</v>
      </c>
      <c r="B164" s="35">
        <v>45902</v>
      </c>
      <c r="C164" s="36" t="s">
        <v>135</v>
      </c>
      <c r="D164" s="36" t="s">
        <v>5</v>
      </c>
      <c r="E164" s="36" t="s">
        <v>6</v>
      </c>
      <c r="F164" s="36" t="s">
        <v>136</v>
      </c>
      <c r="G164" s="37">
        <v>45</v>
      </c>
      <c r="H164" s="66">
        <v>45906</v>
      </c>
      <c r="I164" s="38">
        <f t="shared" ca="1" si="7"/>
        <v>-293</v>
      </c>
      <c r="J164" s="38" t="str">
        <f t="shared" ca="1" si="8"/>
        <v>EXPIRED</v>
      </c>
      <c r="K164" s="36" t="s">
        <v>182</v>
      </c>
      <c r="L164" s="39"/>
    </row>
    <row r="165" spans="1:12" x14ac:dyDescent="0.35">
      <c r="A165" s="34" t="str">
        <f t="shared" si="6"/>
        <v>DON-0161</v>
      </c>
      <c r="B165" s="35">
        <v>45902</v>
      </c>
      <c r="C165" s="36" t="s">
        <v>128</v>
      </c>
      <c r="D165" s="36" t="s">
        <v>9</v>
      </c>
      <c r="E165" s="36" t="s">
        <v>10</v>
      </c>
      <c r="F165" s="36" t="s">
        <v>129</v>
      </c>
      <c r="G165" s="37">
        <v>25</v>
      </c>
      <c r="H165" s="66">
        <v>45909</v>
      </c>
      <c r="I165" s="38">
        <f t="shared" ca="1" si="7"/>
        <v>-290</v>
      </c>
      <c r="J165" s="38" t="str">
        <f t="shared" ca="1" si="8"/>
        <v>EXPIRED</v>
      </c>
      <c r="K165" s="36" t="s">
        <v>182</v>
      </c>
      <c r="L165" s="39"/>
    </row>
    <row r="166" spans="1:12" x14ac:dyDescent="0.35">
      <c r="A166" s="34" t="str">
        <f t="shared" si="6"/>
        <v>DON-0162</v>
      </c>
      <c r="B166" s="35">
        <v>45902</v>
      </c>
      <c r="C166" s="36" t="s">
        <v>144</v>
      </c>
      <c r="D166" s="36" t="s">
        <v>7</v>
      </c>
      <c r="E166" s="36" t="s">
        <v>8</v>
      </c>
      <c r="F166" s="36" t="s">
        <v>145</v>
      </c>
      <c r="G166" s="37">
        <v>24</v>
      </c>
      <c r="H166" s="66">
        <v>45912</v>
      </c>
      <c r="I166" s="38">
        <f t="shared" ca="1" si="7"/>
        <v>-287</v>
      </c>
      <c r="J166" s="38" t="str">
        <f t="shared" ca="1" si="8"/>
        <v>EXPIRED</v>
      </c>
      <c r="K166" s="36" t="s">
        <v>182</v>
      </c>
      <c r="L166" s="39"/>
    </row>
    <row r="167" spans="1:12" x14ac:dyDescent="0.35">
      <c r="A167" s="34" t="str">
        <f t="shared" si="6"/>
        <v>DON-0163</v>
      </c>
      <c r="B167" s="35">
        <v>45902</v>
      </c>
      <c r="C167" s="36" t="s">
        <v>151</v>
      </c>
      <c r="D167" s="36" t="s">
        <v>152</v>
      </c>
      <c r="E167" s="36" t="s">
        <v>8</v>
      </c>
      <c r="F167" s="36" t="s">
        <v>143</v>
      </c>
      <c r="G167" s="37">
        <v>18</v>
      </c>
      <c r="H167" s="66">
        <v>45925</v>
      </c>
      <c r="I167" s="38">
        <f t="shared" ca="1" si="7"/>
        <v>-274</v>
      </c>
      <c r="J167" s="38" t="str">
        <f t="shared" ca="1" si="8"/>
        <v>EXPIRED</v>
      </c>
      <c r="K167" s="36" t="s">
        <v>179</v>
      </c>
      <c r="L167" s="39"/>
    </row>
    <row r="168" spans="1:12" x14ac:dyDescent="0.35">
      <c r="A168" s="34" t="str">
        <f t="shared" si="6"/>
        <v>DON-0164</v>
      </c>
      <c r="B168" s="35">
        <v>45902</v>
      </c>
      <c r="C168" s="36" t="s">
        <v>157</v>
      </c>
      <c r="D168" s="36" t="s">
        <v>158</v>
      </c>
      <c r="E168" s="36" t="s">
        <v>159</v>
      </c>
      <c r="F168" s="36" t="s">
        <v>160</v>
      </c>
      <c r="G168" s="37">
        <v>20</v>
      </c>
      <c r="H168" s="66">
        <v>46130</v>
      </c>
      <c r="I168" s="38">
        <f t="shared" ca="1" si="7"/>
        <v>-69</v>
      </c>
      <c r="J168" s="38" t="str">
        <f t="shared" ca="1" si="8"/>
        <v>EXPIRED</v>
      </c>
      <c r="K168" s="36" t="s">
        <v>179</v>
      </c>
      <c r="L168" s="39"/>
    </row>
    <row r="169" spans="1:12" x14ac:dyDescent="0.35">
      <c r="A169" s="34" t="str">
        <f t="shared" si="6"/>
        <v>DON-0165</v>
      </c>
      <c r="B169" s="35">
        <v>45902</v>
      </c>
      <c r="C169" s="36" t="s">
        <v>161</v>
      </c>
      <c r="D169" s="36" t="s">
        <v>162</v>
      </c>
      <c r="E169" s="36" t="s">
        <v>159</v>
      </c>
      <c r="F169" s="36" t="s">
        <v>163</v>
      </c>
      <c r="G169" s="37">
        <v>29</v>
      </c>
      <c r="H169" s="66">
        <v>46176</v>
      </c>
      <c r="I169" s="38">
        <f t="shared" ca="1" si="7"/>
        <v>-23</v>
      </c>
      <c r="J169" s="38" t="str">
        <f t="shared" ca="1" si="8"/>
        <v>EXPIRED</v>
      </c>
      <c r="K169" s="36" t="s">
        <v>179</v>
      </c>
      <c r="L169" s="39"/>
    </row>
    <row r="170" spans="1:12" x14ac:dyDescent="0.35">
      <c r="A170" s="34" t="str">
        <f t="shared" si="6"/>
        <v>DON-0166</v>
      </c>
      <c r="B170" s="35">
        <v>45902</v>
      </c>
      <c r="C170" s="36" t="s">
        <v>78</v>
      </c>
      <c r="D170" s="36" t="s">
        <v>79</v>
      </c>
      <c r="E170" s="36" t="s">
        <v>74</v>
      </c>
      <c r="F170" s="36" t="s">
        <v>80</v>
      </c>
      <c r="G170" s="37">
        <v>50</v>
      </c>
      <c r="H170" s="66">
        <v>46215</v>
      </c>
      <c r="I170" s="38">
        <f t="shared" ca="1" si="7"/>
        <v>16</v>
      </c>
      <c r="J170" s="38" t="str">
        <f t="shared" ca="1" si="8"/>
        <v>NOTICE</v>
      </c>
      <c r="K170" s="36" t="s">
        <v>179</v>
      </c>
      <c r="L170" s="39"/>
    </row>
    <row r="171" spans="1:12" x14ac:dyDescent="0.35">
      <c r="A171" s="34" t="str">
        <f t="shared" si="6"/>
        <v>DON-0167</v>
      </c>
      <c r="B171" s="35">
        <v>45902</v>
      </c>
      <c r="C171" s="36" t="s">
        <v>81</v>
      </c>
      <c r="D171" s="36" t="s">
        <v>82</v>
      </c>
      <c r="E171" s="36" t="s">
        <v>74</v>
      </c>
      <c r="F171" s="36" t="s">
        <v>80</v>
      </c>
      <c r="G171" s="37">
        <v>43</v>
      </c>
      <c r="H171" s="66">
        <v>46422</v>
      </c>
      <c r="I171" s="38">
        <f t="shared" ca="1" si="7"/>
        <v>223</v>
      </c>
      <c r="J171" s="38" t="str">
        <f t="shared" ca="1" si="8"/>
        <v>OK</v>
      </c>
      <c r="K171" s="36" t="s">
        <v>179</v>
      </c>
      <c r="L171" s="39"/>
    </row>
    <row r="172" spans="1:12" x14ac:dyDescent="0.35">
      <c r="A172" s="34" t="str">
        <f t="shared" si="6"/>
        <v>DON-0168</v>
      </c>
      <c r="B172" s="35">
        <v>45902</v>
      </c>
      <c r="C172" s="36" t="s">
        <v>72</v>
      </c>
      <c r="D172" s="36" t="s">
        <v>73</v>
      </c>
      <c r="E172" s="36" t="s">
        <v>74</v>
      </c>
      <c r="F172" s="36" t="s">
        <v>75</v>
      </c>
      <c r="G172" s="37">
        <v>39</v>
      </c>
      <c r="H172" s="66">
        <v>46602</v>
      </c>
      <c r="I172" s="38">
        <f t="shared" ca="1" si="7"/>
        <v>403</v>
      </c>
      <c r="J172" s="38" t="str">
        <f t="shared" ca="1" si="8"/>
        <v>OK</v>
      </c>
      <c r="K172" s="36" t="s">
        <v>179</v>
      </c>
      <c r="L172" s="39"/>
    </row>
    <row r="173" spans="1:12" x14ac:dyDescent="0.35">
      <c r="A173" s="34" t="str">
        <f t="shared" si="6"/>
        <v>DON-0169</v>
      </c>
      <c r="B173" s="35">
        <v>45902</v>
      </c>
      <c r="C173" s="36" t="s">
        <v>109</v>
      </c>
      <c r="D173" s="36" t="s">
        <v>110</v>
      </c>
      <c r="E173" s="36" t="s">
        <v>102</v>
      </c>
      <c r="F173" s="36" t="s">
        <v>42</v>
      </c>
      <c r="G173" s="37">
        <v>42</v>
      </c>
      <c r="H173" s="66">
        <v>46659</v>
      </c>
      <c r="I173" s="38">
        <f t="shared" ca="1" si="7"/>
        <v>460</v>
      </c>
      <c r="J173" s="38" t="str">
        <f t="shared" ca="1" si="8"/>
        <v>OK</v>
      </c>
      <c r="K173" s="36" t="s">
        <v>179</v>
      </c>
      <c r="L173" s="39"/>
    </row>
    <row r="174" spans="1:12" x14ac:dyDescent="0.35">
      <c r="A174" s="34" t="str">
        <f t="shared" si="6"/>
        <v>DON-0170</v>
      </c>
      <c r="B174" s="35">
        <v>45902</v>
      </c>
      <c r="C174" s="36" t="s">
        <v>54</v>
      </c>
      <c r="D174" s="36" t="s">
        <v>55</v>
      </c>
      <c r="E174" s="36" t="s">
        <v>53</v>
      </c>
      <c r="F174" s="36" t="s">
        <v>56</v>
      </c>
      <c r="G174" s="37">
        <v>78</v>
      </c>
      <c r="H174" s="66">
        <v>46720</v>
      </c>
      <c r="I174" s="38">
        <f t="shared" ca="1" si="7"/>
        <v>521</v>
      </c>
      <c r="J174" s="38" t="str">
        <f t="shared" ca="1" si="8"/>
        <v>OK</v>
      </c>
      <c r="K174" s="36" t="s">
        <v>182</v>
      </c>
      <c r="L174" s="39"/>
    </row>
    <row r="175" spans="1:12" x14ac:dyDescent="0.35">
      <c r="A175" s="34" t="str">
        <f t="shared" si="6"/>
        <v>DON-0171</v>
      </c>
      <c r="B175" s="35">
        <v>45902</v>
      </c>
      <c r="C175" s="36" t="s">
        <v>111</v>
      </c>
      <c r="D175" s="36" t="s">
        <v>112</v>
      </c>
      <c r="E175" s="36" t="s">
        <v>102</v>
      </c>
      <c r="F175" s="36" t="s">
        <v>113</v>
      </c>
      <c r="G175" s="37">
        <v>74</v>
      </c>
      <c r="H175" s="66">
        <v>46783</v>
      </c>
      <c r="I175" s="38">
        <f t="shared" ca="1" si="7"/>
        <v>584</v>
      </c>
      <c r="J175" s="38" t="str">
        <f t="shared" ca="1" si="8"/>
        <v>OK</v>
      </c>
      <c r="K175" s="36" t="s">
        <v>182</v>
      </c>
      <c r="L175" s="39"/>
    </row>
    <row r="176" spans="1:12" x14ac:dyDescent="0.35">
      <c r="A176" s="34" t="str">
        <f t="shared" si="6"/>
        <v>DON-0172</v>
      </c>
      <c r="B176" s="35">
        <v>45902</v>
      </c>
      <c r="C176" s="36" t="s">
        <v>43</v>
      </c>
      <c r="D176" s="36" t="s">
        <v>44</v>
      </c>
      <c r="E176" s="36" t="s">
        <v>31</v>
      </c>
      <c r="F176" s="36" t="s">
        <v>42</v>
      </c>
      <c r="G176" s="37">
        <v>87</v>
      </c>
      <c r="H176" s="66">
        <v>46990</v>
      </c>
      <c r="I176" s="38">
        <f t="shared" ca="1" si="7"/>
        <v>791</v>
      </c>
      <c r="J176" s="38" t="str">
        <f t="shared" ca="1" si="8"/>
        <v>OK</v>
      </c>
      <c r="K176" s="36" t="s">
        <v>179</v>
      </c>
      <c r="L176" s="39"/>
    </row>
    <row r="177" spans="1:12" x14ac:dyDescent="0.35">
      <c r="A177" s="34" t="str">
        <f t="shared" si="6"/>
        <v>DON-0173</v>
      </c>
      <c r="B177" s="35">
        <v>45902</v>
      </c>
      <c r="C177" s="36" t="s">
        <v>122</v>
      </c>
      <c r="D177" s="36" t="s">
        <v>123</v>
      </c>
      <c r="E177" s="36" t="s">
        <v>14</v>
      </c>
      <c r="F177" s="36" t="s">
        <v>124</v>
      </c>
      <c r="G177" s="37">
        <v>25</v>
      </c>
      <c r="H177" s="66">
        <v>47482</v>
      </c>
      <c r="I177" s="38">
        <f t="shared" ca="1" si="7"/>
        <v>1283</v>
      </c>
      <c r="J177" s="38" t="str">
        <f t="shared" ca="1" si="8"/>
        <v>OK</v>
      </c>
      <c r="K177" s="36" t="s">
        <v>182</v>
      </c>
      <c r="L177" s="39"/>
    </row>
    <row r="178" spans="1:12" x14ac:dyDescent="0.35">
      <c r="A178" s="34" t="str">
        <f t="shared" si="6"/>
        <v>DON-0174</v>
      </c>
      <c r="B178" s="35">
        <v>45903</v>
      </c>
      <c r="C178" s="36" t="s">
        <v>137</v>
      </c>
      <c r="D178" s="36" t="s">
        <v>15</v>
      </c>
      <c r="E178" s="36" t="s">
        <v>6</v>
      </c>
      <c r="F178" s="36" t="s">
        <v>136</v>
      </c>
      <c r="G178" s="37">
        <v>49</v>
      </c>
      <c r="H178" s="66">
        <v>45908</v>
      </c>
      <c r="I178" s="38">
        <f t="shared" ca="1" si="7"/>
        <v>-291</v>
      </c>
      <c r="J178" s="38" t="str">
        <f t="shared" ca="1" si="8"/>
        <v>EXPIRED</v>
      </c>
      <c r="K178" s="36" t="s">
        <v>176</v>
      </c>
      <c r="L178" s="39"/>
    </row>
    <row r="179" spans="1:12" x14ac:dyDescent="0.35">
      <c r="A179" s="34" t="str">
        <f t="shared" si="6"/>
        <v>DON-0175</v>
      </c>
      <c r="B179" s="35">
        <v>45903</v>
      </c>
      <c r="C179" s="36" t="s">
        <v>57</v>
      </c>
      <c r="D179" s="36" t="s">
        <v>58</v>
      </c>
      <c r="E179" s="36" t="s">
        <v>53</v>
      </c>
      <c r="F179" s="36" t="s">
        <v>42</v>
      </c>
      <c r="G179" s="37">
        <v>116</v>
      </c>
      <c r="H179" s="66">
        <v>46645</v>
      </c>
      <c r="I179" s="38">
        <f t="shared" ca="1" si="7"/>
        <v>446</v>
      </c>
      <c r="J179" s="38" t="str">
        <f t="shared" ca="1" si="8"/>
        <v>OK</v>
      </c>
      <c r="K179" s="36" t="s">
        <v>176</v>
      </c>
      <c r="L179" s="39"/>
    </row>
    <row r="180" spans="1:12" x14ac:dyDescent="0.35">
      <c r="A180" s="34" t="str">
        <f t="shared" si="6"/>
        <v>DON-0176</v>
      </c>
      <c r="B180" s="35">
        <v>45903</v>
      </c>
      <c r="C180" s="36" t="s">
        <v>64</v>
      </c>
      <c r="D180" s="36" t="s">
        <v>65</v>
      </c>
      <c r="E180" s="36" t="s">
        <v>66</v>
      </c>
      <c r="F180" s="36" t="s">
        <v>42</v>
      </c>
      <c r="G180" s="37">
        <v>43</v>
      </c>
      <c r="H180" s="66">
        <v>46752</v>
      </c>
      <c r="I180" s="38">
        <f t="shared" ca="1" si="7"/>
        <v>553</v>
      </c>
      <c r="J180" s="38" t="str">
        <f t="shared" ca="1" si="8"/>
        <v>OK</v>
      </c>
      <c r="K180" s="36" t="s">
        <v>176</v>
      </c>
      <c r="L180" s="39"/>
    </row>
    <row r="181" spans="1:12" x14ac:dyDescent="0.35">
      <c r="A181" s="34" t="str">
        <f t="shared" si="6"/>
        <v>DON-0177</v>
      </c>
      <c r="B181" s="35">
        <v>45903</v>
      </c>
      <c r="C181" s="36" t="s">
        <v>34</v>
      </c>
      <c r="D181" s="36" t="s">
        <v>35</v>
      </c>
      <c r="E181" s="36" t="s">
        <v>31</v>
      </c>
      <c r="F181" s="36" t="s">
        <v>36</v>
      </c>
      <c r="G181" s="37">
        <v>85</v>
      </c>
      <c r="H181" s="66">
        <v>46845</v>
      </c>
      <c r="I181" s="38">
        <f t="shared" ca="1" si="7"/>
        <v>646</v>
      </c>
      <c r="J181" s="38" t="str">
        <f t="shared" ca="1" si="8"/>
        <v>OK</v>
      </c>
      <c r="K181" s="36" t="s">
        <v>176</v>
      </c>
      <c r="L181" s="39"/>
    </row>
    <row r="182" spans="1:12" x14ac:dyDescent="0.35">
      <c r="A182" s="34" t="str">
        <f t="shared" si="6"/>
        <v>DON-0178</v>
      </c>
      <c r="B182" s="35">
        <v>45904</v>
      </c>
      <c r="C182" s="36" t="s">
        <v>144</v>
      </c>
      <c r="D182" s="36" t="s">
        <v>7</v>
      </c>
      <c r="E182" s="36" t="s">
        <v>8</v>
      </c>
      <c r="F182" s="36" t="s">
        <v>145</v>
      </c>
      <c r="G182" s="37">
        <v>23</v>
      </c>
      <c r="H182" s="66">
        <v>45910</v>
      </c>
      <c r="I182" s="38">
        <f t="shared" ca="1" si="7"/>
        <v>-289</v>
      </c>
      <c r="J182" s="38" t="str">
        <f t="shared" ca="1" si="8"/>
        <v>EXPIRED</v>
      </c>
      <c r="K182" s="36" t="s">
        <v>176</v>
      </c>
      <c r="L182" s="39"/>
    </row>
    <row r="183" spans="1:12" x14ac:dyDescent="0.35">
      <c r="A183" s="34" t="str">
        <f t="shared" si="6"/>
        <v>DON-0179</v>
      </c>
      <c r="B183" s="35">
        <v>45904</v>
      </c>
      <c r="C183" s="36" t="s">
        <v>130</v>
      </c>
      <c r="D183" s="36" t="s">
        <v>16</v>
      </c>
      <c r="E183" s="36" t="s">
        <v>10</v>
      </c>
      <c r="F183" s="36" t="s">
        <v>131</v>
      </c>
      <c r="G183" s="37">
        <v>17</v>
      </c>
      <c r="H183" s="66">
        <v>45923</v>
      </c>
      <c r="I183" s="38">
        <f t="shared" ca="1" si="7"/>
        <v>-276</v>
      </c>
      <c r="J183" s="38" t="str">
        <f t="shared" ca="1" si="8"/>
        <v>EXPIRED</v>
      </c>
      <c r="K183" s="36" t="s">
        <v>176</v>
      </c>
      <c r="L183" s="39"/>
    </row>
    <row r="184" spans="1:12" x14ac:dyDescent="0.35">
      <c r="A184" s="34" t="str">
        <f t="shared" si="6"/>
        <v>DON-0180</v>
      </c>
      <c r="B184" s="35">
        <v>45904</v>
      </c>
      <c r="C184" s="36" t="s">
        <v>141</v>
      </c>
      <c r="D184" s="36" t="s">
        <v>142</v>
      </c>
      <c r="E184" s="36" t="s">
        <v>8</v>
      </c>
      <c r="F184" s="36" t="s">
        <v>143</v>
      </c>
      <c r="G184" s="37">
        <v>20</v>
      </c>
      <c r="H184" s="66">
        <v>45924</v>
      </c>
      <c r="I184" s="38">
        <f t="shared" ca="1" si="7"/>
        <v>-275</v>
      </c>
      <c r="J184" s="38" t="str">
        <f t="shared" ca="1" si="8"/>
        <v>EXPIRED</v>
      </c>
      <c r="K184" s="36" t="s">
        <v>176</v>
      </c>
      <c r="L184" s="39"/>
    </row>
    <row r="185" spans="1:12" x14ac:dyDescent="0.35">
      <c r="A185" s="34" t="str">
        <f t="shared" si="6"/>
        <v>DON-0181</v>
      </c>
      <c r="B185" s="35">
        <v>45904</v>
      </c>
      <c r="C185" s="36" t="s">
        <v>132</v>
      </c>
      <c r="D185" s="36" t="s">
        <v>133</v>
      </c>
      <c r="E185" s="36" t="s">
        <v>10</v>
      </c>
      <c r="F185" s="36" t="s">
        <v>134</v>
      </c>
      <c r="G185" s="37">
        <v>23</v>
      </c>
      <c r="H185" s="66">
        <v>45936</v>
      </c>
      <c r="I185" s="38">
        <f t="shared" ca="1" si="7"/>
        <v>-263</v>
      </c>
      <c r="J185" s="38" t="str">
        <f t="shared" ca="1" si="8"/>
        <v>EXPIRED</v>
      </c>
      <c r="K185" s="36" t="s">
        <v>182</v>
      </c>
      <c r="L185" s="39"/>
    </row>
    <row r="186" spans="1:12" x14ac:dyDescent="0.35">
      <c r="A186" s="34" t="str">
        <f t="shared" si="6"/>
        <v>DON-0182</v>
      </c>
      <c r="B186" s="35">
        <v>45904</v>
      </c>
      <c r="C186" s="36" t="s">
        <v>132</v>
      </c>
      <c r="D186" s="36" t="s">
        <v>133</v>
      </c>
      <c r="E186" s="36" t="s">
        <v>10</v>
      </c>
      <c r="F186" s="36" t="s">
        <v>134</v>
      </c>
      <c r="G186" s="37">
        <v>24</v>
      </c>
      <c r="H186" s="66">
        <v>45953</v>
      </c>
      <c r="I186" s="38">
        <f t="shared" ca="1" si="7"/>
        <v>-246</v>
      </c>
      <c r="J186" s="38" t="str">
        <f t="shared" ca="1" si="8"/>
        <v>EXPIRED</v>
      </c>
      <c r="K186" s="36" t="s">
        <v>176</v>
      </c>
      <c r="L186" s="39"/>
    </row>
    <row r="187" spans="1:12" x14ac:dyDescent="0.35">
      <c r="A187" s="34" t="str">
        <f t="shared" si="6"/>
        <v>DON-0183</v>
      </c>
      <c r="B187" s="35">
        <v>45904</v>
      </c>
      <c r="C187" s="36" t="s">
        <v>48</v>
      </c>
      <c r="D187" s="36" t="s">
        <v>49</v>
      </c>
      <c r="E187" s="36" t="s">
        <v>31</v>
      </c>
      <c r="F187" s="36" t="s">
        <v>50</v>
      </c>
      <c r="G187" s="37">
        <v>85</v>
      </c>
      <c r="H187" s="66">
        <v>46121</v>
      </c>
      <c r="I187" s="38">
        <f t="shared" ca="1" si="7"/>
        <v>-78</v>
      </c>
      <c r="J187" s="38" t="str">
        <f t="shared" ca="1" si="8"/>
        <v>EXPIRED</v>
      </c>
      <c r="K187" s="36" t="s">
        <v>182</v>
      </c>
      <c r="L187" s="39"/>
    </row>
    <row r="188" spans="1:12" x14ac:dyDescent="0.35">
      <c r="A188" s="34" t="str">
        <f t="shared" si="6"/>
        <v>DON-0184</v>
      </c>
      <c r="B188" s="35">
        <v>45904</v>
      </c>
      <c r="C188" s="36" t="s">
        <v>83</v>
      </c>
      <c r="D188" s="36" t="s">
        <v>84</v>
      </c>
      <c r="E188" s="36" t="s">
        <v>74</v>
      </c>
      <c r="F188" s="36" t="s">
        <v>85</v>
      </c>
      <c r="G188" s="37">
        <v>70</v>
      </c>
      <c r="H188" s="66">
        <v>46172</v>
      </c>
      <c r="I188" s="38">
        <f t="shared" ca="1" si="7"/>
        <v>-27</v>
      </c>
      <c r="J188" s="38" t="str">
        <f t="shared" ca="1" si="8"/>
        <v>EXPIRED</v>
      </c>
      <c r="K188" s="36" t="s">
        <v>182</v>
      </c>
      <c r="L188" s="39"/>
    </row>
    <row r="189" spans="1:12" x14ac:dyDescent="0.35">
      <c r="A189" s="34" t="str">
        <f t="shared" si="6"/>
        <v>DON-0185</v>
      </c>
      <c r="B189" s="35">
        <v>45904</v>
      </c>
      <c r="C189" s="36" t="s">
        <v>34</v>
      </c>
      <c r="D189" s="36" t="s">
        <v>35</v>
      </c>
      <c r="E189" s="36" t="s">
        <v>31</v>
      </c>
      <c r="F189" s="36" t="s">
        <v>36</v>
      </c>
      <c r="G189" s="37">
        <v>69</v>
      </c>
      <c r="H189" s="66">
        <v>46614</v>
      </c>
      <c r="I189" s="38">
        <f t="shared" ca="1" si="7"/>
        <v>415</v>
      </c>
      <c r="J189" s="38" t="str">
        <f t="shared" ca="1" si="8"/>
        <v>OK</v>
      </c>
      <c r="K189" s="36" t="s">
        <v>176</v>
      </c>
      <c r="L189" s="39"/>
    </row>
    <row r="190" spans="1:12" x14ac:dyDescent="0.35">
      <c r="A190" s="34" t="str">
        <f t="shared" si="6"/>
        <v>DON-0186</v>
      </c>
      <c r="B190" s="35">
        <v>45904</v>
      </c>
      <c r="C190" s="36" t="s">
        <v>46</v>
      </c>
      <c r="D190" s="36" t="s">
        <v>47</v>
      </c>
      <c r="E190" s="36" t="s">
        <v>31</v>
      </c>
      <c r="F190" s="36" t="s">
        <v>42</v>
      </c>
      <c r="G190" s="37">
        <v>92</v>
      </c>
      <c r="H190" s="66">
        <v>46657</v>
      </c>
      <c r="I190" s="38">
        <f t="shared" ca="1" si="7"/>
        <v>458</v>
      </c>
      <c r="J190" s="38" t="str">
        <f t="shared" ca="1" si="8"/>
        <v>OK</v>
      </c>
      <c r="K190" s="36" t="s">
        <v>176</v>
      </c>
      <c r="L190" s="39"/>
    </row>
    <row r="191" spans="1:12" x14ac:dyDescent="0.35">
      <c r="A191" s="34" t="str">
        <f t="shared" si="6"/>
        <v>DON-0187</v>
      </c>
      <c r="B191" s="35">
        <v>45904</v>
      </c>
      <c r="C191" s="36" t="s">
        <v>34</v>
      </c>
      <c r="D191" s="36" t="s">
        <v>35</v>
      </c>
      <c r="E191" s="36" t="s">
        <v>31</v>
      </c>
      <c r="F191" s="36" t="s">
        <v>36</v>
      </c>
      <c r="G191" s="37">
        <v>40</v>
      </c>
      <c r="H191" s="66">
        <v>46976</v>
      </c>
      <c r="I191" s="38">
        <f t="shared" ca="1" si="7"/>
        <v>777</v>
      </c>
      <c r="J191" s="38" t="str">
        <f t="shared" ca="1" si="8"/>
        <v>OK</v>
      </c>
      <c r="K191" s="36" t="s">
        <v>182</v>
      </c>
      <c r="L191" s="39"/>
    </row>
    <row r="192" spans="1:12" x14ac:dyDescent="0.35">
      <c r="A192" s="34" t="str">
        <f t="shared" si="6"/>
        <v>DON-0188</v>
      </c>
      <c r="B192" s="35">
        <v>45906</v>
      </c>
      <c r="C192" s="36" t="s">
        <v>156</v>
      </c>
      <c r="D192" s="36" t="s">
        <v>11</v>
      </c>
      <c r="E192" s="36" t="s">
        <v>12</v>
      </c>
      <c r="F192" s="36" t="s">
        <v>155</v>
      </c>
      <c r="G192" s="37">
        <v>13</v>
      </c>
      <c r="H192" s="66">
        <v>45920</v>
      </c>
      <c r="I192" s="38">
        <f t="shared" ca="1" si="7"/>
        <v>-279</v>
      </c>
      <c r="J192" s="38" t="str">
        <f t="shared" ca="1" si="8"/>
        <v>EXPIRED</v>
      </c>
      <c r="K192" s="36" t="s">
        <v>175</v>
      </c>
      <c r="L192" s="39"/>
    </row>
    <row r="193" spans="1:12" x14ac:dyDescent="0.35">
      <c r="A193" s="34" t="str">
        <f t="shared" si="6"/>
        <v>DON-0189</v>
      </c>
      <c r="B193" s="35">
        <v>45906</v>
      </c>
      <c r="C193" s="36" t="s">
        <v>114</v>
      </c>
      <c r="D193" s="36" t="s">
        <v>13</v>
      </c>
      <c r="E193" s="36" t="s">
        <v>14</v>
      </c>
      <c r="F193" s="36" t="s">
        <v>115</v>
      </c>
      <c r="G193" s="37">
        <v>18</v>
      </c>
      <c r="H193" s="66">
        <v>46270</v>
      </c>
      <c r="I193" s="38">
        <f t="shared" ca="1" si="7"/>
        <v>71</v>
      </c>
      <c r="J193" s="38" t="str">
        <f t="shared" ca="1" si="8"/>
        <v>OK</v>
      </c>
      <c r="K193" s="36" t="s">
        <v>175</v>
      </c>
      <c r="L193" s="39"/>
    </row>
    <row r="194" spans="1:12" x14ac:dyDescent="0.35">
      <c r="A194" s="34" t="str">
        <f t="shared" si="6"/>
        <v>DON-0190</v>
      </c>
      <c r="B194" s="35">
        <v>45906</v>
      </c>
      <c r="C194" s="36" t="s">
        <v>34</v>
      </c>
      <c r="D194" s="36" t="s">
        <v>35</v>
      </c>
      <c r="E194" s="36" t="s">
        <v>31</v>
      </c>
      <c r="F194" s="36" t="s">
        <v>36</v>
      </c>
      <c r="G194" s="37">
        <v>61</v>
      </c>
      <c r="H194" s="66">
        <v>46936</v>
      </c>
      <c r="I194" s="38">
        <f t="shared" ca="1" si="7"/>
        <v>737</v>
      </c>
      <c r="J194" s="38" t="str">
        <f t="shared" ca="1" si="8"/>
        <v>OK</v>
      </c>
      <c r="K194" s="36" t="s">
        <v>175</v>
      </c>
      <c r="L194" s="39"/>
    </row>
    <row r="195" spans="1:12" x14ac:dyDescent="0.35">
      <c r="A195" s="34" t="str">
        <f t="shared" si="6"/>
        <v>DON-0191</v>
      </c>
      <c r="B195" s="35">
        <v>45909</v>
      </c>
      <c r="C195" s="36" t="s">
        <v>149</v>
      </c>
      <c r="D195" s="36" t="s">
        <v>150</v>
      </c>
      <c r="E195" s="36" t="s">
        <v>8</v>
      </c>
      <c r="F195" s="36" t="s">
        <v>75</v>
      </c>
      <c r="G195" s="37">
        <v>36</v>
      </c>
      <c r="H195" s="66">
        <v>45967</v>
      </c>
      <c r="I195" s="38">
        <f t="shared" ca="1" si="7"/>
        <v>-232</v>
      </c>
      <c r="J195" s="38" t="str">
        <f t="shared" ca="1" si="8"/>
        <v>EXPIRED</v>
      </c>
      <c r="K195" s="36" t="s">
        <v>180</v>
      </c>
      <c r="L195" s="39"/>
    </row>
    <row r="196" spans="1:12" x14ac:dyDescent="0.35">
      <c r="A196" s="34" t="str">
        <f t="shared" si="6"/>
        <v>DON-0192</v>
      </c>
      <c r="B196" s="35">
        <v>45909</v>
      </c>
      <c r="C196" s="36" t="s">
        <v>83</v>
      </c>
      <c r="D196" s="36" t="s">
        <v>84</v>
      </c>
      <c r="E196" s="36" t="s">
        <v>74</v>
      </c>
      <c r="F196" s="36" t="s">
        <v>85</v>
      </c>
      <c r="G196" s="37">
        <v>72</v>
      </c>
      <c r="H196" s="66">
        <v>46230</v>
      </c>
      <c r="I196" s="38">
        <f t="shared" ca="1" si="7"/>
        <v>31</v>
      </c>
      <c r="J196" s="38" t="str">
        <f t="shared" ca="1" si="8"/>
        <v>OK</v>
      </c>
      <c r="K196" s="36" t="s">
        <v>180</v>
      </c>
      <c r="L196" s="39"/>
    </row>
    <row r="197" spans="1:12" x14ac:dyDescent="0.35">
      <c r="A197" s="34" t="str">
        <f t="shared" ref="A197:A260" si="9">IF(G197="","","DON-"&amp;TEXT(ROW()-4,"0000"))</f>
        <v>DON-0193</v>
      </c>
      <c r="B197" s="35">
        <v>45909</v>
      </c>
      <c r="C197" s="36" t="s">
        <v>161</v>
      </c>
      <c r="D197" s="36" t="s">
        <v>162</v>
      </c>
      <c r="E197" s="36" t="s">
        <v>159</v>
      </c>
      <c r="F197" s="36" t="s">
        <v>163</v>
      </c>
      <c r="G197" s="37">
        <v>39</v>
      </c>
      <c r="H197" s="66">
        <v>46559</v>
      </c>
      <c r="I197" s="38">
        <f t="shared" ref="I197:I260" ca="1" si="10">IF(H197="","",H197-TODAY())</f>
        <v>360</v>
      </c>
      <c r="J197" s="38" t="str">
        <f t="shared" ref="J197:J260" ca="1" si="11">IF(I197="","",IF(I197&lt;=0,"EXPIRED",IF(I197&lt;=3,"CRITICAL",IF(I197&lt;=7,"WARNING",IF(I197&lt;=30,"NOTICE","OK")))))</f>
        <v>OK</v>
      </c>
      <c r="K197" s="36" t="s">
        <v>180</v>
      </c>
      <c r="L197" s="39"/>
    </row>
    <row r="198" spans="1:12" x14ac:dyDescent="0.35">
      <c r="A198" s="34" t="str">
        <f t="shared" si="9"/>
        <v>DON-0194</v>
      </c>
      <c r="B198" s="35">
        <v>45912</v>
      </c>
      <c r="C198" s="36" t="s">
        <v>141</v>
      </c>
      <c r="D198" s="36" t="s">
        <v>142</v>
      </c>
      <c r="E198" s="36" t="s">
        <v>8</v>
      </c>
      <c r="F198" s="36" t="s">
        <v>143</v>
      </c>
      <c r="G198" s="37">
        <v>17</v>
      </c>
      <c r="H198" s="66">
        <v>45927</v>
      </c>
      <c r="I198" s="38">
        <f t="shared" ca="1" si="10"/>
        <v>-272</v>
      </c>
      <c r="J198" s="38" t="str">
        <f t="shared" ca="1" si="11"/>
        <v>EXPIRED</v>
      </c>
      <c r="K198" s="36" t="s">
        <v>177</v>
      </c>
      <c r="L198" s="39"/>
    </row>
    <row r="199" spans="1:12" x14ac:dyDescent="0.35">
      <c r="A199" s="34" t="str">
        <f t="shared" si="9"/>
        <v>DON-0195</v>
      </c>
      <c r="B199" s="35">
        <v>45912</v>
      </c>
      <c r="C199" s="36" t="s">
        <v>88</v>
      </c>
      <c r="D199" s="36" t="s">
        <v>89</v>
      </c>
      <c r="E199" s="36" t="s">
        <v>74</v>
      </c>
      <c r="F199" s="36" t="s">
        <v>90</v>
      </c>
      <c r="G199" s="37">
        <v>71</v>
      </c>
      <c r="H199" s="66">
        <v>46102</v>
      </c>
      <c r="I199" s="38">
        <f t="shared" ca="1" si="10"/>
        <v>-97</v>
      </c>
      <c r="J199" s="38" t="str">
        <f t="shared" ca="1" si="11"/>
        <v>EXPIRED</v>
      </c>
      <c r="K199" s="36" t="s">
        <v>177</v>
      </c>
      <c r="L199" s="39"/>
    </row>
    <row r="200" spans="1:12" x14ac:dyDescent="0.35">
      <c r="A200" s="34" t="str">
        <f t="shared" si="9"/>
        <v>DON-0196</v>
      </c>
      <c r="B200" s="35">
        <v>45912</v>
      </c>
      <c r="C200" s="36" t="s">
        <v>120</v>
      </c>
      <c r="D200" s="36" t="s">
        <v>121</v>
      </c>
      <c r="E200" s="36" t="s">
        <v>14</v>
      </c>
      <c r="F200" s="36" t="s">
        <v>119</v>
      </c>
      <c r="G200" s="37">
        <v>22</v>
      </c>
      <c r="H200" s="66">
        <v>46144</v>
      </c>
      <c r="I200" s="38">
        <f t="shared" ca="1" si="10"/>
        <v>-55</v>
      </c>
      <c r="J200" s="38" t="str">
        <f t="shared" ca="1" si="11"/>
        <v>EXPIRED</v>
      </c>
      <c r="K200" s="36" t="s">
        <v>177</v>
      </c>
      <c r="L200" s="39"/>
    </row>
    <row r="201" spans="1:12" x14ac:dyDescent="0.35">
      <c r="A201" s="34" t="str">
        <f t="shared" si="9"/>
        <v>DON-0197</v>
      </c>
      <c r="B201" s="35">
        <v>45912</v>
      </c>
      <c r="C201" s="36" t="s">
        <v>117</v>
      </c>
      <c r="D201" s="36" t="s">
        <v>118</v>
      </c>
      <c r="E201" s="36" t="s">
        <v>14</v>
      </c>
      <c r="F201" s="36" t="s">
        <v>119</v>
      </c>
      <c r="G201" s="37">
        <v>16</v>
      </c>
      <c r="H201" s="66">
        <v>46220</v>
      </c>
      <c r="I201" s="38">
        <f t="shared" ca="1" si="10"/>
        <v>21</v>
      </c>
      <c r="J201" s="38" t="str">
        <f t="shared" ca="1" si="11"/>
        <v>NOTICE</v>
      </c>
      <c r="K201" s="36" t="s">
        <v>177</v>
      </c>
      <c r="L201" s="39"/>
    </row>
    <row r="202" spans="1:12" x14ac:dyDescent="0.35">
      <c r="A202" s="34" t="str">
        <f t="shared" si="9"/>
        <v>DON-0198</v>
      </c>
      <c r="B202" s="35">
        <v>45912</v>
      </c>
      <c r="C202" s="36" t="s">
        <v>43</v>
      </c>
      <c r="D202" s="36" t="s">
        <v>44</v>
      </c>
      <c r="E202" s="36" t="s">
        <v>31</v>
      </c>
      <c r="F202" s="36" t="s">
        <v>42</v>
      </c>
      <c r="G202" s="37">
        <v>82</v>
      </c>
      <c r="H202" s="66">
        <v>46747</v>
      </c>
      <c r="I202" s="38">
        <f t="shared" ca="1" si="10"/>
        <v>548</v>
      </c>
      <c r="J202" s="38" t="str">
        <f t="shared" ca="1" si="11"/>
        <v>OK</v>
      </c>
      <c r="K202" s="36" t="s">
        <v>177</v>
      </c>
      <c r="L202" s="39"/>
    </row>
    <row r="203" spans="1:12" x14ac:dyDescent="0.35">
      <c r="A203" s="34" t="str">
        <f t="shared" si="9"/>
        <v>DON-0199</v>
      </c>
      <c r="B203" s="35">
        <v>45912</v>
      </c>
      <c r="C203" s="36" t="s">
        <v>104</v>
      </c>
      <c r="D203" s="36" t="s">
        <v>105</v>
      </c>
      <c r="E203" s="36" t="s">
        <v>102</v>
      </c>
      <c r="F203" s="36" t="s">
        <v>103</v>
      </c>
      <c r="G203" s="37">
        <v>85</v>
      </c>
      <c r="H203" s="66">
        <v>46753</v>
      </c>
      <c r="I203" s="38">
        <f t="shared" ca="1" si="10"/>
        <v>554</v>
      </c>
      <c r="J203" s="38" t="str">
        <f t="shared" ca="1" si="11"/>
        <v>OK</v>
      </c>
      <c r="K203" s="36" t="s">
        <v>177</v>
      </c>
      <c r="L203" s="39"/>
    </row>
    <row r="204" spans="1:12" x14ac:dyDescent="0.35">
      <c r="A204" s="34" t="str">
        <f t="shared" si="9"/>
        <v>DON-0200</v>
      </c>
      <c r="B204" s="35">
        <v>45912</v>
      </c>
      <c r="C204" s="36" t="s">
        <v>29</v>
      </c>
      <c r="D204" s="36" t="s">
        <v>30</v>
      </c>
      <c r="E204" s="36" t="s">
        <v>31</v>
      </c>
      <c r="F204" s="36" t="s">
        <v>32</v>
      </c>
      <c r="G204" s="37">
        <v>81</v>
      </c>
      <c r="H204" s="66">
        <v>46828</v>
      </c>
      <c r="I204" s="38">
        <f t="shared" ca="1" si="10"/>
        <v>629</v>
      </c>
      <c r="J204" s="38" t="str">
        <f t="shared" ca="1" si="11"/>
        <v>OK</v>
      </c>
      <c r="K204" s="36" t="s">
        <v>177</v>
      </c>
      <c r="L204" s="39"/>
    </row>
    <row r="205" spans="1:12" x14ac:dyDescent="0.35">
      <c r="A205" s="34" t="str">
        <f t="shared" si="9"/>
        <v>DON-0201</v>
      </c>
      <c r="B205" s="35">
        <v>45912</v>
      </c>
      <c r="C205" s="36" t="s">
        <v>94</v>
      </c>
      <c r="D205" s="36" t="s">
        <v>95</v>
      </c>
      <c r="E205" s="36" t="s">
        <v>93</v>
      </c>
      <c r="F205" s="36" t="s">
        <v>96</v>
      </c>
      <c r="G205" s="37">
        <v>21</v>
      </c>
      <c r="H205" s="66">
        <v>46125</v>
      </c>
      <c r="I205" s="38">
        <f t="shared" ca="1" si="10"/>
        <v>-74</v>
      </c>
      <c r="J205" s="38" t="str">
        <f t="shared" ca="1" si="11"/>
        <v>EXPIRED</v>
      </c>
      <c r="K205" s="36" t="s">
        <v>177</v>
      </c>
      <c r="L205" s="39"/>
    </row>
    <row r="206" spans="1:12" x14ac:dyDescent="0.35">
      <c r="A206" s="34" t="str">
        <f t="shared" si="9"/>
        <v>DON-0202</v>
      </c>
      <c r="B206" s="35">
        <v>45914</v>
      </c>
      <c r="C206" s="36" t="s">
        <v>157</v>
      </c>
      <c r="D206" s="36" t="s">
        <v>158</v>
      </c>
      <c r="E206" s="36" t="s">
        <v>159</v>
      </c>
      <c r="F206" s="36" t="s">
        <v>160</v>
      </c>
      <c r="G206" s="37">
        <v>21</v>
      </c>
      <c r="H206" s="66">
        <v>46239</v>
      </c>
      <c r="I206" s="38">
        <f t="shared" ca="1" si="10"/>
        <v>40</v>
      </c>
      <c r="J206" s="38" t="str">
        <f t="shared" ca="1" si="11"/>
        <v>OK</v>
      </c>
      <c r="K206" s="36" t="s">
        <v>175</v>
      </c>
      <c r="L206" s="39"/>
    </row>
    <row r="207" spans="1:12" x14ac:dyDescent="0.35">
      <c r="A207" s="34" t="str">
        <f t="shared" si="9"/>
        <v>DON-0203</v>
      </c>
      <c r="B207" s="35">
        <v>45914</v>
      </c>
      <c r="C207" s="36" t="s">
        <v>72</v>
      </c>
      <c r="D207" s="36" t="s">
        <v>73</v>
      </c>
      <c r="E207" s="36" t="s">
        <v>74</v>
      </c>
      <c r="F207" s="36" t="s">
        <v>75</v>
      </c>
      <c r="G207" s="37">
        <v>46</v>
      </c>
      <c r="H207" s="66">
        <v>46469</v>
      </c>
      <c r="I207" s="38">
        <f t="shared" ca="1" si="10"/>
        <v>270</v>
      </c>
      <c r="J207" s="38" t="str">
        <f t="shared" ca="1" si="11"/>
        <v>OK</v>
      </c>
      <c r="K207" s="36" t="s">
        <v>175</v>
      </c>
      <c r="L207" s="39"/>
    </row>
    <row r="208" spans="1:12" x14ac:dyDescent="0.35">
      <c r="A208" s="34" t="str">
        <f t="shared" si="9"/>
        <v>DON-0204</v>
      </c>
      <c r="B208" s="35">
        <v>45914</v>
      </c>
      <c r="C208" s="36" t="s">
        <v>78</v>
      </c>
      <c r="D208" s="36" t="s">
        <v>79</v>
      </c>
      <c r="E208" s="36" t="s">
        <v>74</v>
      </c>
      <c r="F208" s="36" t="s">
        <v>80</v>
      </c>
      <c r="G208" s="37">
        <v>24</v>
      </c>
      <c r="H208" s="66">
        <v>46592</v>
      </c>
      <c r="I208" s="38">
        <f t="shared" ca="1" si="10"/>
        <v>393</v>
      </c>
      <c r="J208" s="38" t="str">
        <f t="shared" ca="1" si="11"/>
        <v>OK</v>
      </c>
      <c r="K208" s="36" t="s">
        <v>175</v>
      </c>
      <c r="L208" s="39"/>
    </row>
    <row r="209" spans="1:12" x14ac:dyDescent="0.35">
      <c r="A209" s="34" t="str">
        <f t="shared" si="9"/>
        <v>DON-0205</v>
      </c>
      <c r="B209" s="35">
        <v>45914</v>
      </c>
      <c r="C209" s="36" t="s">
        <v>46</v>
      </c>
      <c r="D209" s="36" t="s">
        <v>47</v>
      </c>
      <c r="E209" s="36" t="s">
        <v>31</v>
      </c>
      <c r="F209" s="36" t="s">
        <v>42</v>
      </c>
      <c r="G209" s="37">
        <v>85</v>
      </c>
      <c r="H209" s="66">
        <v>46623</v>
      </c>
      <c r="I209" s="38">
        <f t="shared" ca="1" si="10"/>
        <v>424</v>
      </c>
      <c r="J209" s="38" t="str">
        <f t="shared" ca="1" si="11"/>
        <v>OK</v>
      </c>
      <c r="K209" s="36" t="s">
        <v>175</v>
      </c>
      <c r="L209" s="39"/>
    </row>
    <row r="210" spans="1:12" x14ac:dyDescent="0.35">
      <c r="A210" s="34" t="str">
        <f t="shared" si="9"/>
        <v>DON-0206</v>
      </c>
      <c r="B210" s="35">
        <v>45914</v>
      </c>
      <c r="C210" s="36" t="s">
        <v>109</v>
      </c>
      <c r="D210" s="36" t="s">
        <v>110</v>
      </c>
      <c r="E210" s="36" t="s">
        <v>102</v>
      </c>
      <c r="F210" s="36" t="s">
        <v>42</v>
      </c>
      <c r="G210" s="37">
        <v>54</v>
      </c>
      <c r="H210" s="66">
        <v>46778</v>
      </c>
      <c r="I210" s="38">
        <f t="shared" ca="1" si="10"/>
        <v>579</v>
      </c>
      <c r="J210" s="38" t="str">
        <f t="shared" ca="1" si="11"/>
        <v>OK</v>
      </c>
      <c r="K210" s="36" t="s">
        <v>175</v>
      </c>
      <c r="L210" s="39"/>
    </row>
    <row r="211" spans="1:12" x14ac:dyDescent="0.35">
      <c r="A211" s="34" t="str">
        <f t="shared" si="9"/>
        <v>DON-0207</v>
      </c>
      <c r="B211" s="35">
        <v>45917</v>
      </c>
      <c r="C211" s="36" t="s">
        <v>88</v>
      </c>
      <c r="D211" s="36" t="s">
        <v>89</v>
      </c>
      <c r="E211" s="36" t="s">
        <v>74</v>
      </c>
      <c r="F211" s="36" t="s">
        <v>90</v>
      </c>
      <c r="G211" s="37">
        <v>57</v>
      </c>
      <c r="H211" s="66">
        <v>46076</v>
      </c>
      <c r="I211" s="38">
        <f t="shared" ca="1" si="10"/>
        <v>-123</v>
      </c>
      <c r="J211" s="38" t="str">
        <f t="shared" ca="1" si="11"/>
        <v>EXPIRED</v>
      </c>
      <c r="K211" s="36" t="s">
        <v>176</v>
      </c>
      <c r="L211" s="39"/>
    </row>
    <row r="212" spans="1:12" x14ac:dyDescent="0.35">
      <c r="A212" s="34" t="str">
        <f t="shared" si="9"/>
        <v>DON-0208</v>
      </c>
      <c r="B212" s="35">
        <v>45917</v>
      </c>
      <c r="C212" s="36" t="s">
        <v>157</v>
      </c>
      <c r="D212" s="36" t="s">
        <v>158</v>
      </c>
      <c r="E212" s="36" t="s">
        <v>159</v>
      </c>
      <c r="F212" s="36" t="s">
        <v>160</v>
      </c>
      <c r="G212" s="37">
        <v>16</v>
      </c>
      <c r="H212" s="66">
        <v>46163</v>
      </c>
      <c r="I212" s="38">
        <f t="shared" ca="1" si="10"/>
        <v>-36</v>
      </c>
      <c r="J212" s="38" t="str">
        <f t="shared" ca="1" si="11"/>
        <v>EXPIRED</v>
      </c>
      <c r="K212" s="36" t="s">
        <v>176</v>
      </c>
      <c r="L212" s="39"/>
    </row>
    <row r="213" spans="1:12" x14ac:dyDescent="0.35">
      <c r="A213" s="34" t="str">
        <f t="shared" si="9"/>
        <v>DON-0209</v>
      </c>
      <c r="B213" s="35">
        <v>45917</v>
      </c>
      <c r="C213" s="36" t="s">
        <v>114</v>
      </c>
      <c r="D213" s="36" t="s">
        <v>13</v>
      </c>
      <c r="E213" s="36" t="s">
        <v>14</v>
      </c>
      <c r="F213" s="36" t="s">
        <v>115</v>
      </c>
      <c r="G213" s="37">
        <v>17</v>
      </c>
      <c r="H213" s="66">
        <v>46248</v>
      </c>
      <c r="I213" s="38">
        <f t="shared" ca="1" si="10"/>
        <v>49</v>
      </c>
      <c r="J213" s="38" t="str">
        <f t="shared" ca="1" si="11"/>
        <v>OK</v>
      </c>
      <c r="K213" s="36" t="s">
        <v>176</v>
      </c>
      <c r="L213" s="39"/>
    </row>
    <row r="214" spans="1:12" x14ac:dyDescent="0.35">
      <c r="A214" s="34" t="str">
        <f t="shared" si="9"/>
        <v>DON-0210</v>
      </c>
      <c r="B214" s="35">
        <v>45917</v>
      </c>
      <c r="C214" s="36" t="s">
        <v>40</v>
      </c>
      <c r="D214" s="36" t="s">
        <v>41</v>
      </c>
      <c r="E214" s="36" t="s">
        <v>31</v>
      </c>
      <c r="F214" s="36" t="s">
        <v>42</v>
      </c>
      <c r="G214" s="37">
        <v>106</v>
      </c>
      <c r="H214" s="66">
        <v>46369</v>
      </c>
      <c r="I214" s="38">
        <f t="shared" ca="1" si="10"/>
        <v>170</v>
      </c>
      <c r="J214" s="38" t="str">
        <f t="shared" ca="1" si="11"/>
        <v>OK</v>
      </c>
      <c r="K214" s="36" t="s">
        <v>176</v>
      </c>
      <c r="L214" s="39"/>
    </row>
    <row r="215" spans="1:12" x14ac:dyDescent="0.35">
      <c r="A215" s="34" t="str">
        <f t="shared" si="9"/>
        <v>DON-0211</v>
      </c>
      <c r="B215" s="35">
        <v>45917</v>
      </c>
      <c r="C215" s="36" t="s">
        <v>81</v>
      </c>
      <c r="D215" s="36" t="s">
        <v>82</v>
      </c>
      <c r="E215" s="36" t="s">
        <v>74</v>
      </c>
      <c r="F215" s="36" t="s">
        <v>80</v>
      </c>
      <c r="G215" s="37">
        <v>35</v>
      </c>
      <c r="H215" s="66">
        <v>46601</v>
      </c>
      <c r="I215" s="38">
        <f t="shared" ca="1" si="10"/>
        <v>402</v>
      </c>
      <c r="J215" s="38" t="str">
        <f t="shared" ca="1" si="11"/>
        <v>OK</v>
      </c>
      <c r="K215" s="36" t="s">
        <v>176</v>
      </c>
      <c r="L215" s="39"/>
    </row>
    <row r="216" spans="1:12" x14ac:dyDescent="0.35">
      <c r="A216" s="34" t="str">
        <f t="shared" si="9"/>
        <v>DON-0212</v>
      </c>
      <c r="B216" s="35">
        <v>45917</v>
      </c>
      <c r="C216" s="36" t="s">
        <v>61</v>
      </c>
      <c r="D216" s="36" t="s">
        <v>62</v>
      </c>
      <c r="E216" s="36" t="s">
        <v>53</v>
      </c>
      <c r="F216" s="36" t="s">
        <v>42</v>
      </c>
      <c r="G216" s="37">
        <v>61</v>
      </c>
      <c r="H216" s="66">
        <v>46858</v>
      </c>
      <c r="I216" s="38">
        <f t="shared" ca="1" si="10"/>
        <v>659</v>
      </c>
      <c r="J216" s="38" t="str">
        <f t="shared" ca="1" si="11"/>
        <v>OK</v>
      </c>
      <c r="K216" s="36" t="s">
        <v>176</v>
      </c>
      <c r="L216" s="39"/>
    </row>
    <row r="217" spans="1:12" x14ac:dyDescent="0.35">
      <c r="A217" s="34" t="str">
        <f t="shared" si="9"/>
        <v>DON-0213</v>
      </c>
      <c r="B217" s="35">
        <v>45917</v>
      </c>
      <c r="C217" s="36" t="s">
        <v>109</v>
      </c>
      <c r="D217" s="36" t="s">
        <v>110</v>
      </c>
      <c r="E217" s="36" t="s">
        <v>102</v>
      </c>
      <c r="F217" s="36" t="s">
        <v>42</v>
      </c>
      <c r="G217" s="37">
        <v>36</v>
      </c>
      <c r="H217" s="66">
        <v>46926</v>
      </c>
      <c r="I217" s="38">
        <f t="shared" ca="1" si="10"/>
        <v>727</v>
      </c>
      <c r="J217" s="38" t="str">
        <f t="shared" ca="1" si="11"/>
        <v>OK</v>
      </c>
      <c r="K217" s="36" t="s">
        <v>176</v>
      </c>
      <c r="L217" s="39"/>
    </row>
    <row r="218" spans="1:12" x14ac:dyDescent="0.35">
      <c r="A218" s="34" t="str">
        <f t="shared" si="9"/>
        <v>DON-0214</v>
      </c>
      <c r="B218" s="35">
        <v>45918</v>
      </c>
      <c r="C218" s="36" t="s">
        <v>135</v>
      </c>
      <c r="D218" s="36" t="s">
        <v>5</v>
      </c>
      <c r="E218" s="36" t="s">
        <v>6</v>
      </c>
      <c r="F218" s="36" t="s">
        <v>136</v>
      </c>
      <c r="G218" s="37">
        <v>35</v>
      </c>
      <c r="H218" s="66">
        <v>45925</v>
      </c>
      <c r="I218" s="38">
        <f t="shared" ca="1" si="10"/>
        <v>-274</v>
      </c>
      <c r="J218" s="38" t="str">
        <f t="shared" ca="1" si="11"/>
        <v>EXPIRED</v>
      </c>
      <c r="K218" s="36" t="s">
        <v>180</v>
      </c>
      <c r="L218" s="39"/>
    </row>
    <row r="219" spans="1:12" x14ac:dyDescent="0.35">
      <c r="A219" s="34" t="str">
        <f t="shared" si="9"/>
        <v>DON-0215</v>
      </c>
      <c r="B219" s="35">
        <v>45918</v>
      </c>
      <c r="C219" s="36" t="s">
        <v>132</v>
      </c>
      <c r="D219" s="36" t="s">
        <v>133</v>
      </c>
      <c r="E219" s="36" t="s">
        <v>10</v>
      </c>
      <c r="F219" s="36" t="s">
        <v>134</v>
      </c>
      <c r="G219" s="37">
        <v>27</v>
      </c>
      <c r="H219" s="66">
        <v>45955</v>
      </c>
      <c r="I219" s="38">
        <f t="shared" ca="1" si="10"/>
        <v>-244</v>
      </c>
      <c r="J219" s="38" t="str">
        <f t="shared" ca="1" si="11"/>
        <v>EXPIRED</v>
      </c>
      <c r="K219" s="36" t="s">
        <v>180</v>
      </c>
      <c r="L219" s="39"/>
    </row>
    <row r="220" spans="1:12" x14ac:dyDescent="0.35">
      <c r="A220" s="34" t="str">
        <f t="shared" si="9"/>
        <v>DON-0216</v>
      </c>
      <c r="B220" s="35">
        <v>45918</v>
      </c>
      <c r="C220" s="36" t="s">
        <v>114</v>
      </c>
      <c r="D220" s="36" t="s">
        <v>13</v>
      </c>
      <c r="E220" s="36" t="s">
        <v>14</v>
      </c>
      <c r="F220" s="36" t="s">
        <v>115</v>
      </c>
      <c r="G220" s="37">
        <v>24</v>
      </c>
      <c r="H220" s="66">
        <v>46114</v>
      </c>
      <c r="I220" s="38">
        <f t="shared" ca="1" si="10"/>
        <v>-85</v>
      </c>
      <c r="J220" s="38" t="str">
        <f t="shared" ca="1" si="11"/>
        <v>EXPIRED</v>
      </c>
      <c r="K220" s="36" t="s">
        <v>180</v>
      </c>
      <c r="L220" s="39"/>
    </row>
    <row r="221" spans="1:12" x14ac:dyDescent="0.35">
      <c r="A221" s="34" t="str">
        <f t="shared" si="9"/>
        <v>DON-0217</v>
      </c>
      <c r="B221" s="35">
        <v>45918</v>
      </c>
      <c r="C221" s="36" t="s">
        <v>48</v>
      </c>
      <c r="D221" s="36" t="s">
        <v>49</v>
      </c>
      <c r="E221" s="36" t="s">
        <v>31</v>
      </c>
      <c r="F221" s="36" t="s">
        <v>50</v>
      </c>
      <c r="G221" s="37">
        <v>100</v>
      </c>
      <c r="H221" s="66">
        <v>46164</v>
      </c>
      <c r="I221" s="38">
        <f t="shared" ca="1" si="10"/>
        <v>-35</v>
      </c>
      <c r="J221" s="38" t="str">
        <f t="shared" ca="1" si="11"/>
        <v>EXPIRED</v>
      </c>
      <c r="K221" s="36" t="s">
        <v>180</v>
      </c>
      <c r="L221" s="39"/>
    </row>
    <row r="222" spans="1:12" x14ac:dyDescent="0.35">
      <c r="A222" s="34" t="str">
        <f t="shared" si="9"/>
        <v>DON-0218</v>
      </c>
      <c r="B222" s="35">
        <v>45918</v>
      </c>
      <c r="C222" s="36" t="s">
        <v>153</v>
      </c>
      <c r="D222" s="36" t="s">
        <v>154</v>
      </c>
      <c r="E222" s="36" t="s">
        <v>12</v>
      </c>
      <c r="F222" s="36" t="s">
        <v>155</v>
      </c>
      <c r="G222" s="37">
        <v>19</v>
      </c>
      <c r="H222" s="66">
        <v>46220</v>
      </c>
      <c r="I222" s="38">
        <f t="shared" ca="1" si="10"/>
        <v>21</v>
      </c>
      <c r="J222" s="38" t="str">
        <f t="shared" ca="1" si="11"/>
        <v>NOTICE</v>
      </c>
      <c r="K222" s="36" t="s">
        <v>180</v>
      </c>
      <c r="L222" s="39"/>
    </row>
    <row r="223" spans="1:12" x14ac:dyDescent="0.35">
      <c r="A223" s="34" t="str">
        <f t="shared" si="9"/>
        <v>DON-0219</v>
      </c>
      <c r="B223" s="35">
        <v>45918</v>
      </c>
      <c r="C223" s="36" t="s">
        <v>78</v>
      </c>
      <c r="D223" s="36" t="s">
        <v>79</v>
      </c>
      <c r="E223" s="36" t="s">
        <v>74</v>
      </c>
      <c r="F223" s="36" t="s">
        <v>80</v>
      </c>
      <c r="G223" s="37">
        <v>34</v>
      </c>
      <c r="H223" s="66">
        <v>46252</v>
      </c>
      <c r="I223" s="38">
        <f t="shared" ca="1" si="10"/>
        <v>53</v>
      </c>
      <c r="J223" s="38" t="str">
        <f t="shared" ca="1" si="11"/>
        <v>OK</v>
      </c>
      <c r="K223" s="36" t="s">
        <v>180</v>
      </c>
      <c r="L223" s="39"/>
    </row>
    <row r="224" spans="1:12" x14ac:dyDescent="0.35">
      <c r="A224" s="34" t="str">
        <f t="shared" si="9"/>
        <v>DON-0220</v>
      </c>
      <c r="B224" s="35">
        <v>45918</v>
      </c>
      <c r="C224" s="36" t="s">
        <v>81</v>
      </c>
      <c r="D224" s="36" t="s">
        <v>82</v>
      </c>
      <c r="E224" s="36" t="s">
        <v>74</v>
      </c>
      <c r="F224" s="36" t="s">
        <v>80</v>
      </c>
      <c r="G224" s="37">
        <v>70</v>
      </c>
      <c r="H224" s="66">
        <v>46487</v>
      </c>
      <c r="I224" s="38">
        <f t="shared" ca="1" si="10"/>
        <v>288</v>
      </c>
      <c r="J224" s="38" t="str">
        <f t="shared" ca="1" si="11"/>
        <v>OK</v>
      </c>
      <c r="K224" s="36" t="s">
        <v>180</v>
      </c>
      <c r="L224" s="39"/>
    </row>
    <row r="225" spans="1:12" x14ac:dyDescent="0.35">
      <c r="A225" s="34" t="str">
        <f t="shared" si="9"/>
        <v>DON-0221</v>
      </c>
      <c r="B225" s="35">
        <v>45918</v>
      </c>
      <c r="C225" s="36" t="s">
        <v>122</v>
      </c>
      <c r="D225" s="36" t="s">
        <v>123</v>
      </c>
      <c r="E225" s="36" t="s">
        <v>14</v>
      </c>
      <c r="F225" s="36" t="s">
        <v>124</v>
      </c>
      <c r="G225" s="37">
        <v>9</v>
      </c>
      <c r="H225" s="66">
        <v>46637</v>
      </c>
      <c r="I225" s="38">
        <f t="shared" ca="1" si="10"/>
        <v>438</v>
      </c>
      <c r="J225" s="38" t="str">
        <f t="shared" ca="1" si="11"/>
        <v>OK</v>
      </c>
      <c r="K225" s="36" t="s">
        <v>180</v>
      </c>
      <c r="L225" s="39"/>
    </row>
    <row r="226" spans="1:12" x14ac:dyDescent="0.35">
      <c r="A226" s="34" t="str">
        <f t="shared" si="9"/>
        <v>DON-0222</v>
      </c>
      <c r="B226" s="35">
        <v>45919</v>
      </c>
      <c r="C226" s="36" t="s">
        <v>128</v>
      </c>
      <c r="D226" s="36" t="s">
        <v>9</v>
      </c>
      <c r="E226" s="36" t="s">
        <v>10</v>
      </c>
      <c r="F226" s="36" t="s">
        <v>129</v>
      </c>
      <c r="G226" s="37">
        <v>19</v>
      </c>
      <c r="H226" s="66">
        <v>45930</v>
      </c>
      <c r="I226" s="38">
        <f t="shared" ca="1" si="10"/>
        <v>-269</v>
      </c>
      <c r="J226" s="38" t="str">
        <f t="shared" ca="1" si="11"/>
        <v>EXPIRED</v>
      </c>
      <c r="K226" s="36" t="s">
        <v>175</v>
      </c>
      <c r="L226" s="39"/>
    </row>
    <row r="227" spans="1:12" x14ac:dyDescent="0.35">
      <c r="A227" s="34" t="str">
        <f t="shared" si="9"/>
        <v>DON-0223</v>
      </c>
      <c r="B227" s="35">
        <v>45919</v>
      </c>
      <c r="C227" s="36" t="s">
        <v>128</v>
      </c>
      <c r="D227" s="36" t="s">
        <v>9</v>
      </c>
      <c r="E227" s="36" t="s">
        <v>10</v>
      </c>
      <c r="F227" s="36" t="s">
        <v>129</v>
      </c>
      <c r="G227" s="37">
        <v>22</v>
      </c>
      <c r="H227" s="66">
        <v>45930</v>
      </c>
      <c r="I227" s="38">
        <f t="shared" ca="1" si="10"/>
        <v>-269</v>
      </c>
      <c r="J227" s="38" t="str">
        <f t="shared" ca="1" si="11"/>
        <v>EXPIRED</v>
      </c>
      <c r="K227" s="36" t="s">
        <v>178</v>
      </c>
      <c r="L227" s="39"/>
    </row>
    <row r="228" spans="1:12" x14ac:dyDescent="0.35">
      <c r="A228" s="34" t="str">
        <f t="shared" si="9"/>
        <v>DON-0224</v>
      </c>
      <c r="B228" s="35">
        <v>45919</v>
      </c>
      <c r="C228" s="36" t="s">
        <v>149</v>
      </c>
      <c r="D228" s="36" t="s">
        <v>150</v>
      </c>
      <c r="E228" s="36" t="s">
        <v>8</v>
      </c>
      <c r="F228" s="36" t="s">
        <v>75</v>
      </c>
      <c r="G228" s="37">
        <v>19</v>
      </c>
      <c r="H228" s="66">
        <v>45965</v>
      </c>
      <c r="I228" s="38">
        <f t="shared" ca="1" si="10"/>
        <v>-234</v>
      </c>
      <c r="J228" s="38" t="str">
        <f t="shared" ca="1" si="11"/>
        <v>EXPIRED</v>
      </c>
      <c r="K228" s="36" t="s">
        <v>175</v>
      </c>
      <c r="L228" s="39"/>
    </row>
    <row r="229" spans="1:12" x14ac:dyDescent="0.35">
      <c r="A229" s="34" t="str">
        <f t="shared" si="9"/>
        <v>DON-0225</v>
      </c>
      <c r="B229" s="35">
        <v>45919</v>
      </c>
      <c r="C229" s="36" t="s">
        <v>88</v>
      </c>
      <c r="D229" s="36" t="s">
        <v>89</v>
      </c>
      <c r="E229" s="36" t="s">
        <v>74</v>
      </c>
      <c r="F229" s="36" t="s">
        <v>90</v>
      </c>
      <c r="G229" s="37">
        <v>61</v>
      </c>
      <c r="H229" s="66">
        <v>46087</v>
      </c>
      <c r="I229" s="38">
        <f t="shared" ca="1" si="10"/>
        <v>-112</v>
      </c>
      <c r="J229" s="38" t="str">
        <f t="shared" ca="1" si="11"/>
        <v>EXPIRED</v>
      </c>
      <c r="K229" s="36" t="s">
        <v>178</v>
      </c>
      <c r="L229" s="39"/>
    </row>
    <row r="230" spans="1:12" x14ac:dyDescent="0.35">
      <c r="A230" s="34" t="str">
        <f t="shared" si="9"/>
        <v>DON-0226</v>
      </c>
      <c r="B230" s="35">
        <v>45919</v>
      </c>
      <c r="C230" s="36" t="s">
        <v>91</v>
      </c>
      <c r="D230" s="36" t="s">
        <v>92</v>
      </c>
      <c r="E230" s="36" t="s">
        <v>93</v>
      </c>
      <c r="F230" s="36" t="s">
        <v>85</v>
      </c>
      <c r="G230" s="37">
        <v>25</v>
      </c>
      <c r="H230" s="66">
        <v>46224</v>
      </c>
      <c r="I230" s="38">
        <f t="shared" ca="1" si="10"/>
        <v>25</v>
      </c>
      <c r="J230" s="38" t="str">
        <f t="shared" ca="1" si="11"/>
        <v>NOTICE</v>
      </c>
      <c r="K230" s="36" t="s">
        <v>178</v>
      </c>
      <c r="L230" s="39"/>
    </row>
    <row r="231" spans="1:12" x14ac:dyDescent="0.35">
      <c r="A231" s="34" t="str">
        <f t="shared" si="9"/>
        <v>DON-0227</v>
      </c>
      <c r="B231" s="35">
        <v>45919</v>
      </c>
      <c r="C231" s="36" t="s">
        <v>106</v>
      </c>
      <c r="D231" s="36" t="s">
        <v>107</v>
      </c>
      <c r="E231" s="36" t="s">
        <v>102</v>
      </c>
      <c r="F231" s="36" t="s">
        <v>108</v>
      </c>
      <c r="G231" s="37">
        <v>45</v>
      </c>
      <c r="H231" s="66">
        <v>46406</v>
      </c>
      <c r="I231" s="38">
        <f t="shared" ca="1" si="10"/>
        <v>207</v>
      </c>
      <c r="J231" s="38" t="str">
        <f t="shared" ca="1" si="11"/>
        <v>OK</v>
      </c>
      <c r="K231" s="36" t="s">
        <v>178</v>
      </c>
      <c r="L231" s="39"/>
    </row>
    <row r="232" spans="1:12" x14ac:dyDescent="0.35">
      <c r="A232" s="34" t="str">
        <f t="shared" si="9"/>
        <v>DON-0228</v>
      </c>
      <c r="B232" s="35">
        <v>45919</v>
      </c>
      <c r="C232" s="36" t="s">
        <v>64</v>
      </c>
      <c r="D232" s="36" t="s">
        <v>65</v>
      </c>
      <c r="E232" s="36" t="s">
        <v>66</v>
      </c>
      <c r="F232" s="36" t="s">
        <v>42</v>
      </c>
      <c r="G232" s="37">
        <v>34</v>
      </c>
      <c r="H232" s="66">
        <v>46510</v>
      </c>
      <c r="I232" s="38">
        <f t="shared" ca="1" si="10"/>
        <v>311</v>
      </c>
      <c r="J232" s="38" t="str">
        <f t="shared" ca="1" si="11"/>
        <v>OK</v>
      </c>
      <c r="K232" s="36" t="s">
        <v>175</v>
      </c>
      <c r="L232" s="39"/>
    </row>
    <row r="233" spans="1:12" x14ac:dyDescent="0.35">
      <c r="A233" s="34" t="str">
        <f t="shared" si="9"/>
        <v>DON-0229</v>
      </c>
      <c r="B233" s="35">
        <v>45919</v>
      </c>
      <c r="C233" s="36" t="s">
        <v>46</v>
      </c>
      <c r="D233" s="36" t="s">
        <v>47</v>
      </c>
      <c r="E233" s="36" t="s">
        <v>31</v>
      </c>
      <c r="F233" s="36" t="s">
        <v>42</v>
      </c>
      <c r="G233" s="37">
        <v>65</v>
      </c>
      <c r="H233" s="66">
        <v>46533</v>
      </c>
      <c r="I233" s="38">
        <f t="shared" ca="1" si="10"/>
        <v>334</v>
      </c>
      <c r="J233" s="38" t="str">
        <f t="shared" ca="1" si="11"/>
        <v>OK</v>
      </c>
      <c r="K233" s="36" t="s">
        <v>175</v>
      </c>
      <c r="L233" s="39"/>
    </row>
    <row r="234" spans="1:12" x14ac:dyDescent="0.35">
      <c r="A234" s="34" t="str">
        <f t="shared" si="9"/>
        <v>DON-0230</v>
      </c>
      <c r="B234" s="35">
        <v>45919</v>
      </c>
      <c r="C234" s="36" t="s">
        <v>78</v>
      </c>
      <c r="D234" s="36" t="s">
        <v>79</v>
      </c>
      <c r="E234" s="36" t="s">
        <v>74</v>
      </c>
      <c r="F234" s="36" t="s">
        <v>80</v>
      </c>
      <c r="G234" s="37">
        <v>47</v>
      </c>
      <c r="H234" s="66">
        <v>46550</v>
      </c>
      <c r="I234" s="38">
        <f t="shared" ca="1" si="10"/>
        <v>351</v>
      </c>
      <c r="J234" s="38" t="str">
        <f t="shared" ca="1" si="11"/>
        <v>OK</v>
      </c>
      <c r="K234" s="36" t="s">
        <v>175</v>
      </c>
      <c r="L234" s="39"/>
    </row>
    <row r="235" spans="1:12" x14ac:dyDescent="0.35">
      <c r="A235" s="34" t="str">
        <f t="shared" si="9"/>
        <v>DON-0231</v>
      </c>
      <c r="B235" s="35">
        <v>45919</v>
      </c>
      <c r="C235" s="36" t="s">
        <v>122</v>
      </c>
      <c r="D235" s="36" t="s">
        <v>123</v>
      </c>
      <c r="E235" s="36" t="s">
        <v>14</v>
      </c>
      <c r="F235" s="36" t="s">
        <v>124</v>
      </c>
      <c r="G235" s="37">
        <v>17</v>
      </c>
      <c r="H235" s="66">
        <v>46562</v>
      </c>
      <c r="I235" s="38">
        <f t="shared" ca="1" si="10"/>
        <v>363</v>
      </c>
      <c r="J235" s="38" t="str">
        <f t="shared" ca="1" si="11"/>
        <v>OK</v>
      </c>
      <c r="K235" s="36" t="s">
        <v>175</v>
      </c>
      <c r="L235" s="39"/>
    </row>
    <row r="236" spans="1:12" x14ac:dyDescent="0.35">
      <c r="A236" s="34" t="str">
        <f t="shared" si="9"/>
        <v>DON-0232</v>
      </c>
      <c r="B236" s="35">
        <v>45919</v>
      </c>
      <c r="C236" s="36" t="s">
        <v>161</v>
      </c>
      <c r="D236" s="36" t="s">
        <v>162</v>
      </c>
      <c r="E236" s="36" t="s">
        <v>159</v>
      </c>
      <c r="F236" s="36" t="s">
        <v>163</v>
      </c>
      <c r="G236" s="37">
        <v>37</v>
      </c>
      <c r="H236" s="66">
        <v>46648</v>
      </c>
      <c r="I236" s="38">
        <f t="shared" ca="1" si="10"/>
        <v>449</v>
      </c>
      <c r="J236" s="38" t="str">
        <f t="shared" ca="1" si="11"/>
        <v>OK</v>
      </c>
      <c r="K236" s="36" t="s">
        <v>178</v>
      </c>
      <c r="L236" s="39"/>
    </row>
    <row r="237" spans="1:12" x14ac:dyDescent="0.35">
      <c r="A237" s="34" t="str">
        <f t="shared" si="9"/>
        <v>DON-0233</v>
      </c>
      <c r="B237" s="35">
        <v>45919</v>
      </c>
      <c r="C237" s="36" t="s">
        <v>29</v>
      </c>
      <c r="D237" s="36" t="s">
        <v>30</v>
      </c>
      <c r="E237" s="36" t="s">
        <v>31</v>
      </c>
      <c r="F237" s="36" t="s">
        <v>32</v>
      </c>
      <c r="G237" s="37">
        <v>83</v>
      </c>
      <c r="H237" s="66">
        <v>46786</v>
      </c>
      <c r="I237" s="38">
        <f t="shared" ca="1" si="10"/>
        <v>587</v>
      </c>
      <c r="J237" s="38" t="str">
        <f t="shared" ca="1" si="11"/>
        <v>OK</v>
      </c>
      <c r="K237" s="36" t="s">
        <v>175</v>
      </c>
      <c r="L237" s="39"/>
    </row>
    <row r="238" spans="1:12" x14ac:dyDescent="0.35">
      <c r="A238" s="34" t="str">
        <f t="shared" si="9"/>
        <v>DON-0234</v>
      </c>
      <c r="B238" s="35">
        <v>45919</v>
      </c>
      <c r="C238" s="36" t="s">
        <v>122</v>
      </c>
      <c r="D238" s="36" t="s">
        <v>123</v>
      </c>
      <c r="E238" s="36" t="s">
        <v>14</v>
      </c>
      <c r="F238" s="36" t="s">
        <v>124</v>
      </c>
      <c r="G238" s="37">
        <v>13</v>
      </c>
      <c r="H238" s="66">
        <v>47041</v>
      </c>
      <c r="I238" s="38">
        <f t="shared" ca="1" si="10"/>
        <v>842</v>
      </c>
      <c r="J238" s="38" t="str">
        <f t="shared" ca="1" si="11"/>
        <v>OK</v>
      </c>
      <c r="K238" s="36" t="s">
        <v>178</v>
      </c>
      <c r="L238" s="39"/>
    </row>
    <row r="239" spans="1:12" x14ac:dyDescent="0.35">
      <c r="A239" s="34" t="str">
        <f t="shared" si="9"/>
        <v>DON-0235</v>
      </c>
      <c r="B239" s="35">
        <v>45924</v>
      </c>
      <c r="C239" s="36" t="s">
        <v>137</v>
      </c>
      <c r="D239" s="36" t="s">
        <v>15</v>
      </c>
      <c r="E239" s="36" t="s">
        <v>6</v>
      </c>
      <c r="F239" s="36" t="s">
        <v>136</v>
      </c>
      <c r="G239" s="37">
        <v>51</v>
      </c>
      <c r="H239" s="66">
        <v>45928</v>
      </c>
      <c r="I239" s="38">
        <f t="shared" ca="1" si="10"/>
        <v>-271</v>
      </c>
      <c r="J239" s="38" t="str">
        <f t="shared" ca="1" si="11"/>
        <v>EXPIRED</v>
      </c>
      <c r="K239" s="36" t="s">
        <v>177</v>
      </c>
      <c r="L239" s="39"/>
    </row>
    <row r="240" spans="1:12" x14ac:dyDescent="0.35">
      <c r="A240" s="34" t="str">
        <f t="shared" si="9"/>
        <v>DON-0236</v>
      </c>
      <c r="B240" s="35">
        <v>45924</v>
      </c>
      <c r="C240" s="36" t="s">
        <v>135</v>
      </c>
      <c r="D240" s="36" t="s">
        <v>5</v>
      </c>
      <c r="E240" s="36" t="s">
        <v>6</v>
      </c>
      <c r="F240" s="36" t="s">
        <v>136</v>
      </c>
      <c r="G240" s="37">
        <v>26</v>
      </c>
      <c r="H240" s="66">
        <v>45930</v>
      </c>
      <c r="I240" s="38">
        <f t="shared" ca="1" si="10"/>
        <v>-269</v>
      </c>
      <c r="J240" s="38" t="str">
        <f t="shared" ca="1" si="11"/>
        <v>EXPIRED</v>
      </c>
      <c r="K240" s="36" t="s">
        <v>177</v>
      </c>
      <c r="L240" s="39"/>
    </row>
    <row r="241" spans="1:12" x14ac:dyDescent="0.35">
      <c r="A241" s="34" t="str">
        <f t="shared" si="9"/>
        <v>DON-0237</v>
      </c>
      <c r="B241" s="35">
        <v>45924</v>
      </c>
      <c r="C241" s="36" t="s">
        <v>149</v>
      </c>
      <c r="D241" s="36" t="s">
        <v>150</v>
      </c>
      <c r="E241" s="36" t="s">
        <v>8</v>
      </c>
      <c r="F241" s="36" t="s">
        <v>75</v>
      </c>
      <c r="G241" s="37">
        <v>31</v>
      </c>
      <c r="H241" s="66">
        <v>45954</v>
      </c>
      <c r="I241" s="38">
        <f t="shared" ca="1" si="10"/>
        <v>-245</v>
      </c>
      <c r="J241" s="38" t="str">
        <f t="shared" ca="1" si="11"/>
        <v>EXPIRED</v>
      </c>
      <c r="K241" s="36" t="s">
        <v>177</v>
      </c>
      <c r="L241" s="39"/>
    </row>
    <row r="242" spans="1:12" x14ac:dyDescent="0.35">
      <c r="A242" s="34" t="str">
        <f t="shared" si="9"/>
        <v>DON-0238</v>
      </c>
      <c r="B242" s="35">
        <v>45924</v>
      </c>
      <c r="C242" s="36" t="s">
        <v>97</v>
      </c>
      <c r="D242" s="36" t="s">
        <v>98</v>
      </c>
      <c r="E242" s="36" t="s">
        <v>93</v>
      </c>
      <c r="F242" s="36" t="s">
        <v>99</v>
      </c>
      <c r="G242" s="37">
        <v>53</v>
      </c>
      <c r="H242" s="66">
        <v>46010</v>
      </c>
      <c r="I242" s="38">
        <f t="shared" ca="1" si="10"/>
        <v>-189</v>
      </c>
      <c r="J242" s="38" t="str">
        <f t="shared" ca="1" si="11"/>
        <v>EXPIRED</v>
      </c>
      <c r="K242" s="36" t="s">
        <v>177</v>
      </c>
      <c r="L242" s="39"/>
    </row>
    <row r="243" spans="1:12" x14ac:dyDescent="0.35">
      <c r="A243" s="34" t="str">
        <f t="shared" si="9"/>
        <v>DON-0239</v>
      </c>
      <c r="B243" s="35">
        <v>45924</v>
      </c>
      <c r="C243" s="36" t="s">
        <v>69</v>
      </c>
      <c r="D243" s="36" t="s">
        <v>70</v>
      </c>
      <c r="E243" s="36" t="s">
        <v>66</v>
      </c>
      <c r="F243" s="36" t="s">
        <v>71</v>
      </c>
      <c r="G243" s="37">
        <v>64</v>
      </c>
      <c r="H243" s="66">
        <v>46350</v>
      </c>
      <c r="I243" s="38">
        <f t="shared" ca="1" si="10"/>
        <v>151</v>
      </c>
      <c r="J243" s="38" t="str">
        <f t="shared" ca="1" si="11"/>
        <v>OK</v>
      </c>
      <c r="K243" s="36" t="s">
        <v>177</v>
      </c>
      <c r="L243" s="39"/>
    </row>
    <row r="244" spans="1:12" x14ac:dyDescent="0.35">
      <c r="A244" s="34" t="str">
        <f t="shared" si="9"/>
        <v>DON-0240</v>
      </c>
      <c r="B244" s="35">
        <v>45924</v>
      </c>
      <c r="C244" s="36" t="s">
        <v>109</v>
      </c>
      <c r="D244" s="36" t="s">
        <v>110</v>
      </c>
      <c r="E244" s="36" t="s">
        <v>102</v>
      </c>
      <c r="F244" s="36" t="s">
        <v>42</v>
      </c>
      <c r="G244" s="37">
        <v>75</v>
      </c>
      <c r="H244" s="66">
        <v>46559</v>
      </c>
      <c r="I244" s="38">
        <f t="shared" ca="1" si="10"/>
        <v>360</v>
      </c>
      <c r="J244" s="38" t="str">
        <f t="shared" ca="1" si="11"/>
        <v>OK</v>
      </c>
      <c r="K244" s="36" t="s">
        <v>177</v>
      </c>
      <c r="L244" s="39"/>
    </row>
    <row r="245" spans="1:12" x14ac:dyDescent="0.35">
      <c r="A245" s="34" t="str">
        <f t="shared" si="9"/>
        <v>DON-0241</v>
      </c>
      <c r="B245" s="35">
        <v>45924</v>
      </c>
      <c r="C245" s="36" t="s">
        <v>122</v>
      </c>
      <c r="D245" s="36" t="s">
        <v>123</v>
      </c>
      <c r="E245" s="36" t="s">
        <v>14</v>
      </c>
      <c r="F245" s="36" t="s">
        <v>124</v>
      </c>
      <c r="G245" s="37">
        <v>20</v>
      </c>
      <c r="H245" s="66">
        <v>46735</v>
      </c>
      <c r="I245" s="38">
        <f t="shared" ca="1" si="10"/>
        <v>536</v>
      </c>
      <c r="J245" s="38" t="str">
        <f t="shared" ca="1" si="11"/>
        <v>OK</v>
      </c>
      <c r="K245" s="36" t="s">
        <v>177</v>
      </c>
      <c r="L245" s="39"/>
    </row>
    <row r="246" spans="1:12" x14ac:dyDescent="0.35">
      <c r="A246" s="34" t="str">
        <f t="shared" si="9"/>
        <v>DON-0242</v>
      </c>
      <c r="B246" s="35">
        <v>45925</v>
      </c>
      <c r="C246" s="36" t="s">
        <v>135</v>
      </c>
      <c r="D246" s="36" t="s">
        <v>5</v>
      </c>
      <c r="E246" s="36" t="s">
        <v>6</v>
      </c>
      <c r="F246" s="36" t="s">
        <v>136</v>
      </c>
      <c r="G246" s="37">
        <v>31</v>
      </c>
      <c r="H246" s="66">
        <v>45931</v>
      </c>
      <c r="I246" s="38">
        <f t="shared" ca="1" si="10"/>
        <v>-268</v>
      </c>
      <c r="J246" s="38" t="str">
        <f t="shared" ca="1" si="11"/>
        <v>EXPIRED</v>
      </c>
      <c r="K246" s="36" t="s">
        <v>181</v>
      </c>
      <c r="L246" s="39"/>
    </row>
    <row r="247" spans="1:12" x14ac:dyDescent="0.35">
      <c r="A247" s="34" t="str">
        <f t="shared" si="9"/>
        <v>DON-0243</v>
      </c>
      <c r="B247" s="35">
        <v>45925</v>
      </c>
      <c r="C247" s="36" t="s">
        <v>149</v>
      </c>
      <c r="D247" s="36" t="s">
        <v>150</v>
      </c>
      <c r="E247" s="36" t="s">
        <v>8</v>
      </c>
      <c r="F247" s="36" t="s">
        <v>75</v>
      </c>
      <c r="G247" s="37">
        <v>29</v>
      </c>
      <c r="H247" s="66">
        <v>45957</v>
      </c>
      <c r="I247" s="38">
        <f t="shared" ca="1" si="10"/>
        <v>-242</v>
      </c>
      <c r="J247" s="38" t="str">
        <f t="shared" ca="1" si="11"/>
        <v>EXPIRED</v>
      </c>
      <c r="K247" s="36" t="s">
        <v>181</v>
      </c>
      <c r="L247" s="39"/>
    </row>
    <row r="248" spans="1:12" x14ac:dyDescent="0.35">
      <c r="A248" s="34" t="str">
        <f t="shared" si="9"/>
        <v>DON-0244</v>
      </c>
      <c r="B248" s="35">
        <v>45925</v>
      </c>
      <c r="C248" s="36" t="s">
        <v>83</v>
      </c>
      <c r="D248" s="36" t="s">
        <v>84</v>
      </c>
      <c r="E248" s="36" t="s">
        <v>74</v>
      </c>
      <c r="F248" s="36" t="s">
        <v>85</v>
      </c>
      <c r="G248" s="37">
        <v>70</v>
      </c>
      <c r="H248" s="66">
        <v>46174</v>
      </c>
      <c r="I248" s="38">
        <f t="shared" ca="1" si="10"/>
        <v>-25</v>
      </c>
      <c r="J248" s="38" t="str">
        <f t="shared" ca="1" si="11"/>
        <v>EXPIRED</v>
      </c>
      <c r="K248" s="36" t="s">
        <v>181</v>
      </c>
      <c r="L248" s="39"/>
    </row>
    <row r="249" spans="1:12" x14ac:dyDescent="0.35">
      <c r="A249" s="34" t="str">
        <f t="shared" si="9"/>
        <v>DON-0245</v>
      </c>
      <c r="B249" s="35">
        <v>45925</v>
      </c>
      <c r="C249" s="36" t="s">
        <v>43</v>
      </c>
      <c r="D249" s="36" t="s">
        <v>44</v>
      </c>
      <c r="E249" s="36" t="s">
        <v>31</v>
      </c>
      <c r="F249" s="36" t="s">
        <v>42</v>
      </c>
      <c r="G249" s="37">
        <v>70</v>
      </c>
      <c r="H249" s="66">
        <v>46323</v>
      </c>
      <c r="I249" s="38">
        <f t="shared" ca="1" si="10"/>
        <v>124</v>
      </c>
      <c r="J249" s="38" t="str">
        <f t="shared" ca="1" si="11"/>
        <v>OK</v>
      </c>
      <c r="K249" s="36" t="s">
        <v>181</v>
      </c>
      <c r="L249" s="39"/>
    </row>
    <row r="250" spans="1:12" x14ac:dyDescent="0.35">
      <c r="A250" s="34" t="str">
        <f t="shared" si="9"/>
        <v>DON-0246</v>
      </c>
      <c r="B250" s="35">
        <v>45925</v>
      </c>
      <c r="C250" s="36" t="s">
        <v>104</v>
      </c>
      <c r="D250" s="36" t="s">
        <v>105</v>
      </c>
      <c r="E250" s="36" t="s">
        <v>102</v>
      </c>
      <c r="F250" s="36" t="s">
        <v>103</v>
      </c>
      <c r="G250" s="37">
        <v>36</v>
      </c>
      <c r="H250" s="66">
        <v>46529</v>
      </c>
      <c r="I250" s="38">
        <f t="shared" ca="1" si="10"/>
        <v>330</v>
      </c>
      <c r="J250" s="38" t="str">
        <f t="shared" ca="1" si="11"/>
        <v>OK</v>
      </c>
      <c r="K250" s="36" t="s">
        <v>181</v>
      </c>
      <c r="L250" s="39"/>
    </row>
    <row r="251" spans="1:12" x14ac:dyDescent="0.35">
      <c r="A251" s="34" t="str">
        <f t="shared" si="9"/>
        <v>DON-0247</v>
      </c>
      <c r="B251" s="35">
        <v>45925</v>
      </c>
      <c r="C251" s="36" t="s">
        <v>59</v>
      </c>
      <c r="D251" s="36" t="s">
        <v>60</v>
      </c>
      <c r="E251" s="36" t="s">
        <v>53</v>
      </c>
      <c r="F251" s="36" t="s">
        <v>56</v>
      </c>
      <c r="G251" s="37">
        <v>76</v>
      </c>
      <c r="H251" s="66">
        <v>46702</v>
      </c>
      <c r="I251" s="38">
        <f t="shared" ca="1" si="10"/>
        <v>503</v>
      </c>
      <c r="J251" s="38" t="str">
        <f t="shared" ca="1" si="11"/>
        <v>OK</v>
      </c>
      <c r="K251" s="36" t="s">
        <v>181</v>
      </c>
      <c r="L251" s="39"/>
    </row>
    <row r="252" spans="1:12" x14ac:dyDescent="0.35">
      <c r="A252" s="34" t="str">
        <f t="shared" si="9"/>
        <v>DON-0248</v>
      </c>
      <c r="B252" s="35">
        <v>45925</v>
      </c>
      <c r="C252" s="36" t="s">
        <v>43</v>
      </c>
      <c r="D252" s="36" t="s">
        <v>44</v>
      </c>
      <c r="E252" s="36" t="s">
        <v>31</v>
      </c>
      <c r="F252" s="36" t="s">
        <v>42</v>
      </c>
      <c r="G252" s="37">
        <v>104</v>
      </c>
      <c r="H252" s="66">
        <v>46739</v>
      </c>
      <c r="I252" s="38">
        <f t="shared" ca="1" si="10"/>
        <v>540</v>
      </c>
      <c r="J252" s="38" t="str">
        <f t="shared" ca="1" si="11"/>
        <v>OK</v>
      </c>
      <c r="K252" s="36" t="s">
        <v>181</v>
      </c>
      <c r="L252" s="39"/>
    </row>
    <row r="253" spans="1:12" x14ac:dyDescent="0.35">
      <c r="A253" s="34" t="str">
        <f t="shared" si="9"/>
        <v>DON-0249</v>
      </c>
      <c r="B253" s="35">
        <v>45925</v>
      </c>
      <c r="C253" s="36" t="s">
        <v>29</v>
      </c>
      <c r="D253" s="36" t="s">
        <v>30</v>
      </c>
      <c r="E253" s="36" t="s">
        <v>31</v>
      </c>
      <c r="F253" s="36" t="s">
        <v>32</v>
      </c>
      <c r="G253" s="37">
        <v>55</v>
      </c>
      <c r="H253" s="66">
        <v>46754</v>
      </c>
      <c r="I253" s="38">
        <f t="shared" ca="1" si="10"/>
        <v>555</v>
      </c>
      <c r="J253" s="38" t="str">
        <f t="shared" ca="1" si="11"/>
        <v>OK</v>
      </c>
      <c r="K253" s="36" t="s">
        <v>181</v>
      </c>
      <c r="L253" s="39"/>
    </row>
    <row r="254" spans="1:12" x14ac:dyDescent="0.35">
      <c r="A254" s="34" t="str">
        <f t="shared" si="9"/>
        <v>DON-0250</v>
      </c>
      <c r="B254" s="35">
        <v>45925</v>
      </c>
      <c r="C254" s="36" t="s">
        <v>57</v>
      </c>
      <c r="D254" s="36" t="s">
        <v>58</v>
      </c>
      <c r="E254" s="36" t="s">
        <v>53</v>
      </c>
      <c r="F254" s="36" t="s">
        <v>42</v>
      </c>
      <c r="G254" s="37">
        <v>106</v>
      </c>
      <c r="H254" s="66">
        <v>46872</v>
      </c>
      <c r="I254" s="38">
        <f t="shared" ca="1" si="10"/>
        <v>673</v>
      </c>
      <c r="J254" s="38" t="str">
        <f t="shared" ca="1" si="11"/>
        <v>OK</v>
      </c>
      <c r="K254" s="36" t="s">
        <v>181</v>
      </c>
      <c r="L254" s="39"/>
    </row>
    <row r="255" spans="1:12" x14ac:dyDescent="0.35">
      <c r="A255" s="34" t="str">
        <f t="shared" si="9"/>
        <v>DON-0251</v>
      </c>
      <c r="B255" s="35">
        <v>45925</v>
      </c>
      <c r="C255" s="36" t="s">
        <v>109</v>
      </c>
      <c r="D255" s="36" t="s">
        <v>110</v>
      </c>
      <c r="E255" s="36" t="s">
        <v>102</v>
      </c>
      <c r="F255" s="36" t="s">
        <v>42</v>
      </c>
      <c r="G255" s="37">
        <v>95</v>
      </c>
      <c r="H255" s="66">
        <v>46930</v>
      </c>
      <c r="I255" s="38">
        <f t="shared" ca="1" si="10"/>
        <v>731</v>
      </c>
      <c r="J255" s="38" t="str">
        <f t="shared" ca="1" si="11"/>
        <v>OK</v>
      </c>
      <c r="K255" s="36" t="s">
        <v>181</v>
      </c>
      <c r="L255" s="39"/>
    </row>
    <row r="256" spans="1:12" x14ac:dyDescent="0.35">
      <c r="A256" s="34" t="str">
        <f t="shared" si="9"/>
        <v>DON-0252</v>
      </c>
      <c r="B256" s="35">
        <v>45925</v>
      </c>
      <c r="C256" s="36" t="s">
        <v>40</v>
      </c>
      <c r="D256" s="36" t="s">
        <v>41</v>
      </c>
      <c r="E256" s="36" t="s">
        <v>31</v>
      </c>
      <c r="F256" s="36" t="s">
        <v>42</v>
      </c>
      <c r="G256" s="37">
        <v>43</v>
      </c>
      <c r="H256" s="66">
        <v>46995</v>
      </c>
      <c r="I256" s="38">
        <f t="shared" ca="1" si="10"/>
        <v>796</v>
      </c>
      <c r="J256" s="38" t="str">
        <f t="shared" ca="1" si="11"/>
        <v>OK</v>
      </c>
      <c r="K256" s="36" t="s">
        <v>181</v>
      </c>
      <c r="L256" s="39"/>
    </row>
    <row r="257" spans="1:12" x14ac:dyDescent="0.35">
      <c r="A257" s="34" t="str">
        <f t="shared" si="9"/>
        <v>DON-0253</v>
      </c>
      <c r="B257" s="35">
        <v>45925</v>
      </c>
      <c r="C257" s="36" t="s">
        <v>59</v>
      </c>
      <c r="D257" s="36" t="s">
        <v>60</v>
      </c>
      <c r="E257" s="36" t="s">
        <v>53</v>
      </c>
      <c r="F257" s="36" t="s">
        <v>56</v>
      </c>
      <c r="G257" s="37">
        <v>69</v>
      </c>
      <c r="H257" s="66">
        <v>47013</v>
      </c>
      <c r="I257" s="38">
        <f t="shared" ca="1" si="10"/>
        <v>814</v>
      </c>
      <c r="J257" s="38" t="str">
        <f t="shared" ca="1" si="11"/>
        <v>OK</v>
      </c>
      <c r="K257" s="36" t="s">
        <v>181</v>
      </c>
      <c r="L257" s="39"/>
    </row>
    <row r="258" spans="1:12" x14ac:dyDescent="0.35">
      <c r="A258" s="34" t="str">
        <f t="shared" si="9"/>
        <v>DON-0254</v>
      </c>
      <c r="B258" s="35">
        <v>45932</v>
      </c>
      <c r="C258" s="36" t="s">
        <v>149</v>
      </c>
      <c r="D258" s="36" t="s">
        <v>150</v>
      </c>
      <c r="E258" s="36" t="s">
        <v>8</v>
      </c>
      <c r="F258" s="36" t="s">
        <v>75</v>
      </c>
      <c r="G258" s="37">
        <v>11</v>
      </c>
      <c r="H258" s="66">
        <v>45978</v>
      </c>
      <c r="I258" s="38">
        <f t="shared" ca="1" si="10"/>
        <v>-221</v>
      </c>
      <c r="J258" s="38" t="str">
        <f t="shared" ca="1" si="11"/>
        <v>EXPIRED</v>
      </c>
      <c r="K258" s="36" t="s">
        <v>175</v>
      </c>
      <c r="L258" s="39"/>
    </row>
    <row r="259" spans="1:12" x14ac:dyDescent="0.35">
      <c r="A259" s="34" t="str">
        <f t="shared" si="9"/>
        <v>DON-0255</v>
      </c>
      <c r="B259" s="35">
        <v>45932</v>
      </c>
      <c r="C259" s="36" t="s">
        <v>117</v>
      </c>
      <c r="D259" s="36" t="s">
        <v>118</v>
      </c>
      <c r="E259" s="36" t="s">
        <v>14</v>
      </c>
      <c r="F259" s="36" t="s">
        <v>119</v>
      </c>
      <c r="G259" s="37">
        <v>9</v>
      </c>
      <c r="H259" s="66">
        <v>46268</v>
      </c>
      <c r="I259" s="38">
        <f t="shared" ca="1" si="10"/>
        <v>69</v>
      </c>
      <c r="J259" s="38" t="str">
        <f t="shared" ca="1" si="11"/>
        <v>OK</v>
      </c>
      <c r="K259" s="36" t="s">
        <v>175</v>
      </c>
      <c r="L259" s="39"/>
    </row>
    <row r="260" spans="1:12" x14ac:dyDescent="0.35">
      <c r="A260" s="34" t="str">
        <f t="shared" si="9"/>
        <v>DON-0256</v>
      </c>
      <c r="B260" s="35">
        <v>45932</v>
      </c>
      <c r="C260" s="36" t="s">
        <v>81</v>
      </c>
      <c r="D260" s="36" t="s">
        <v>82</v>
      </c>
      <c r="E260" s="36" t="s">
        <v>74</v>
      </c>
      <c r="F260" s="36" t="s">
        <v>80</v>
      </c>
      <c r="G260" s="37">
        <v>55</v>
      </c>
      <c r="H260" s="66">
        <v>46538</v>
      </c>
      <c r="I260" s="38">
        <f t="shared" ca="1" si="10"/>
        <v>339</v>
      </c>
      <c r="J260" s="38" t="str">
        <f t="shared" ca="1" si="11"/>
        <v>OK</v>
      </c>
      <c r="K260" s="36" t="s">
        <v>175</v>
      </c>
      <c r="L260" s="39"/>
    </row>
    <row r="261" spans="1:12" x14ac:dyDescent="0.35">
      <c r="A261" s="34" t="str">
        <f t="shared" ref="A261:A324" si="12">IF(G261="","","DON-"&amp;TEXT(ROW()-4,"0000"))</f>
        <v>DON-0257</v>
      </c>
      <c r="B261" s="35">
        <v>45932</v>
      </c>
      <c r="C261" s="36" t="s">
        <v>51</v>
      </c>
      <c r="D261" s="36" t="s">
        <v>52</v>
      </c>
      <c r="E261" s="36" t="s">
        <v>53</v>
      </c>
      <c r="F261" s="36" t="s">
        <v>42</v>
      </c>
      <c r="G261" s="37">
        <v>120</v>
      </c>
      <c r="H261" s="66">
        <v>46769</v>
      </c>
      <c r="I261" s="38">
        <f t="shared" ref="I261:I324" ca="1" si="13">IF(H261="","",H261-TODAY())</f>
        <v>570</v>
      </c>
      <c r="J261" s="38" t="str">
        <f t="shared" ref="J261:J324" ca="1" si="14">IF(I261="","",IF(I261&lt;=0,"EXPIRED",IF(I261&lt;=3,"CRITICAL",IF(I261&lt;=7,"WARNING",IF(I261&lt;=30,"NOTICE","OK")))))</f>
        <v>OK</v>
      </c>
      <c r="K261" s="36" t="s">
        <v>175</v>
      </c>
      <c r="L261" s="39"/>
    </row>
    <row r="262" spans="1:12" x14ac:dyDescent="0.35">
      <c r="A262" s="34" t="str">
        <f t="shared" si="12"/>
        <v>DON-0258</v>
      </c>
      <c r="B262" s="35">
        <v>45932</v>
      </c>
      <c r="C262" s="36" t="s">
        <v>109</v>
      </c>
      <c r="D262" s="36" t="s">
        <v>110</v>
      </c>
      <c r="E262" s="36" t="s">
        <v>102</v>
      </c>
      <c r="F262" s="36" t="s">
        <v>42</v>
      </c>
      <c r="G262" s="37">
        <v>37</v>
      </c>
      <c r="H262" s="66">
        <v>46861</v>
      </c>
      <c r="I262" s="38">
        <f t="shared" ca="1" si="13"/>
        <v>662</v>
      </c>
      <c r="J262" s="38" t="str">
        <f t="shared" ca="1" si="14"/>
        <v>OK</v>
      </c>
      <c r="K262" s="36" t="s">
        <v>175</v>
      </c>
      <c r="L262" s="39"/>
    </row>
    <row r="263" spans="1:12" x14ac:dyDescent="0.35">
      <c r="A263" s="34" t="str">
        <f t="shared" si="12"/>
        <v>DON-0259</v>
      </c>
      <c r="B263" s="35">
        <v>45932</v>
      </c>
      <c r="C263" s="36" t="s">
        <v>54</v>
      </c>
      <c r="D263" s="36" t="s">
        <v>55</v>
      </c>
      <c r="E263" s="36" t="s">
        <v>53</v>
      </c>
      <c r="F263" s="36" t="s">
        <v>56</v>
      </c>
      <c r="G263" s="37">
        <v>125</v>
      </c>
      <c r="H263" s="66">
        <v>46920</v>
      </c>
      <c r="I263" s="38">
        <f t="shared" ca="1" si="13"/>
        <v>721</v>
      </c>
      <c r="J263" s="38" t="str">
        <f t="shared" ca="1" si="14"/>
        <v>OK</v>
      </c>
      <c r="K263" s="36" t="s">
        <v>175</v>
      </c>
      <c r="L263" s="39"/>
    </row>
    <row r="264" spans="1:12" x14ac:dyDescent="0.35">
      <c r="A264" s="34" t="str">
        <f t="shared" si="12"/>
        <v>DON-0260</v>
      </c>
      <c r="B264" s="35">
        <v>45932</v>
      </c>
      <c r="C264" s="36" t="s">
        <v>34</v>
      </c>
      <c r="D264" s="36" t="s">
        <v>35</v>
      </c>
      <c r="E264" s="36" t="s">
        <v>31</v>
      </c>
      <c r="F264" s="36" t="s">
        <v>36</v>
      </c>
      <c r="G264" s="37">
        <v>92</v>
      </c>
      <c r="H264" s="66">
        <v>46960</v>
      </c>
      <c r="I264" s="38">
        <f t="shared" ca="1" si="13"/>
        <v>761</v>
      </c>
      <c r="J264" s="38" t="str">
        <f t="shared" ca="1" si="14"/>
        <v>OK</v>
      </c>
      <c r="K264" s="36" t="s">
        <v>175</v>
      </c>
      <c r="L264" s="39"/>
    </row>
    <row r="265" spans="1:12" x14ac:dyDescent="0.35">
      <c r="A265" s="34" t="str">
        <f t="shared" si="12"/>
        <v>DON-0261</v>
      </c>
      <c r="B265" s="35">
        <v>45933</v>
      </c>
      <c r="C265" s="36" t="s">
        <v>86</v>
      </c>
      <c r="D265" s="36" t="s">
        <v>87</v>
      </c>
      <c r="E265" s="36" t="s">
        <v>74</v>
      </c>
      <c r="F265" s="36" t="s">
        <v>75</v>
      </c>
      <c r="G265" s="37">
        <v>40</v>
      </c>
      <c r="H265" s="66">
        <v>46067</v>
      </c>
      <c r="I265" s="38">
        <f t="shared" ca="1" si="13"/>
        <v>-132</v>
      </c>
      <c r="J265" s="38" t="str">
        <f t="shared" ca="1" si="14"/>
        <v>EXPIRED</v>
      </c>
      <c r="K265" s="36" t="s">
        <v>177</v>
      </c>
      <c r="L265" s="39"/>
    </row>
    <row r="266" spans="1:12" x14ac:dyDescent="0.35">
      <c r="A266" s="34" t="str">
        <f t="shared" si="12"/>
        <v>DON-0262</v>
      </c>
      <c r="B266" s="35">
        <v>45933</v>
      </c>
      <c r="C266" s="36" t="s">
        <v>76</v>
      </c>
      <c r="D266" s="36" t="s">
        <v>77</v>
      </c>
      <c r="E266" s="36" t="s">
        <v>74</v>
      </c>
      <c r="F266" s="36" t="s">
        <v>75</v>
      </c>
      <c r="G266" s="37">
        <v>28</v>
      </c>
      <c r="H266" s="66">
        <v>46146</v>
      </c>
      <c r="I266" s="38">
        <f t="shared" ca="1" si="13"/>
        <v>-53</v>
      </c>
      <c r="J266" s="38" t="str">
        <f t="shared" ca="1" si="14"/>
        <v>EXPIRED</v>
      </c>
      <c r="K266" s="36" t="s">
        <v>177</v>
      </c>
      <c r="L266" s="39"/>
    </row>
    <row r="267" spans="1:12" x14ac:dyDescent="0.35">
      <c r="A267" s="34" t="str">
        <f t="shared" si="12"/>
        <v>DON-0263</v>
      </c>
      <c r="B267" s="35">
        <v>45933</v>
      </c>
      <c r="C267" s="36" t="s">
        <v>153</v>
      </c>
      <c r="D267" s="36" t="s">
        <v>154</v>
      </c>
      <c r="E267" s="36" t="s">
        <v>12</v>
      </c>
      <c r="F267" s="36" t="s">
        <v>155</v>
      </c>
      <c r="G267" s="37">
        <v>23</v>
      </c>
      <c r="H267" s="66">
        <v>46181</v>
      </c>
      <c r="I267" s="38">
        <f t="shared" ca="1" si="13"/>
        <v>-18</v>
      </c>
      <c r="J267" s="38" t="str">
        <f t="shared" ca="1" si="14"/>
        <v>EXPIRED</v>
      </c>
      <c r="K267" s="36" t="s">
        <v>177</v>
      </c>
      <c r="L267" s="39"/>
    </row>
    <row r="268" spans="1:12" x14ac:dyDescent="0.35">
      <c r="A268" s="34" t="str">
        <f t="shared" si="12"/>
        <v>DON-0264</v>
      </c>
      <c r="B268" s="35">
        <v>45933</v>
      </c>
      <c r="C268" s="36" t="s">
        <v>111</v>
      </c>
      <c r="D268" s="36" t="s">
        <v>112</v>
      </c>
      <c r="E268" s="36" t="s">
        <v>102</v>
      </c>
      <c r="F268" s="36" t="s">
        <v>113</v>
      </c>
      <c r="G268" s="37">
        <v>79</v>
      </c>
      <c r="H268" s="66">
        <v>46299</v>
      </c>
      <c r="I268" s="38">
        <f t="shared" ca="1" si="13"/>
        <v>100</v>
      </c>
      <c r="J268" s="38" t="str">
        <f t="shared" ca="1" si="14"/>
        <v>OK</v>
      </c>
      <c r="K268" s="36" t="s">
        <v>177</v>
      </c>
      <c r="L268" s="39"/>
    </row>
    <row r="269" spans="1:12" x14ac:dyDescent="0.35">
      <c r="A269" s="34" t="str">
        <f t="shared" si="12"/>
        <v>DON-0265</v>
      </c>
      <c r="B269" s="35">
        <v>45933</v>
      </c>
      <c r="C269" s="36" t="s">
        <v>51</v>
      </c>
      <c r="D269" s="36" t="s">
        <v>52</v>
      </c>
      <c r="E269" s="36" t="s">
        <v>53</v>
      </c>
      <c r="F269" s="36" t="s">
        <v>42</v>
      </c>
      <c r="G269" s="37">
        <v>95</v>
      </c>
      <c r="H269" s="66">
        <v>46350</v>
      </c>
      <c r="I269" s="38">
        <f t="shared" ca="1" si="13"/>
        <v>151</v>
      </c>
      <c r="J269" s="38" t="str">
        <f t="shared" ca="1" si="14"/>
        <v>OK</v>
      </c>
      <c r="K269" s="36" t="s">
        <v>177</v>
      </c>
      <c r="L269" s="39"/>
    </row>
    <row r="270" spans="1:12" x14ac:dyDescent="0.35">
      <c r="A270" s="34" t="str">
        <f t="shared" si="12"/>
        <v>DON-0266</v>
      </c>
      <c r="B270" s="35">
        <v>45933</v>
      </c>
      <c r="C270" s="36" t="s">
        <v>37</v>
      </c>
      <c r="D270" s="36" t="s">
        <v>38</v>
      </c>
      <c r="E270" s="36" t="s">
        <v>31</v>
      </c>
      <c r="F270" s="36" t="s">
        <v>39</v>
      </c>
      <c r="G270" s="37">
        <v>94</v>
      </c>
      <c r="H270" s="66">
        <v>46711</v>
      </c>
      <c r="I270" s="38">
        <f t="shared" ca="1" si="13"/>
        <v>512</v>
      </c>
      <c r="J270" s="38" t="str">
        <f t="shared" ca="1" si="14"/>
        <v>OK</v>
      </c>
      <c r="K270" s="36" t="s">
        <v>177</v>
      </c>
      <c r="L270" s="39"/>
    </row>
    <row r="271" spans="1:12" x14ac:dyDescent="0.35">
      <c r="A271" s="34" t="str">
        <f t="shared" si="12"/>
        <v>DON-0267</v>
      </c>
      <c r="B271" s="35">
        <v>45933</v>
      </c>
      <c r="C271" s="36" t="s">
        <v>46</v>
      </c>
      <c r="D271" s="36" t="s">
        <v>47</v>
      </c>
      <c r="E271" s="36" t="s">
        <v>31</v>
      </c>
      <c r="F271" s="36" t="s">
        <v>42</v>
      </c>
      <c r="G271" s="37">
        <v>73</v>
      </c>
      <c r="H271" s="66">
        <v>46853</v>
      </c>
      <c r="I271" s="38">
        <f t="shared" ca="1" si="13"/>
        <v>654</v>
      </c>
      <c r="J271" s="38" t="str">
        <f t="shared" ca="1" si="14"/>
        <v>OK</v>
      </c>
      <c r="K271" s="36" t="s">
        <v>177</v>
      </c>
      <c r="L271" s="39"/>
    </row>
    <row r="272" spans="1:12" x14ac:dyDescent="0.35">
      <c r="A272" s="34" t="str">
        <f t="shared" si="12"/>
        <v>DON-0268</v>
      </c>
      <c r="B272" s="35">
        <v>45934</v>
      </c>
      <c r="C272" s="36" t="s">
        <v>156</v>
      </c>
      <c r="D272" s="36" t="s">
        <v>11</v>
      </c>
      <c r="E272" s="36" t="s">
        <v>12</v>
      </c>
      <c r="F272" s="36" t="s">
        <v>155</v>
      </c>
      <c r="G272" s="37">
        <v>22</v>
      </c>
      <c r="H272" s="66">
        <v>45938</v>
      </c>
      <c r="I272" s="38">
        <f t="shared" ca="1" si="13"/>
        <v>-261</v>
      </c>
      <c r="J272" s="38" t="str">
        <f t="shared" ca="1" si="14"/>
        <v>EXPIRED</v>
      </c>
      <c r="K272" s="36" t="s">
        <v>182</v>
      </c>
      <c r="L272" s="39"/>
    </row>
    <row r="273" spans="1:12" x14ac:dyDescent="0.35">
      <c r="A273" s="34" t="str">
        <f t="shared" si="12"/>
        <v>DON-0269</v>
      </c>
      <c r="B273" s="35">
        <v>45934</v>
      </c>
      <c r="C273" s="36" t="s">
        <v>135</v>
      </c>
      <c r="D273" s="36" t="s">
        <v>5</v>
      </c>
      <c r="E273" s="36" t="s">
        <v>6</v>
      </c>
      <c r="F273" s="36" t="s">
        <v>136</v>
      </c>
      <c r="G273" s="37">
        <v>39</v>
      </c>
      <c r="H273" s="66">
        <v>45940</v>
      </c>
      <c r="I273" s="38">
        <f t="shared" ca="1" si="13"/>
        <v>-259</v>
      </c>
      <c r="J273" s="38" t="str">
        <f t="shared" ca="1" si="14"/>
        <v>EXPIRED</v>
      </c>
      <c r="K273" s="36" t="s">
        <v>182</v>
      </c>
      <c r="L273" s="39"/>
    </row>
    <row r="274" spans="1:12" x14ac:dyDescent="0.35">
      <c r="A274" s="34" t="str">
        <f t="shared" si="12"/>
        <v>DON-0270</v>
      </c>
      <c r="B274" s="35">
        <v>45934</v>
      </c>
      <c r="C274" s="36" t="s">
        <v>86</v>
      </c>
      <c r="D274" s="36" t="s">
        <v>87</v>
      </c>
      <c r="E274" s="36" t="s">
        <v>74</v>
      </c>
      <c r="F274" s="36" t="s">
        <v>75</v>
      </c>
      <c r="G274" s="37">
        <v>63</v>
      </c>
      <c r="H274" s="66">
        <v>46227</v>
      </c>
      <c r="I274" s="38">
        <f t="shared" ca="1" si="13"/>
        <v>28</v>
      </c>
      <c r="J274" s="38" t="str">
        <f t="shared" ca="1" si="14"/>
        <v>NOTICE</v>
      </c>
      <c r="K274" s="36" t="s">
        <v>182</v>
      </c>
      <c r="L274" s="39"/>
    </row>
    <row r="275" spans="1:12" x14ac:dyDescent="0.35">
      <c r="A275" s="34" t="str">
        <f t="shared" si="12"/>
        <v>DON-0271</v>
      </c>
      <c r="B275" s="35">
        <v>45934</v>
      </c>
      <c r="C275" s="36" t="s">
        <v>76</v>
      </c>
      <c r="D275" s="36" t="s">
        <v>77</v>
      </c>
      <c r="E275" s="36" t="s">
        <v>74</v>
      </c>
      <c r="F275" s="36" t="s">
        <v>75</v>
      </c>
      <c r="G275" s="37">
        <v>21</v>
      </c>
      <c r="H275" s="66">
        <v>46248</v>
      </c>
      <c r="I275" s="38">
        <f t="shared" ca="1" si="13"/>
        <v>49</v>
      </c>
      <c r="J275" s="38" t="str">
        <f t="shared" ca="1" si="14"/>
        <v>OK</v>
      </c>
      <c r="K275" s="36" t="s">
        <v>182</v>
      </c>
      <c r="L275" s="39"/>
    </row>
    <row r="276" spans="1:12" x14ac:dyDescent="0.35">
      <c r="A276" s="34" t="str">
        <f t="shared" si="12"/>
        <v>DON-0272</v>
      </c>
      <c r="B276" s="35">
        <v>45934</v>
      </c>
      <c r="C276" s="36" t="s">
        <v>34</v>
      </c>
      <c r="D276" s="36" t="s">
        <v>35</v>
      </c>
      <c r="E276" s="36" t="s">
        <v>31</v>
      </c>
      <c r="F276" s="36" t="s">
        <v>36</v>
      </c>
      <c r="G276" s="37">
        <v>41</v>
      </c>
      <c r="H276" s="66">
        <v>46830</v>
      </c>
      <c r="I276" s="38">
        <f t="shared" ca="1" si="13"/>
        <v>631</v>
      </c>
      <c r="J276" s="38" t="str">
        <f t="shared" ca="1" si="14"/>
        <v>OK</v>
      </c>
      <c r="K276" s="36" t="s">
        <v>182</v>
      </c>
      <c r="L276" s="39"/>
    </row>
    <row r="277" spans="1:12" x14ac:dyDescent="0.35">
      <c r="A277" s="34" t="str">
        <f t="shared" si="12"/>
        <v>DON-0273</v>
      </c>
      <c r="B277" s="35">
        <v>45934</v>
      </c>
      <c r="C277" s="36" t="s">
        <v>106</v>
      </c>
      <c r="D277" s="36" t="s">
        <v>107</v>
      </c>
      <c r="E277" s="36" t="s">
        <v>102</v>
      </c>
      <c r="F277" s="36" t="s">
        <v>108</v>
      </c>
      <c r="G277" s="37">
        <v>78</v>
      </c>
      <c r="H277" s="66">
        <v>46888</v>
      </c>
      <c r="I277" s="38">
        <f t="shared" ca="1" si="13"/>
        <v>689</v>
      </c>
      <c r="J277" s="38" t="str">
        <f t="shared" ca="1" si="14"/>
        <v>OK</v>
      </c>
      <c r="K277" s="36" t="s">
        <v>182</v>
      </c>
      <c r="L277" s="39"/>
    </row>
    <row r="278" spans="1:12" x14ac:dyDescent="0.35">
      <c r="A278" s="34" t="str">
        <f t="shared" si="12"/>
        <v>DON-0274</v>
      </c>
      <c r="B278" s="35">
        <v>45934</v>
      </c>
      <c r="C278" s="36" t="s">
        <v>37</v>
      </c>
      <c r="D278" s="36" t="s">
        <v>38</v>
      </c>
      <c r="E278" s="36" t="s">
        <v>31</v>
      </c>
      <c r="F278" s="36" t="s">
        <v>39</v>
      </c>
      <c r="G278" s="37">
        <v>36</v>
      </c>
      <c r="H278" s="66">
        <v>46989</v>
      </c>
      <c r="I278" s="38">
        <f t="shared" ca="1" si="13"/>
        <v>790</v>
      </c>
      <c r="J278" s="38" t="str">
        <f t="shared" ca="1" si="14"/>
        <v>OK</v>
      </c>
      <c r="K278" s="36" t="s">
        <v>182</v>
      </c>
      <c r="L278" s="39"/>
    </row>
    <row r="279" spans="1:12" x14ac:dyDescent="0.35">
      <c r="A279" s="34" t="str">
        <f t="shared" si="12"/>
        <v>DON-0275</v>
      </c>
      <c r="B279" s="35">
        <v>45936</v>
      </c>
      <c r="C279" s="36" t="s">
        <v>138</v>
      </c>
      <c r="D279" s="36" t="s">
        <v>139</v>
      </c>
      <c r="E279" s="36" t="s">
        <v>6</v>
      </c>
      <c r="F279" s="36" t="s">
        <v>140</v>
      </c>
      <c r="G279" s="37">
        <v>40</v>
      </c>
      <c r="H279" s="66">
        <v>45956</v>
      </c>
      <c r="I279" s="38">
        <f t="shared" ca="1" si="13"/>
        <v>-243</v>
      </c>
      <c r="J279" s="38" t="str">
        <f t="shared" ca="1" si="14"/>
        <v>EXPIRED</v>
      </c>
      <c r="K279" s="36" t="s">
        <v>179</v>
      </c>
      <c r="L279" s="39"/>
    </row>
    <row r="280" spans="1:12" x14ac:dyDescent="0.35">
      <c r="A280" s="34" t="str">
        <f t="shared" si="12"/>
        <v>DON-0276</v>
      </c>
      <c r="B280" s="35">
        <v>45936</v>
      </c>
      <c r="C280" s="36" t="s">
        <v>132</v>
      </c>
      <c r="D280" s="36" t="s">
        <v>133</v>
      </c>
      <c r="E280" s="36" t="s">
        <v>10</v>
      </c>
      <c r="F280" s="36" t="s">
        <v>134</v>
      </c>
      <c r="G280" s="37">
        <v>19</v>
      </c>
      <c r="H280" s="66">
        <v>45977</v>
      </c>
      <c r="I280" s="38">
        <f t="shared" ca="1" si="13"/>
        <v>-222</v>
      </c>
      <c r="J280" s="38" t="str">
        <f t="shared" ca="1" si="14"/>
        <v>EXPIRED</v>
      </c>
      <c r="K280" s="36" t="s">
        <v>179</v>
      </c>
      <c r="L280" s="39"/>
    </row>
    <row r="281" spans="1:12" x14ac:dyDescent="0.35">
      <c r="A281" s="34" t="str">
        <f t="shared" si="12"/>
        <v>DON-0277</v>
      </c>
      <c r="B281" s="35">
        <v>45936</v>
      </c>
      <c r="C281" s="36" t="s">
        <v>117</v>
      </c>
      <c r="D281" s="36" t="s">
        <v>118</v>
      </c>
      <c r="E281" s="36" t="s">
        <v>14</v>
      </c>
      <c r="F281" s="36" t="s">
        <v>119</v>
      </c>
      <c r="G281" s="37">
        <v>14</v>
      </c>
      <c r="H281" s="66">
        <v>46183</v>
      </c>
      <c r="I281" s="38">
        <f t="shared" ca="1" si="13"/>
        <v>-16</v>
      </c>
      <c r="J281" s="38" t="str">
        <f t="shared" ca="1" si="14"/>
        <v>EXPIRED</v>
      </c>
      <c r="K281" s="36" t="s">
        <v>179</v>
      </c>
      <c r="L281" s="39"/>
    </row>
    <row r="282" spans="1:12" x14ac:dyDescent="0.35">
      <c r="A282" s="34" t="str">
        <f t="shared" si="12"/>
        <v>DON-0278</v>
      </c>
      <c r="B282" s="35">
        <v>45936</v>
      </c>
      <c r="C282" s="36" t="s">
        <v>106</v>
      </c>
      <c r="D282" s="36" t="s">
        <v>107</v>
      </c>
      <c r="E282" s="36" t="s">
        <v>102</v>
      </c>
      <c r="F282" s="36" t="s">
        <v>108</v>
      </c>
      <c r="G282" s="37">
        <v>46</v>
      </c>
      <c r="H282" s="66">
        <v>46408</v>
      </c>
      <c r="I282" s="38">
        <f t="shared" ca="1" si="13"/>
        <v>209</v>
      </c>
      <c r="J282" s="38" t="str">
        <f t="shared" ca="1" si="14"/>
        <v>OK</v>
      </c>
      <c r="K282" s="36" t="s">
        <v>179</v>
      </c>
      <c r="L282" s="39"/>
    </row>
    <row r="283" spans="1:12" x14ac:dyDescent="0.35">
      <c r="A283" s="34" t="str">
        <f t="shared" si="12"/>
        <v>DON-0279</v>
      </c>
      <c r="B283" s="35">
        <v>45936</v>
      </c>
      <c r="C283" s="36" t="s">
        <v>61</v>
      </c>
      <c r="D283" s="36" t="s">
        <v>62</v>
      </c>
      <c r="E283" s="36" t="s">
        <v>53</v>
      </c>
      <c r="F283" s="36" t="s">
        <v>42</v>
      </c>
      <c r="G283" s="37">
        <v>125</v>
      </c>
      <c r="H283" s="66">
        <v>46782</v>
      </c>
      <c r="I283" s="38">
        <f t="shared" ca="1" si="13"/>
        <v>583</v>
      </c>
      <c r="J283" s="38" t="str">
        <f t="shared" ca="1" si="14"/>
        <v>OK</v>
      </c>
      <c r="K283" s="36" t="s">
        <v>179</v>
      </c>
      <c r="L283" s="39"/>
    </row>
    <row r="284" spans="1:12" x14ac:dyDescent="0.35">
      <c r="A284" s="34" t="str">
        <f t="shared" si="12"/>
        <v>DON-0280</v>
      </c>
      <c r="B284" s="35">
        <v>45937</v>
      </c>
      <c r="C284" s="36" t="s">
        <v>151</v>
      </c>
      <c r="D284" s="36" t="s">
        <v>152</v>
      </c>
      <c r="E284" s="36" t="s">
        <v>8</v>
      </c>
      <c r="F284" s="36" t="s">
        <v>143</v>
      </c>
      <c r="G284" s="37">
        <v>31</v>
      </c>
      <c r="H284" s="66">
        <v>45962</v>
      </c>
      <c r="I284" s="38">
        <f t="shared" ca="1" si="13"/>
        <v>-237</v>
      </c>
      <c r="J284" s="38" t="str">
        <f t="shared" ca="1" si="14"/>
        <v>EXPIRED</v>
      </c>
      <c r="K284" s="36" t="s">
        <v>181</v>
      </c>
      <c r="L284" s="39"/>
    </row>
    <row r="285" spans="1:12" x14ac:dyDescent="0.35">
      <c r="A285" s="34" t="str">
        <f t="shared" si="12"/>
        <v>DON-0281</v>
      </c>
      <c r="B285" s="35">
        <v>45937</v>
      </c>
      <c r="C285" s="36" t="s">
        <v>120</v>
      </c>
      <c r="D285" s="36" t="s">
        <v>121</v>
      </c>
      <c r="E285" s="36" t="s">
        <v>14</v>
      </c>
      <c r="F285" s="36" t="s">
        <v>119</v>
      </c>
      <c r="G285" s="37">
        <v>9</v>
      </c>
      <c r="H285" s="66">
        <v>46106</v>
      </c>
      <c r="I285" s="38">
        <f t="shared" ca="1" si="13"/>
        <v>-93</v>
      </c>
      <c r="J285" s="38" t="str">
        <f t="shared" ca="1" si="14"/>
        <v>EXPIRED</v>
      </c>
      <c r="K285" s="36" t="s">
        <v>181</v>
      </c>
      <c r="L285" s="39"/>
    </row>
    <row r="286" spans="1:12" x14ac:dyDescent="0.35">
      <c r="A286" s="34" t="str">
        <f t="shared" si="12"/>
        <v>DON-0282</v>
      </c>
      <c r="B286" s="35">
        <v>45937</v>
      </c>
      <c r="C286" s="36" t="s">
        <v>78</v>
      </c>
      <c r="D286" s="36" t="s">
        <v>79</v>
      </c>
      <c r="E286" s="36" t="s">
        <v>74</v>
      </c>
      <c r="F286" s="36" t="s">
        <v>80</v>
      </c>
      <c r="G286" s="37">
        <v>52</v>
      </c>
      <c r="H286" s="66">
        <v>46249</v>
      </c>
      <c r="I286" s="38">
        <f t="shared" ca="1" si="13"/>
        <v>50</v>
      </c>
      <c r="J286" s="38" t="str">
        <f t="shared" ca="1" si="14"/>
        <v>OK</v>
      </c>
      <c r="K286" s="36" t="s">
        <v>181</v>
      </c>
      <c r="L286" s="39"/>
    </row>
    <row r="287" spans="1:12" x14ac:dyDescent="0.35">
      <c r="A287" s="34" t="str">
        <f t="shared" si="12"/>
        <v>DON-0283</v>
      </c>
      <c r="B287" s="35">
        <v>45937</v>
      </c>
      <c r="C287" s="36" t="s">
        <v>161</v>
      </c>
      <c r="D287" s="36" t="s">
        <v>162</v>
      </c>
      <c r="E287" s="36" t="s">
        <v>159</v>
      </c>
      <c r="F287" s="36" t="s">
        <v>163</v>
      </c>
      <c r="G287" s="37">
        <v>37</v>
      </c>
      <c r="H287" s="66">
        <v>46440</v>
      </c>
      <c r="I287" s="38">
        <f t="shared" ca="1" si="13"/>
        <v>241</v>
      </c>
      <c r="J287" s="38" t="str">
        <f t="shared" ca="1" si="14"/>
        <v>OK</v>
      </c>
      <c r="K287" s="36" t="s">
        <v>181</v>
      </c>
      <c r="L287" s="39"/>
    </row>
    <row r="288" spans="1:12" x14ac:dyDescent="0.35">
      <c r="A288" s="34" t="str">
        <f t="shared" si="12"/>
        <v>DON-0284</v>
      </c>
      <c r="B288" s="35">
        <v>45937</v>
      </c>
      <c r="C288" s="36" t="s">
        <v>81</v>
      </c>
      <c r="D288" s="36" t="s">
        <v>82</v>
      </c>
      <c r="E288" s="36" t="s">
        <v>74</v>
      </c>
      <c r="F288" s="36" t="s">
        <v>80</v>
      </c>
      <c r="G288" s="37">
        <v>30</v>
      </c>
      <c r="H288" s="66">
        <v>46462</v>
      </c>
      <c r="I288" s="38">
        <f t="shared" ca="1" si="13"/>
        <v>263</v>
      </c>
      <c r="J288" s="38" t="str">
        <f t="shared" ca="1" si="14"/>
        <v>OK</v>
      </c>
      <c r="K288" s="36" t="s">
        <v>181</v>
      </c>
      <c r="L288" s="39"/>
    </row>
    <row r="289" spans="1:12" x14ac:dyDescent="0.35">
      <c r="A289" s="34" t="str">
        <f t="shared" si="12"/>
        <v>DON-0285</v>
      </c>
      <c r="B289" s="35">
        <v>45937</v>
      </c>
      <c r="C289" s="36" t="s">
        <v>104</v>
      </c>
      <c r="D289" s="36" t="s">
        <v>105</v>
      </c>
      <c r="E289" s="36" t="s">
        <v>102</v>
      </c>
      <c r="F289" s="36" t="s">
        <v>103</v>
      </c>
      <c r="G289" s="37">
        <v>79</v>
      </c>
      <c r="H289" s="66">
        <v>46584</v>
      </c>
      <c r="I289" s="38">
        <f t="shared" ca="1" si="13"/>
        <v>385</v>
      </c>
      <c r="J289" s="38" t="str">
        <f t="shared" ca="1" si="14"/>
        <v>OK</v>
      </c>
      <c r="K289" s="36" t="s">
        <v>181</v>
      </c>
      <c r="L289" s="39"/>
    </row>
    <row r="290" spans="1:12" x14ac:dyDescent="0.35">
      <c r="A290" s="34" t="str">
        <f t="shared" si="12"/>
        <v>DON-0286</v>
      </c>
      <c r="B290" s="35">
        <v>45939</v>
      </c>
      <c r="C290" s="36" t="s">
        <v>137</v>
      </c>
      <c r="D290" s="36" t="s">
        <v>15</v>
      </c>
      <c r="E290" s="36" t="s">
        <v>6</v>
      </c>
      <c r="F290" s="36" t="s">
        <v>136</v>
      </c>
      <c r="G290" s="37">
        <v>30</v>
      </c>
      <c r="H290" s="66">
        <v>45943</v>
      </c>
      <c r="I290" s="38">
        <f t="shared" ca="1" si="13"/>
        <v>-256</v>
      </c>
      <c r="J290" s="38" t="str">
        <f t="shared" ca="1" si="14"/>
        <v>EXPIRED</v>
      </c>
      <c r="K290" s="36" t="s">
        <v>182</v>
      </c>
      <c r="L290" s="39"/>
    </row>
    <row r="291" spans="1:12" x14ac:dyDescent="0.35">
      <c r="A291" s="34" t="str">
        <f t="shared" si="12"/>
        <v>DON-0287</v>
      </c>
      <c r="B291" s="35">
        <v>45939</v>
      </c>
      <c r="C291" s="36" t="s">
        <v>141</v>
      </c>
      <c r="D291" s="36" t="s">
        <v>142</v>
      </c>
      <c r="E291" s="36" t="s">
        <v>8</v>
      </c>
      <c r="F291" s="36" t="s">
        <v>143</v>
      </c>
      <c r="G291" s="37">
        <v>25</v>
      </c>
      <c r="H291" s="66">
        <v>45949</v>
      </c>
      <c r="I291" s="38">
        <f t="shared" ca="1" si="13"/>
        <v>-250</v>
      </c>
      <c r="J291" s="38" t="str">
        <f t="shared" ca="1" si="14"/>
        <v>EXPIRED</v>
      </c>
      <c r="K291" s="36" t="s">
        <v>182</v>
      </c>
      <c r="L291" s="39"/>
    </row>
    <row r="292" spans="1:12" x14ac:dyDescent="0.35">
      <c r="A292" s="34" t="str">
        <f t="shared" si="12"/>
        <v>DON-0288</v>
      </c>
      <c r="B292" s="35">
        <v>45939</v>
      </c>
      <c r="C292" s="36" t="s">
        <v>149</v>
      </c>
      <c r="D292" s="36" t="s">
        <v>150</v>
      </c>
      <c r="E292" s="36" t="s">
        <v>8</v>
      </c>
      <c r="F292" s="36" t="s">
        <v>75</v>
      </c>
      <c r="G292" s="37">
        <v>26</v>
      </c>
      <c r="H292" s="66">
        <v>45990</v>
      </c>
      <c r="I292" s="38">
        <f t="shared" ca="1" si="13"/>
        <v>-209</v>
      </c>
      <c r="J292" s="38" t="str">
        <f t="shared" ca="1" si="14"/>
        <v>EXPIRED</v>
      </c>
      <c r="K292" s="36" t="s">
        <v>182</v>
      </c>
      <c r="L292" s="39"/>
    </row>
    <row r="293" spans="1:12" x14ac:dyDescent="0.35">
      <c r="A293" s="34" t="str">
        <f t="shared" si="12"/>
        <v>DON-0289</v>
      </c>
      <c r="B293" s="35">
        <v>45939</v>
      </c>
      <c r="C293" s="36" t="s">
        <v>76</v>
      </c>
      <c r="D293" s="36" t="s">
        <v>77</v>
      </c>
      <c r="E293" s="36" t="s">
        <v>74</v>
      </c>
      <c r="F293" s="36" t="s">
        <v>75</v>
      </c>
      <c r="G293" s="37">
        <v>23</v>
      </c>
      <c r="H293" s="66">
        <v>46144</v>
      </c>
      <c r="I293" s="38">
        <f t="shared" ca="1" si="13"/>
        <v>-55</v>
      </c>
      <c r="J293" s="38" t="str">
        <f t="shared" ca="1" si="14"/>
        <v>EXPIRED</v>
      </c>
      <c r="K293" s="36" t="s">
        <v>182</v>
      </c>
      <c r="L293" s="39"/>
    </row>
    <row r="294" spans="1:12" x14ac:dyDescent="0.35">
      <c r="A294" s="34" t="str">
        <f t="shared" si="12"/>
        <v>DON-0290</v>
      </c>
      <c r="B294" s="35">
        <v>45939</v>
      </c>
      <c r="C294" s="36" t="s">
        <v>88</v>
      </c>
      <c r="D294" s="36" t="s">
        <v>89</v>
      </c>
      <c r="E294" s="36" t="s">
        <v>74</v>
      </c>
      <c r="F294" s="36" t="s">
        <v>90</v>
      </c>
      <c r="G294" s="37">
        <v>57</v>
      </c>
      <c r="H294" s="66">
        <v>46279</v>
      </c>
      <c r="I294" s="38">
        <f t="shared" ca="1" si="13"/>
        <v>80</v>
      </c>
      <c r="J294" s="38" t="str">
        <f t="shared" ca="1" si="14"/>
        <v>OK</v>
      </c>
      <c r="K294" s="36" t="s">
        <v>182</v>
      </c>
      <c r="L294" s="39"/>
    </row>
    <row r="295" spans="1:12" x14ac:dyDescent="0.35">
      <c r="A295" s="34" t="str">
        <f t="shared" si="12"/>
        <v>DON-0291</v>
      </c>
      <c r="B295" s="35">
        <v>45939</v>
      </c>
      <c r="C295" s="36" t="s">
        <v>100</v>
      </c>
      <c r="D295" s="36" t="s">
        <v>101</v>
      </c>
      <c r="E295" s="36" t="s">
        <v>102</v>
      </c>
      <c r="F295" s="36" t="s">
        <v>103</v>
      </c>
      <c r="G295" s="37">
        <v>80</v>
      </c>
      <c r="H295" s="66">
        <v>46340</v>
      </c>
      <c r="I295" s="38">
        <f t="shared" ca="1" si="13"/>
        <v>141</v>
      </c>
      <c r="J295" s="38" t="str">
        <f t="shared" ca="1" si="14"/>
        <v>OK</v>
      </c>
      <c r="K295" s="36" t="s">
        <v>182</v>
      </c>
      <c r="L295" s="39"/>
    </row>
    <row r="296" spans="1:12" x14ac:dyDescent="0.35">
      <c r="A296" s="34" t="str">
        <f t="shared" si="12"/>
        <v>DON-0292</v>
      </c>
      <c r="B296" s="35">
        <v>45940</v>
      </c>
      <c r="C296" s="36" t="s">
        <v>83</v>
      </c>
      <c r="D296" s="36" t="s">
        <v>84</v>
      </c>
      <c r="E296" s="36" t="s">
        <v>74</v>
      </c>
      <c r="F296" s="36" t="s">
        <v>85</v>
      </c>
      <c r="G296" s="37">
        <v>58</v>
      </c>
      <c r="H296" s="66">
        <v>46175</v>
      </c>
      <c r="I296" s="38">
        <f t="shared" ca="1" si="13"/>
        <v>-24</v>
      </c>
      <c r="J296" s="38" t="str">
        <f t="shared" ca="1" si="14"/>
        <v>EXPIRED</v>
      </c>
      <c r="K296" s="36" t="s">
        <v>175</v>
      </c>
      <c r="L296" s="39"/>
    </row>
    <row r="297" spans="1:12" x14ac:dyDescent="0.35">
      <c r="A297" s="34" t="str">
        <f t="shared" si="12"/>
        <v>DON-0293</v>
      </c>
      <c r="B297" s="35">
        <v>45940</v>
      </c>
      <c r="C297" s="36" t="s">
        <v>153</v>
      </c>
      <c r="D297" s="36" t="s">
        <v>154</v>
      </c>
      <c r="E297" s="36" t="s">
        <v>12</v>
      </c>
      <c r="F297" s="36" t="s">
        <v>155</v>
      </c>
      <c r="G297" s="37">
        <v>31</v>
      </c>
      <c r="H297" s="66">
        <v>46186</v>
      </c>
      <c r="I297" s="38">
        <f t="shared" ca="1" si="13"/>
        <v>-13</v>
      </c>
      <c r="J297" s="38" t="str">
        <f t="shared" ca="1" si="14"/>
        <v>EXPIRED</v>
      </c>
      <c r="K297" s="36" t="s">
        <v>175</v>
      </c>
      <c r="L297" s="39"/>
    </row>
    <row r="298" spans="1:12" x14ac:dyDescent="0.35">
      <c r="A298" s="34" t="str">
        <f t="shared" si="12"/>
        <v>DON-0294</v>
      </c>
      <c r="B298" s="35">
        <v>45940</v>
      </c>
      <c r="C298" s="36" t="s">
        <v>81</v>
      </c>
      <c r="D298" s="36" t="s">
        <v>82</v>
      </c>
      <c r="E298" s="36" t="s">
        <v>74</v>
      </c>
      <c r="F298" s="36" t="s">
        <v>80</v>
      </c>
      <c r="G298" s="37">
        <v>56</v>
      </c>
      <c r="H298" s="66">
        <v>46479</v>
      </c>
      <c r="I298" s="38">
        <f t="shared" ca="1" si="13"/>
        <v>280</v>
      </c>
      <c r="J298" s="38" t="str">
        <f t="shared" ca="1" si="14"/>
        <v>OK</v>
      </c>
      <c r="K298" s="36" t="s">
        <v>175</v>
      </c>
      <c r="L298" s="39"/>
    </row>
    <row r="299" spans="1:12" x14ac:dyDescent="0.35">
      <c r="A299" s="34" t="str">
        <f t="shared" si="12"/>
        <v>DON-0295</v>
      </c>
      <c r="B299" s="35">
        <v>45941</v>
      </c>
      <c r="C299" s="36" t="s">
        <v>144</v>
      </c>
      <c r="D299" s="36" t="s">
        <v>7</v>
      </c>
      <c r="E299" s="36" t="s">
        <v>8</v>
      </c>
      <c r="F299" s="36" t="s">
        <v>145</v>
      </c>
      <c r="G299" s="37">
        <v>23</v>
      </c>
      <c r="H299" s="66">
        <v>45949</v>
      </c>
      <c r="I299" s="38">
        <f t="shared" ca="1" si="13"/>
        <v>-250</v>
      </c>
      <c r="J299" s="38" t="str">
        <f t="shared" ca="1" si="14"/>
        <v>EXPIRED</v>
      </c>
      <c r="K299" s="36" t="s">
        <v>177</v>
      </c>
      <c r="L299" s="39"/>
    </row>
    <row r="300" spans="1:12" x14ac:dyDescent="0.35">
      <c r="A300" s="34" t="str">
        <f t="shared" si="12"/>
        <v>DON-0296</v>
      </c>
      <c r="B300" s="35">
        <v>45941</v>
      </c>
      <c r="C300" s="36" t="s">
        <v>141</v>
      </c>
      <c r="D300" s="36" t="s">
        <v>142</v>
      </c>
      <c r="E300" s="36" t="s">
        <v>8</v>
      </c>
      <c r="F300" s="36" t="s">
        <v>143</v>
      </c>
      <c r="G300" s="37">
        <v>32</v>
      </c>
      <c r="H300" s="66">
        <v>45961</v>
      </c>
      <c r="I300" s="38">
        <f t="shared" ca="1" si="13"/>
        <v>-238</v>
      </c>
      <c r="J300" s="38" t="str">
        <f t="shared" ca="1" si="14"/>
        <v>EXPIRED</v>
      </c>
      <c r="K300" s="36" t="s">
        <v>177</v>
      </c>
      <c r="L300" s="39"/>
    </row>
    <row r="301" spans="1:12" x14ac:dyDescent="0.35">
      <c r="A301" s="34" t="str">
        <f t="shared" si="12"/>
        <v>DON-0297</v>
      </c>
      <c r="B301" s="35">
        <v>45941</v>
      </c>
      <c r="C301" s="36" t="s">
        <v>117</v>
      </c>
      <c r="D301" s="36" t="s">
        <v>118</v>
      </c>
      <c r="E301" s="36" t="s">
        <v>14</v>
      </c>
      <c r="F301" s="36" t="s">
        <v>119</v>
      </c>
      <c r="G301" s="37">
        <v>16</v>
      </c>
      <c r="H301" s="66">
        <v>46178</v>
      </c>
      <c r="I301" s="38">
        <f t="shared" ca="1" si="13"/>
        <v>-21</v>
      </c>
      <c r="J301" s="38" t="str">
        <f t="shared" ca="1" si="14"/>
        <v>EXPIRED</v>
      </c>
      <c r="K301" s="36" t="s">
        <v>177</v>
      </c>
      <c r="L301" s="39"/>
    </row>
    <row r="302" spans="1:12" x14ac:dyDescent="0.35">
      <c r="A302" s="34" t="str">
        <f t="shared" si="12"/>
        <v>DON-0298</v>
      </c>
      <c r="B302" s="35">
        <v>45941</v>
      </c>
      <c r="C302" s="36" t="s">
        <v>57</v>
      </c>
      <c r="D302" s="36" t="s">
        <v>58</v>
      </c>
      <c r="E302" s="36" t="s">
        <v>53</v>
      </c>
      <c r="F302" s="36" t="s">
        <v>42</v>
      </c>
      <c r="G302" s="37">
        <v>114</v>
      </c>
      <c r="H302" s="66">
        <v>46408</v>
      </c>
      <c r="I302" s="38">
        <f t="shared" ca="1" si="13"/>
        <v>209</v>
      </c>
      <c r="J302" s="38" t="str">
        <f t="shared" ca="1" si="14"/>
        <v>OK</v>
      </c>
      <c r="K302" s="36" t="s">
        <v>177</v>
      </c>
      <c r="L302" s="39"/>
    </row>
    <row r="303" spans="1:12" x14ac:dyDescent="0.35">
      <c r="A303" s="34" t="str">
        <f t="shared" si="12"/>
        <v>DON-0299</v>
      </c>
      <c r="B303" s="35">
        <v>45941</v>
      </c>
      <c r="C303" s="36" t="s">
        <v>37</v>
      </c>
      <c r="D303" s="36" t="s">
        <v>38</v>
      </c>
      <c r="E303" s="36" t="s">
        <v>31</v>
      </c>
      <c r="F303" s="36" t="s">
        <v>39</v>
      </c>
      <c r="G303" s="37">
        <v>31</v>
      </c>
      <c r="H303" s="66">
        <v>46453</v>
      </c>
      <c r="I303" s="38">
        <f t="shared" ca="1" si="13"/>
        <v>254</v>
      </c>
      <c r="J303" s="38" t="str">
        <f t="shared" ca="1" si="14"/>
        <v>OK</v>
      </c>
      <c r="K303" s="36" t="s">
        <v>177</v>
      </c>
      <c r="L303" s="39"/>
    </row>
    <row r="304" spans="1:12" x14ac:dyDescent="0.35">
      <c r="A304" s="34" t="str">
        <f t="shared" si="12"/>
        <v>DON-0300</v>
      </c>
      <c r="B304" s="35">
        <v>45941</v>
      </c>
      <c r="C304" s="36" t="s">
        <v>54</v>
      </c>
      <c r="D304" s="36" t="s">
        <v>55</v>
      </c>
      <c r="E304" s="36" t="s">
        <v>53</v>
      </c>
      <c r="F304" s="36" t="s">
        <v>56</v>
      </c>
      <c r="G304" s="37">
        <v>76</v>
      </c>
      <c r="H304" s="66">
        <v>46976</v>
      </c>
      <c r="I304" s="38">
        <f t="shared" ca="1" si="13"/>
        <v>777</v>
      </c>
      <c r="J304" s="38" t="str">
        <f t="shared" ca="1" si="14"/>
        <v>OK</v>
      </c>
      <c r="K304" s="36" t="s">
        <v>177</v>
      </c>
      <c r="L304" s="39"/>
    </row>
    <row r="305" spans="1:12" x14ac:dyDescent="0.35">
      <c r="A305" s="34" t="str">
        <f t="shared" si="12"/>
        <v>DON-0301</v>
      </c>
      <c r="B305" s="35">
        <v>45942</v>
      </c>
      <c r="C305" s="36" t="s">
        <v>128</v>
      </c>
      <c r="D305" s="36" t="s">
        <v>9</v>
      </c>
      <c r="E305" s="36" t="s">
        <v>10</v>
      </c>
      <c r="F305" s="36" t="s">
        <v>129</v>
      </c>
      <c r="G305" s="37">
        <v>32</v>
      </c>
      <c r="H305" s="66">
        <v>45949</v>
      </c>
      <c r="I305" s="38">
        <f t="shared" ca="1" si="13"/>
        <v>-250</v>
      </c>
      <c r="J305" s="38" t="str">
        <f t="shared" ca="1" si="14"/>
        <v>EXPIRED</v>
      </c>
      <c r="K305" s="36" t="s">
        <v>179</v>
      </c>
      <c r="L305" s="39"/>
    </row>
    <row r="306" spans="1:12" x14ac:dyDescent="0.35">
      <c r="A306" s="34" t="str">
        <f t="shared" si="12"/>
        <v>DON-0302</v>
      </c>
      <c r="B306" s="35">
        <v>45942</v>
      </c>
      <c r="C306" s="36" t="s">
        <v>97</v>
      </c>
      <c r="D306" s="36" t="s">
        <v>98</v>
      </c>
      <c r="E306" s="36" t="s">
        <v>93</v>
      </c>
      <c r="F306" s="36" t="s">
        <v>99</v>
      </c>
      <c r="G306" s="37">
        <v>16</v>
      </c>
      <c r="H306" s="66">
        <v>46097</v>
      </c>
      <c r="I306" s="38">
        <f t="shared" ca="1" si="13"/>
        <v>-102</v>
      </c>
      <c r="J306" s="38" t="str">
        <f t="shared" ca="1" si="14"/>
        <v>EXPIRED</v>
      </c>
      <c r="K306" s="36" t="s">
        <v>179</v>
      </c>
      <c r="L306" s="39"/>
    </row>
    <row r="307" spans="1:12" x14ac:dyDescent="0.35">
      <c r="A307" s="34" t="str">
        <f t="shared" si="12"/>
        <v>DON-0303</v>
      </c>
      <c r="B307" s="35">
        <v>45942</v>
      </c>
      <c r="C307" s="36" t="s">
        <v>157</v>
      </c>
      <c r="D307" s="36" t="s">
        <v>158</v>
      </c>
      <c r="E307" s="36" t="s">
        <v>159</v>
      </c>
      <c r="F307" s="36" t="s">
        <v>160</v>
      </c>
      <c r="G307" s="37">
        <v>28</v>
      </c>
      <c r="H307" s="66">
        <v>46122</v>
      </c>
      <c r="I307" s="38">
        <f t="shared" ca="1" si="13"/>
        <v>-77</v>
      </c>
      <c r="J307" s="38" t="str">
        <f t="shared" ca="1" si="14"/>
        <v>EXPIRED</v>
      </c>
      <c r="K307" s="36" t="s">
        <v>179</v>
      </c>
      <c r="L307" s="39"/>
    </row>
    <row r="308" spans="1:12" x14ac:dyDescent="0.35">
      <c r="A308" s="34" t="str">
        <f t="shared" si="12"/>
        <v>DON-0304</v>
      </c>
      <c r="B308" s="35">
        <v>45942</v>
      </c>
      <c r="C308" s="36" t="s">
        <v>88</v>
      </c>
      <c r="D308" s="36" t="s">
        <v>89</v>
      </c>
      <c r="E308" s="36" t="s">
        <v>74</v>
      </c>
      <c r="F308" s="36" t="s">
        <v>90</v>
      </c>
      <c r="G308" s="37">
        <v>40</v>
      </c>
      <c r="H308" s="66">
        <v>46145</v>
      </c>
      <c r="I308" s="38">
        <f t="shared" ca="1" si="13"/>
        <v>-54</v>
      </c>
      <c r="J308" s="38" t="str">
        <f t="shared" ca="1" si="14"/>
        <v>EXPIRED</v>
      </c>
      <c r="K308" s="36" t="s">
        <v>179</v>
      </c>
      <c r="L308" s="39"/>
    </row>
    <row r="309" spans="1:12" x14ac:dyDescent="0.35">
      <c r="A309" s="34" t="str">
        <f t="shared" si="12"/>
        <v>DON-0305</v>
      </c>
      <c r="B309" s="35">
        <v>45942</v>
      </c>
      <c r="C309" s="36" t="s">
        <v>125</v>
      </c>
      <c r="D309" s="36" t="s">
        <v>126</v>
      </c>
      <c r="E309" s="36" t="s">
        <v>14</v>
      </c>
      <c r="F309" s="36" t="s">
        <v>127</v>
      </c>
      <c r="G309" s="37">
        <v>21</v>
      </c>
      <c r="H309" s="66">
        <v>47391</v>
      </c>
      <c r="I309" s="38">
        <f t="shared" ca="1" si="13"/>
        <v>1192</v>
      </c>
      <c r="J309" s="38" t="str">
        <f t="shared" ca="1" si="14"/>
        <v>OK</v>
      </c>
      <c r="K309" s="36" t="s">
        <v>179</v>
      </c>
      <c r="L309" s="39"/>
    </row>
    <row r="310" spans="1:12" x14ac:dyDescent="0.35">
      <c r="A310" s="34" t="str">
        <f t="shared" si="12"/>
        <v>DON-0306</v>
      </c>
      <c r="B310" s="35">
        <v>45943</v>
      </c>
      <c r="C310" s="36" t="s">
        <v>156</v>
      </c>
      <c r="D310" s="36" t="s">
        <v>11</v>
      </c>
      <c r="E310" s="36" t="s">
        <v>12</v>
      </c>
      <c r="F310" s="36" t="s">
        <v>155</v>
      </c>
      <c r="G310" s="37">
        <v>26</v>
      </c>
      <c r="H310" s="66">
        <v>45948</v>
      </c>
      <c r="I310" s="38">
        <f t="shared" ca="1" si="13"/>
        <v>-251</v>
      </c>
      <c r="J310" s="38" t="str">
        <f t="shared" ca="1" si="14"/>
        <v>EXPIRED</v>
      </c>
      <c r="K310" s="36" t="s">
        <v>175</v>
      </c>
      <c r="L310" s="39"/>
    </row>
    <row r="311" spans="1:12" x14ac:dyDescent="0.35">
      <c r="A311" s="34" t="str">
        <f t="shared" si="12"/>
        <v>DON-0307</v>
      </c>
      <c r="B311" s="35">
        <v>45943</v>
      </c>
      <c r="C311" s="36" t="s">
        <v>48</v>
      </c>
      <c r="D311" s="36" t="s">
        <v>49</v>
      </c>
      <c r="E311" s="36" t="s">
        <v>31</v>
      </c>
      <c r="F311" s="36" t="s">
        <v>50</v>
      </c>
      <c r="G311" s="37">
        <v>33</v>
      </c>
      <c r="H311" s="66">
        <v>46267</v>
      </c>
      <c r="I311" s="38">
        <f t="shared" ca="1" si="13"/>
        <v>68</v>
      </c>
      <c r="J311" s="38" t="str">
        <f t="shared" ca="1" si="14"/>
        <v>OK</v>
      </c>
      <c r="K311" s="36" t="s">
        <v>175</v>
      </c>
      <c r="L311" s="39"/>
    </row>
    <row r="312" spans="1:12" x14ac:dyDescent="0.35">
      <c r="A312" s="34" t="str">
        <f t="shared" si="12"/>
        <v>DON-0308</v>
      </c>
      <c r="B312" s="35">
        <v>45943</v>
      </c>
      <c r="C312" s="36" t="s">
        <v>106</v>
      </c>
      <c r="D312" s="36" t="s">
        <v>107</v>
      </c>
      <c r="E312" s="36" t="s">
        <v>102</v>
      </c>
      <c r="F312" s="36" t="s">
        <v>108</v>
      </c>
      <c r="G312" s="37">
        <v>45</v>
      </c>
      <c r="H312" s="66">
        <v>46337</v>
      </c>
      <c r="I312" s="38">
        <f t="shared" ca="1" si="13"/>
        <v>138</v>
      </c>
      <c r="J312" s="38" t="str">
        <f t="shared" ca="1" si="14"/>
        <v>OK</v>
      </c>
      <c r="K312" s="36" t="s">
        <v>175</v>
      </c>
      <c r="L312" s="39"/>
    </row>
    <row r="313" spans="1:12" x14ac:dyDescent="0.35">
      <c r="A313" s="34" t="str">
        <f t="shared" si="12"/>
        <v>DON-0309</v>
      </c>
      <c r="B313" s="35">
        <v>45943</v>
      </c>
      <c r="C313" s="36" t="s">
        <v>46</v>
      </c>
      <c r="D313" s="36" t="s">
        <v>47</v>
      </c>
      <c r="E313" s="36" t="s">
        <v>31</v>
      </c>
      <c r="F313" s="36" t="s">
        <v>42</v>
      </c>
      <c r="G313" s="37">
        <v>59</v>
      </c>
      <c r="H313" s="66">
        <v>47018</v>
      </c>
      <c r="I313" s="38">
        <f t="shared" ca="1" si="13"/>
        <v>819</v>
      </c>
      <c r="J313" s="38" t="str">
        <f t="shared" ca="1" si="14"/>
        <v>OK</v>
      </c>
      <c r="K313" s="36" t="s">
        <v>175</v>
      </c>
      <c r="L313" s="39"/>
    </row>
    <row r="314" spans="1:12" x14ac:dyDescent="0.35">
      <c r="A314" s="34" t="str">
        <f t="shared" si="12"/>
        <v>DON-0310</v>
      </c>
      <c r="B314" s="35">
        <v>45946</v>
      </c>
      <c r="C314" s="36" t="s">
        <v>144</v>
      </c>
      <c r="D314" s="36" t="s">
        <v>7</v>
      </c>
      <c r="E314" s="36" t="s">
        <v>8</v>
      </c>
      <c r="F314" s="36" t="s">
        <v>145</v>
      </c>
      <c r="G314" s="37">
        <v>34</v>
      </c>
      <c r="H314" s="66">
        <v>45953</v>
      </c>
      <c r="I314" s="38">
        <f t="shared" ca="1" si="13"/>
        <v>-246</v>
      </c>
      <c r="J314" s="38" t="str">
        <f t="shared" ca="1" si="14"/>
        <v>EXPIRED</v>
      </c>
      <c r="K314" s="36" t="s">
        <v>180</v>
      </c>
      <c r="L314" s="39"/>
    </row>
    <row r="315" spans="1:12" x14ac:dyDescent="0.35">
      <c r="A315" s="34" t="str">
        <f t="shared" si="12"/>
        <v>DON-0311</v>
      </c>
      <c r="B315" s="35">
        <v>45946</v>
      </c>
      <c r="C315" s="36" t="s">
        <v>138</v>
      </c>
      <c r="D315" s="36" t="s">
        <v>139</v>
      </c>
      <c r="E315" s="36" t="s">
        <v>6</v>
      </c>
      <c r="F315" s="36" t="s">
        <v>140</v>
      </c>
      <c r="G315" s="37">
        <v>41</v>
      </c>
      <c r="H315" s="66">
        <v>45970</v>
      </c>
      <c r="I315" s="38">
        <f t="shared" ca="1" si="13"/>
        <v>-229</v>
      </c>
      <c r="J315" s="38" t="str">
        <f t="shared" ca="1" si="14"/>
        <v>EXPIRED</v>
      </c>
      <c r="K315" s="36" t="s">
        <v>180</v>
      </c>
      <c r="L315" s="39"/>
    </row>
    <row r="316" spans="1:12" x14ac:dyDescent="0.35">
      <c r="A316" s="34" t="str">
        <f t="shared" si="12"/>
        <v>DON-0312</v>
      </c>
      <c r="B316" s="35">
        <v>45946</v>
      </c>
      <c r="C316" s="36" t="s">
        <v>157</v>
      </c>
      <c r="D316" s="36" t="s">
        <v>158</v>
      </c>
      <c r="E316" s="36" t="s">
        <v>159</v>
      </c>
      <c r="F316" s="36" t="s">
        <v>160</v>
      </c>
      <c r="G316" s="37">
        <v>24</v>
      </c>
      <c r="H316" s="66">
        <v>46155</v>
      </c>
      <c r="I316" s="38">
        <f t="shared" ca="1" si="13"/>
        <v>-44</v>
      </c>
      <c r="J316" s="38" t="str">
        <f t="shared" ca="1" si="14"/>
        <v>EXPIRED</v>
      </c>
      <c r="K316" s="36" t="s">
        <v>180</v>
      </c>
      <c r="L316" s="39"/>
    </row>
    <row r="317" spans="1:12" x14ac:dyDescent="0.35">
      <c r="A317" s="34" t="str">
        <f t="shared" si="12"/>
        <v>DON-0313</v>
      </c>
      <c r="B317" s="35">
        <v>45946</v>
      </c>
      <c r="C317" s="36" t="s">
        <v>76</v>
      </c>
      <c r="D317" s="36" t="s">
        <v>77</v>
      </c>
      <c r="E317" s="36" t="s">
        <v>74</v>
      </c>
      <c r="F317" s="36" t="s">
        <v>75</v>
      </c>
      <c r="G317" s="37">
        <v>59</v>
      </c>
      <c r="H317" s="66">
        <v>46240</v>
      </c>
      <c r="I317" s="38">
        <f t="shared" ca="1" si="13"/>
        <v>41</v>
      </c>
      <c r="J317" s="38" t="str">
        <f t="shared" ca="1" si="14"/>
        <v>OK</v>
      </c>
      <c r="K317" s="36" t="s">
        <v>180</v>
      </c>
      <c r="L317" s="39"/>
    </row>
    <row r="318" spans="1:12" x14ac:dyDescent="0.35">
      <c r="A318" s="34" t="str">
        <f t="shared" si="12"/>
        <v>DON-0314</v>
      </c>
      <c r="B318" s="35">
        <v>45946</v>
      </c>
      <c r="C318" s="36" t="s">
        <v>111</v>
      </c>
      <c r="D318" s="36" t="s">
        <v>112</v>
      </c>
      <c r="E318" s="36" t="s">
        <v>102</v>
      </c>
      <c r="F318" s="36" t="s">
        <v>113</v>
      </c>
      <c r="G318" s="37">
        <v>60</v>
      </c>
      <c r="H318" s="66">
        <v>46386</v>
      </c>
      <c r="I318" s="38">
        <f t="shared" ca="1" si="13"/>
        <v>187</v>
      </c>
      <c r="J318" s="38" t="str">
        <f t="shared" ca="1" si="14"/>
        <v>OK</v>
      </c>
      <c r="K318" s="36" t="s">
        <v>180</v>
      </c>
      <c r="L318" s="39"/>
    </row>
    <row r="319" spans="1:12" x14ac:dyDescent="0.35">
      <c r="A319" s="34" t="str">
        <f t="shared" si="12"/>
        <v>DON-0315</v>
      </c>
      <c r="B319" s="35">
        <v>45946</v>
      </c>
      <c r="C319" s="36" t="s">
        <v>29</v>
      </c>
      <c r="D319" s="36" t="s">
        <v>30</v>
      </c>
      <c r="E319" s="36" t="s">
        <v>31</v>
      </c>
      <c r="F319" s="36" t="s">
        <v>32</v>
      </c>
      <c r="G319" s="37">
        <v>72</v>
      </c>
      <c r="H319" s="66">
        <v>46745</v>
      </c>
      <c r="I319" s="38">
        <f t="shared" ca="1" si="13"/>
        <v>546</v>
      </c>
      <c r="J319" s="38" t="str">
        <f t="shared" ca="1" si="14"/>
        <v>OK</v>
      </c>
      <c r="K319" s="36" t="s">
        <v>180</v>
      </c>
      <c r="L319" s="39"/>
    </row>
    <row r="320" spans="1:12" x14ac:dyDescent="0.35">
      <c r="A320" s="34" t="str">
        <f t="shared" si="12"/>
        <v>DON-0316</v>
      </c>
      <c r="B320" s="35">
        <v>45947</v>
      </c>
      <c r="C320" s="36" t="s">
        <v>72</v>
      </c>
      <c r="D320" s="36" t="s">
        <v>73</v>
      </c>
      <c r="E320" s="36" t="s">
        <v>74</v>
      </c>
      <c r="F320" s="36" t="s">
        <v>75</v>
      </c>
      <c r="G320" s="37">
        <v>46</v>
      </c>
      <c r="H320" s="66">
        <v>46385</v>
      </c>
      <c r="I320" s="38">
        <f t="shared" ca="1" si="13"/>
        <v>186</v>
      </c>
      <c r="J320" s="38" t="str">
        <f t="shared" ca="1" si="14"/>
        <v>OK</v>
      </c>
      <c r="K320" s="36" t="s">
        <v>178</v>
      </c>
      <c r="L320" s="39"/>
    </row>
    <row r="321" spans="1:12" x14ac:dyDescent="0.35">
      <c r="A321" s="34" t="str">
        <f t="shared" si="12"/>
        <v>DON-0317</v>
      </c>
      <c r="B321" s="35">
        <v>45947</v>
      </c>
      <c r="C321" s="36" t="s">
        <v>57</v>
      </c>
      <c r="D321" s="36" t="s">
        <v>58</v>
      </c>
      <c r="E321" s="36" t="s">
        <v>53</v>
      </c>
      <c r="F321" s="36" t="s">
        <v>42</v>
      </c>
      <c r="G321" s="37">
        <v>54</v>
      </c>
      <c r="H321" s="66">
        <v>46392</v>
      </c>
      <c r="I321" s="38">
        <f t="shared" ca="1" si="13"/>
        <v>193</v>
      </c>
      <c r="J321" s="38" t="str">
        <f t="shared" ca="1" si="14"/>
        <v>OK</v>
      </c>
      <c r="K321" s="36" t="s">
        <v>178</v>
      </c>
      <c r="L321" s="39"/>
    </row>
    <row r="322" spans="1:12" x14ac:dyDescent="0.35">
      <c r="A322" s="34" t="str">
        <f t="shared" si="12"/>
        <v>DON-0318</v>
      </c>
      <c r="B322" s="35">
        <v>45947</v>
      </c>
      <c r="C322" s="36" t="s">
        <v>106</v>
      </c>
      <c r="D322" s="36" t="s">
        <v>107</v>
      </c>
      <c r="E322" s="36" t="s">
        <v>102</v>
      </c>
      <c r="F322" s="36" t="s">
        <v>108</v>
      </c>
      <c r="G322" s="37">
        <v>61</v>
      </c>
      <c r="H322" s="66">
        <v>46496</v>
      </c>
      <c r="I322" s="38">
        <f t="shared" ca="1" si="13"/>
        <v>297</v>
      </c>
      <c r="J322" s="38" t="str">
        <f t="shared" ca="1" si="14"/>
        <v>OK</v>
      </c>
      <c r="K322" s="36" t="s">
        <v>178</v>
      </c>
      <c r="L322" s="39"/>
    </row>
    <row r="323" spans="1:12" x14ac:dyDescent="0.35">
      <c r="A323" s="34" t="str">
        <f t="shared" si="12"/>
        <v>DON-0319</v>
      </c>
      <c r="B323" s="35">
        <v>45947</v>
      </c>
      <c r="C323" s="36" t="s">
        <v>104</v>
      </c>
      <c r="D323" s="36" t="s">
        <v>105</v>
      </c>
      <c r="E323" s="36" t="s">
        <v>102</v>
      </c>
      <c r="F323" s="36" t="s">
        <v>103</v>
      </c>
      <c r="G323" s="37">
        <v>57</v>
      </c>
      <c r="H323" s="66">
        <v>46909</v>
      </c>
      <c r="I323" s="38">
        <f t="shared" ca="1" si="13"/>
        <v>710</v>
      </c>
      <c r="J323" s="38" t="str">
        <f t="shared" ca="1" si="14"/>
        <v>OK</v>
      </c>
      <c r="K323" s="36" t="s">
        <v>178</v>
      </c>
      <c r="L323" s="39"/>
    </row>
    <row r="324" spans="1:12" x14ac:dyDescent="0.35">
      <c r="A324" s="34" t="str">
        <f t="shared" si="12"/>
        <v>DON-0320</v>
      </c>
      <c r="B324" s="35">
        <v>45947</v>
      </c>
      <c r="C324" s="36" t="s">
        <v>122</v>
      </c>
      <c r="D324" s="36" t="s">
        <v>123</v>
      </c>
      <c r="E324" s="36" t="s">
        <v>14</v>
      </c>
      <c r="F324" s="36" t="s">
        <v>124</v>
      </c>
      <c r="G324" s="37">
        <v>17</v>
      </c>
      <c r="H324" s="66">
        <v>47048</v>
      </c>
      <c r="I324" s="38">
        <f t="shared" ca="1" si="13"/>
        <v>849</v>
      </c>
      <c r="J324" s="38" t="str">
        <f t="shared" ca="1" si="14"/>
        <v>OK</v>
      </c>
      <c r="K324" s="36" t="s">
        <v>178</v>
      </c>
      <c r="L324" s="39"/>
    </row>
    <row r="325" spans="1:12" x14ac:dyDescent="0.35">
      <c r="A325" s="34" t="str">
        <f t="shared" ref="A325:A388" si="15">IF(G325="","","DON-"&amp;TEXT(ROW()-4,"0000"))</f>
        <v>DON-0321</v>
      </c>
      <c r="B325" s="35">
        <v>45952</v>
      </c>
      <c r="C325" s="36" t="s">
        <v>135</v>
      </c>
      <c r="D325" s="36" t="s">
        <v>5</v>
      </c>
      <c r="E325" s="36" t="s">
        <v>6</v>
      </c>
      <c r="F325" s="36" t="s">
        <v>136</v>
      </c>
      <c r="G325" s="37">
        <v>33</v>
      </c>
      <c r="H325" s="66">
        <v>45959</v>
      </c>
      <c r="I325" s="38">
        <f t="shared" ref="I325:I388" ca="1" si="16">IF(H325="","",H325-TODAY())</f>
        <v>-240</v>
      </c>
      <c r="J325" s="38" t="str">
        <f t="shared" ref="J325:J388" ca="1" si="17">IF(I325="","",IF(I325&lt;=0,"EXPIRED",IF(I325&lt;=3,"CRITICAL",IF(I325&lt;=7,"WARNING",IF(I325&lt;=30,"NOTICE","OK")))))</f>
        <v>EXPIRED</v>
      </c>
      <c r="K325" s="36" t="s">
        <v>176</v>
      </c>
      <c r="L325" s="39"/>
    </row>
    <row r="326" spans="1:12" x14ac:dyDescent="0.35">
      <c r="A326" s="34" t="str">
        <f t="shared" si="15"/>
        <v>DON-0322</v>
      </c>
      <c r="B326" s="35">
        <v>45952</v>
      </c>
      <c r="C326" s="36" t="s">
        <v>156</v>
      </c>
      <c r="D326" s="36" t="s">
        <v>11</v>
      </c>
      <c r="E326" s="36" t="s">
        <v>12</v>
      </c>
      <c r="F326" s="36" t="s">
        <v>155</v>
      </c>
      <c r="G326" s="37">
        <v>24</v>
      </c>
      <c r="H326" s="66">
        <v>45965</v>
      </c>
      <c r="I326" s="38">
        <f t="shared" ca="1" si="16"/>
        <v>-234</v>
      </c>
      <c r="J326" s="38" t="str">
        <f t="shared" ca="1" si="17"/>
        <v>EXPIRED</v>
      </c>
      <c r="K326" s="36" t="s">
        <v>176</v>
      </c>
      <c r="L326" s="39"/>
    </row>
    <row r="327" spans="1:12" x14ac:dyDescent="0.35">
      <c r="A327" s="34" t="str">
        <f t="shared" si="15"/>
        <v>DON-0323</v>
      </c>
      <c r="B327" s="35">
        <v>45952</v>
      </c>
      <c r="C327" s="36" t="s">
        <v>153</v>
      </c>
      <c r="D327" s="36" t="s">
        <v>154</v>
      </c>
      <c r="E327" s="36" t="s">
        <v>12</v>
      </c>
      <c r="F327" s="36" t="s">
        <v>155</v>
      </c>
      <c r="G327" s="37">
        <v>27</v>
      </c>
      <c r="H327" s="66">
        <v>46081</v>
      </c>
      <c r="I327" s="38">
        <f t="shared" ca="1" si="16"/>
        <v>-118</v>
      </c>
      <c r="J327" s="38" t="str">
        <f t="shared" ca="1" si="17"/>
        <v>EXPIRED</v>
      </c>
      <c r="K327" s="36" t="s">
        <v>176</v>
      </c>
      <c r="L327" s="39"/>
    </row>
    <row r="328" spans="1:12" x14ac:dyDescent="0.35">
      <c r="A328" s="34" t="str">
        <f t="shared" si="15"/>
        <v>DON-0324</v>
      </c>
      <c r="B328" s="35">
        <v>45952</v>
      </c>
      <c r="C328" s="36" t="s">
        <v>91</v>
      </c>
      <c r="D328" s="36" t="s">
        <v>92</v>
      </c>
      <c r="E328" s="36" t="s">
        <v>93</v>
      </c>
      <c r="F328" s="36" t="s">
        <v>85</v>
      </c>
      <c r="G328" s="37">
        <v>36</v>
      </c>
      <c r="H328" s="66">
        <v>46152</v>
      </c>
      <c r="I328" s="38">
        <f t="shared" ca="1" si="16"/>
        <v>-47</v>
      </c>
      <c r="J328" s="38" t="str">
        <f t="shared" ca="1" si="17"/>
        <v>EXPIRED</v>
      </c>
      <c r="K328" s="36" t="s">
        <v>176</v>
      </c>
      <c r="L328" s="39"/>
    </row>
    <row r="329" spans="1:12" x14ac:dyDescent="0.35">
      <c r="A329" s="34" t="str">
        <f t="shared" si="15"/>
        <v>DON-0325</v>
      </c>
      <c r="B329" s="35">
        <v>45952</v>
      </c>
      <c r="C329" s="36" t="s">
        <v>117</v>
      </c>
      <c r="D329" s="36" t="s">
        <v>118</v>
      </c>
      <c r="E329" s="36" t="s">
        <v>14</v>
      </c>
      <c r="F329" s="36" t="s">
        <v>119</v>
      </c>
      <c r="G329" s="37">
        <v>11</v>
      </c>
      <c r="H329" s="66">
        <v>46266</v>
      </c>
      <c r="I329" s="38">
        <f t="shared" ca="1" si="16"/>
        <v>67</v>
      </c>
      <c r="J329" s="38" t="str">
        <f t="shared" ca="1" si="17"/>
        <v>OK</v>
      </c>
      <c r="K329" s="36" t="s">
        <v>176</v>
      </c>
      <c r="L329" s="39"/>
    </row>
    <row r="330" spans="1:12" x14ac:dyDescent="0.35">
      <c r="A330" s="34" t="str">
        <f t="shared" si="15"/>
        <v>DON-0326</v>
      </c>
      <c r="B330" s="35">
        <v>45952</v>
      </c>
      <c r="C330" s="36" t="s">
        <v>69</v>
      </c>
      <c r="D330" s="36" t="s">
        <v>70</v>
      </c>
      <c r="E330" s="36" t="s">
        <v>66</v>
      </c>
      <c r="F330" s="36" t="s">
        <v>71</v>
      </c>
      <c r="G330" s="37">
        <v>62</v>
      </c>
      <c r="H330" s="66">
        <v>46457</v>
      </c>
      <c r="I330" s="38">
        <f t="shared" ca="1" si="16"/>
        <v>258</v>
      </c>
      <c r="J330" s="38" t="str">
        <f t="shared" ca="1" si="17"/>
        <v>OK</v>
      </c>
      <c r="K330" s="36" t="s">
        <v>176</v>
      </c>
      <c r="L330" s="39"/>
    </row>
    <row r="331" spans="1:12" x14ac:dyDescent="0.35">
      <c r="A331" s="34" t="str">
        <f t="shared" si="15"/>
        <v>DON-0327</v>
      </c>
      <c r="B331" s="35">
        <v>45952</v>
      </c>
      <c r="C331" s="36" t="s">
        <v>81</v>
      </c>
      <c r="D331" s="36" t="s">
        <v>82</v>
      </c>
      <c r="E331" s="36" t="s">
        <v>74</v>
      </c>
      <c r="F331" s="36" t="s">
        <v>80</v>
      </c>
      <c r="G331" s="37">
        <v>51</v>
      </c>
      <c r="H331" s="66">
        <v>46532</v>
      </c>
      <c r="I331" s="38">
        <f t="shared" ca="1" si="16"/>
        <v>333</v>
      </c>
      <c r="J331" s="38" t="str">
        <f t="shared" ca="1" si="17"/>
        <v>OK</v>
      </c>
      <c r="K331" s="36" t="s">
        <v>176</v>
      </c>
      <c r="L331" s="39"/>
    </row>
    <row r="332" spans="1:12" x14ac:dyDescent="0.35">
      <c r="A332" s="34" t="str">
        <f t="shared" si="15"/>
        <v>DON-0328</v>
      </c>
      <c r="B332" s="35">
        <v>45955</v>
      </c>
      <c r="C332" s="36" t="s">
        <v>97</v>
      </c>
      <c r="D332" s="36" t="s">
        <v>98</v>
      </c>
      <c r="E332" s="36" t="s">
        <v>93</v>
      </c>
      <c r="F332" s="36" t="s">
        <v>99</v>
      </c>
      <c r="G332" s="37">
        <v>27</v>
      </c>
      <c r="H332" s="66">
        <v>46060</v>
      </c>
      <c r="I332" s="38">
        <f t="shared" ca="1" si="16"/>
        <v>-139</v>
      </c>
      <c r="J332" s="38" t="str">
        <f t="shared" ca="1" si="17"/>
        <v>EXPIRED</v>
      </c>
      <c r="K332" s="36" t="s">
        <v>175</v>
      </c>
      <c r="L332" s="39"/>
    </row>
    <row r="333" spans="1:12" x14ac:dyDescent="0.35">
      <c r="A333" s="34" t="str">
        <f t="shared" si="15"/>
        <v>DON-0329</v>
      </c>
      <c r="B333" s="35">
        <v>45955</v>
      </c>
      <c r="C333" s="36" t="s">
        <v>114</v>
      </c>
      <c r="D333" s="36" t="s">
        <v>13</v>
      </c>
      <c r="E333" s="36" t="s">
        <v>14</v>
      </c>
      <c r="F333" s="36" t="s">
        <v>115</v>
      </c>
      <c r="G333" s="37">
        <v>16</v>
      </c>
      <c r="H333" s="66">
        <v>46255</v>
      </c>
      <c r="I333" s="38">
        <f t="shared" ca="1" si="16"/>
        <v>56</v>
      </c>
      <c r="J333" s="38" t="str">
        <f t="shared" ca="1" si="17"/>
        <v>OK</v>
      </c>
      <c r="K333" s="36" t="s">
        <v>175</v>
      </c>
      <c r="L333" s="39"/>
    </row>
    <row r="334" spans="1:12" x14ac:dyDescent="0.35">
      <c r="A334" s="34" t="str">
        <f t="shared" si="15"/>
        <v>DON-0330</v>
      </c>
      <c r="B334" s="35">
        <v>45955</v>
      </c>
      <c r="C334" s="36" t="s">
        <v>48</v>
      </c>
      <c r="D334" s="36" t="s">
        <v>49</v>
      </c>
      <c r="E334" s="36" t="s">
        <v>31</v>
      </c>
      <c r="F334" s="36" t="s">
        <v>50</v>
      </c>
      <c r="G334" s="37">
        <v>49</v>
      </c>
      <c r="H334" s="66">
        <v>46288</v>
      </c>
      <c r="I334" s="38">
        <f t="shared" ca="1" si="16"/>
        <v>89</v>
      </c>
      <c r="J334" s="38" t="str">
        <f t="shared" ca="1" si="17"/>
        <v>OK</v>
      </c>
      <c r="K334" s="36" t="s">
        <v>175</v>
      </c>
      <c r="L334" s="39"/>
    </row>
    <row r="335" spans="1:12" x14ac:dyDescent="0.35">
      <c r="A335" s="34" t="str">
        <f t="shared" si="15"/>
        <v>DON-0331</v>
      </c>
      <c r="B335" s="35">
        <v>45955</v>
      </c>
      <c r="C335" s="36" t="s">
        <v>72</v>
      </c>
      <c r="D335" s="36" t="s">
        <v>73</v>
      </c>
      <c r="E335" s="36" t="s">
        <v>74</v>
      </c>
      <c r="F335" s="36" t="s">
        <v>75</v>
      </c>
      <c r="G335" s="37">
        <v>48</v>
      </c>
      <c r="H335" s="66">
        <v>46338</v>
      </c>
      <c r="I335" s="38">
        <f t="shared" ca="1" si="16"/>
        <v>139</v>
      </c>
      <c r="J335" s="38" t="str">
        <f t="shared" ca="1" si="17"/>
        <v>OK</v>
      </c>
      <c r="K335" s="36" t="s">
        <v>175</v>
      </c>
      <c r="L335" s="39"/>
    </row>
    <row r="336" spans="1:12" x14ac:dyDescent="0.35">
      <c r="A336" s="34" t="str">
        <f t="shared" si="15"/>
        <v>DON-0332</v>
      </c>
      <c r="B336" s="35">
        <v>45956</v>
      </c>
      <c r="C336" s="36" t="s">
        <v>161</v>
      </c>
      <c r="D336" s="36" t="s">
        <v>162</v>
      </c>
      <c r="E336" s="36" t="s">
        <v>159</v>
      </c>
      <c r="F336" s="36" t="s">
        <v>163</v>
      </c>
      <c r="G336" s="37">
        <v>38</v>
      </c>
      <c r="H336" s="66">
        <v>46271</v>
      </c>
      <c r="I336" s="38">
        <f t="shared" ca="1" si="16"/>
        <v>72</v>
      </c>
      <c r="J336" s="38" t="str">
        <f t="shared" ca="1" si="17"/>
        <v>OK</v>
      </c>
      <c r="K336" s="36" t="s">
        <v>178</v>
      </c>
      <c r="L336" s="39"/>
    </row>
    <row r="337" spans="1:12" x14ac:dyDescent="0.35">
      <c r="A337" s="34" t="str">
        <f t="shared" si="15"/>
        <v>DON-0333</v>
      </c>
      <c r="B337" s="35">
        <v>45956</v>
      </c>
      <c r="C337" s="36" t="s">
        <v>86</v>
      </c>
      <c r="D337" s="36" t="s">
        <v>87</v>
      </c>
      <c r="E337" s="36" t="s">
        <v>74</v>
      </c>
      <c r="F337" s="36" t="s">
        <v>75</v>
      </c>
      <c r="G337" s="37">
        <v>60</v>
      </c>
      <c r="H337" s="66">
        <v>46318</v>
      </c>
      <c r="I337" s="38">
        <f t="shared" ca="1" si="16"/>
        <v>119</v>
      </c>
      <c r="J337" s="38" t="str">
        <f t="shared" ca="1" si="17"/>
        <v>OK</v>
      </c>
      <c r="K337" s="36" t="s">
        <v>178</v>
      </c>
      <c r="L337" s="39"/>
    </row>
    <row r="338" spans="1:12" x14ac:dyDescent="0.35">
      <c r="A338" s="34" t="str">
        <f t="shared" si="15"/>
        <v>DON-0334</v>
      </c>
      <c r="B338" s="35">
        <v>45956</v>
      </c>
      <c r="C338" s="36" t="s">
        <v>81</v>
      </c>
      <c r="D338" s="36" t="s">
        <v>82</v>
      </c>
      <c r="E338" s="36" t="s">
        <v>74</v>
      </c>
      <c r="F338" s="36" t="s">
        <v>80</v>
      </c>
      <c r="G338" s="37">
        <v>56</v>
      </c>
      <c r="H338" s="66">
        <v>46330</v>
      </c>
      <c r="I338" s="38">
        <f t="shared" ca="1" si="16"/>
        <v>131</v>
      </c>
      <c r="J338" s="38" t="str">
        <f t="shared" ca="1" si="17"/>
        <v>OK</v>
      </c>
      <c r="K338" s="36" t="s">
        <v>178</v>
      </c>
      <c r="L338" s="39"/>
    </row>
    <row r="339" spans="1:12" x14ac:dyDescent="0.35">
      <c r="A339" s="34" t="str">
        <f t="shared" si="15"/>
        <v>DON-0335</v>
      </c>
      <c r="B339" s="35">
        <v>45956</v>
      </c>
      <c r="C339" s="36" t="s">
        <v>46</v>
      </c>
      <c r="D339" s="36" t="s">
        <v>47</v>
      </c>
      <c r="E339" s="36" t="s">
        <v>31</v>
      </c>
      <c r="F339" s="36" t="s">
        <v>42</v>
      </c>
      <c r="G339" s="37">
        <v>65</v>
      </c>
      <c r="H339" s="66">
        <v>46600</v>
      </c>
      <c r="I339" s="38">
        <f t="shared" ca="1" si="16"/>
        <v>401</v>
      </c>
      <c r="J339" s="38" t="str">
        <f t="shared" ca="1" si="17"/>
        <v>OK</v>
      </c>
      <c r="K339" s="36" t="s">
        <v>178</v>
      </c>
      <c r="L339" s="39"/>
    </row>
    <row r="340" spans="1:12" x14ac:dyDescent="0.35">
      <c r="A340" s="34" t="str">
        <f t="shared" si="15"/>
        <v>DON-0336</v>
      </c>
      <c r="B340" s="35">
        <v>45956</v>
      </c>
      <c r="C340" s="36" t="s">
        <v>104</v>
      </c>
      <c r="D340" s="36" t="s">
        <v>105</v>
      </c>
      <c r="E340" s="36" t="s">
        <v>102</v>
      </c>
      <c r="F340" s="36" t="s">
        <v>103</v>
      </c>
      <c r="G340" s="37">
        <v>56</v>
      </c>
      <c r="H340" s="66">
        <v>46623</v>
      </c>
      <c r="I340" s="38">
        <f t="shared" ca="1" si="16"/>
        <v>424</v>
      </c>
      <c r="J340" s="38" t="str">
        <f t="shared" ca="1" si="17"/>
        <v>OK</v>
      </c>
      <c r="K340" s="36" t="s">
        <v>178</v>
      </c>
      <c r="L340" s="39"/>
    </row>
    <row r="341" spans="1:12" x14ac:dyDescent="0.35">
      <c r="A341" s="34" t="str">
        <f t="shared" si="15"/>
        <v>DON-0337</v>
      </c>
      <c r="B341" s="35">
        <v>45956</v>
      </c>
      <c r="C341" s="36" t="s">
        <v>61</v>
      </c>
      <c r="D341" s="36" t="s">
        <v>62</v>
      </c>
      <c r="E341" s="36" t="s">
        <v>53</v>
      </c>
      <c r="F341" s="36" t="s">
        <v>42</v>
      </c>
      <c r="G341" s="37">
        <v>105</v>
      </c>
      <c r="H341" s="66">
        <v>46667</v>
      </c>
      <c r="I341" s="38">
        <f t="shared" ca="1" si="16"/>
        <v>468</v>
      </c>
      <c r="J341" s="38" t="str">
        <f t="shared" ca="1" si="17"/>
        <v>OK</v>
      </c>
      <c r="K341" s="36" t="s">
        <v>178</v>
      </c>
      <c r="L341" s="39"/>
    </row>
    <row r="342" spans="1:12" x14ac:dyDescent="0.35">
      <c r="A342" s="34" t="str">
        <f t="shared" si="15"/>
        <v>DON-0338</v>
      </c>
      <c r="B342" s="35">
        <v>45956</v>
      </c>
      <c r="C342" s="36" t="s">
        <v>54</v>
      </c>
      <c r="D342" s="36" t="s">
        <v>55</v>
      </c>
      <c r="E342" s="36" t="s">
        <v>53</v>
      </c>
      <c r="F342" s="36" t="s">
        <v>56</v>
      </c>
      <c r="G342" s="37">
        <v>109</v>
      </c>
      <c r="H342" s="66">
        <v>46695</v>
      </c>
      <c r="I342" s="38">
        <f t="shared" ca="1" si="16"/>
        <v>496</v>
      </c>
      <c r="J342" s="38" t="str">
        <f t="shared" ca="1" si="17"/>
        <v>OK</v>
      </c>
      <c r="K342" s="36" t="s">
        <v>178</v>
      </c>
      <c r="L342" s="39"/>
    </row>
    <row r="343" spans="1:12" x14ac:dyDescent="0.35">
      <c r="A343" s="34" t="str">
        <f t="shared" si="15"/>
        <v>DON-0339</v>
      </c>
      <c r="B343" s="35">
        <v>45956</v>
      </c>
      <c r="C343" s="36" t="s">
        <v>64</v>
      </c>
      <c r="D343" s="36" t="s">
        <v>65</v>
      </c>
      <c r="E343" s="36" t="s">
        <v>66</v>
      </c>
      <c r="F343" s="36" t="s">
        <v>42</v>
      </c>
      <c r="G343" s="37">
        <v>69</v>
      </c>
      <c r="H343" s="66">
        <v>46800</v>
      </c>
      <c r="I343" s="38">
        <f t="shared" ca="1" si="16"/>
        <v>601</v>
      </c>
      <c r="J343" s="38" t="str">
        <f t="shared" ca="1" si="17"/>
        <v>OK</v>
      </c>
      <c r="K343" s="36" t="s">
        <v>178</v>
      </c>
      <c r="L343" s="39"/>
    </row>
    <row r="344" spans="1:12" x14ac:dyDescent="0.35">
      <c r="A344" s="34" t="str">
        <f t="shared" si="15"/>
        <v>DON-0340</v>
      </c>
      <c r="B344" s="35">
        <v>45958</v>
      </c>
      <c r="C344" s="36" t="s">
        <v>94</v>
      </c>
      <c r="D344" s="36" t="s">
        <v>95</v>
      </c>
      <c r="E344" s="36" t="s">
        <v>93</v>
      </c>
      <c r="F344" s="36" t="s">
        <v>96</v>
      </c>
      <c r="G344" s="37">
        <v>46</v>
      </c>
      <c r="H344" s="66">
        <v>46106</v>
      </c>
      <c r="I344" s="38">
        <f t="shared" ca="1" si="16"/>
        <v>-93</v>
      </c>
      <c r="J344" s="38" t="str">
        <f t="shared" ca="1" si="17"/>
        <v>EXPIRED</v>
      </c>
      <c r="K344" s="36" t="s">
        <v>180</v>
      </c>
      <c r="L344" s="39"/>
    </row>
    <row r="345" spans="1:12" x14ac:dyDescent="0.35">
      <c r="A345" s="34" t="str">
        <f t="shared" si="15"/>
        <v>DON-0341</v>
      </c>
      <c r="B345" s="35">
        <v>45958</v>
      </c>
      <c r="C345" s="36" t="s">
        <v>156</v>
      </c>
      <c r="D345" s="36" t="s">
        <v>11</v>
      </c>
      <c r="E345" s="36" t="s">
        <v>12</v>
      </c>
      <c r="F345" s="36" t="s">
        <v>155</v>
      </c>
      <c r="G345" s="37">
        <v>10</v>
      </c>
      <c r="H345" s="66">
        <v>45970</v>
      </c>
      <c r="I345" s="38">
        <f t="shared" ca="1" si="16"/>
        <v>-229</v>
      </c>
      <c r="J345" s="38" t="str">
        <f t="shared" ca="1" si="17"/>
        <v>EXPIRED</v>
      </c>
      <c r="K345" s="36" t="s">
        <v>180</v>
      </c>
      <c r="L345" s="39"/>
    </row>
    <row r="346" spans="1:12" x14ac:dyDescent="0.35">
      <c r="A346" s="34" t="str">
        <f t="shared" si="15"/>
        <v>DON-0342</v>
      </c>
      <c r="B346" s="35">
        <v>45958</v>
      </c>
      <c r="C346" s="36" t="s">
        <v>128</v>
      </c>
      <c r="D346" s="36" t="s">
        <v>9</v>
      </c>
      <c r="E346" s="36" t="s">
        <v>10</v>
      </c>
      <c r="F346" s="36" t="s">
        <v>129</v>
      </c>
      <c r="G346" s="37">
        <v>25</v>
      </c>
      <c r="H346" s="66">
        <v>45972</v>
      </c>
      <c r="I346" s="38">
        <f t="shared" ca="1" si="16"/>
        <v>-227</v>
      </c>
      <c r="J346" s="38" t="str">
        <f t="shared" ca="1" si="17"/>
        <v>EXPIRED</v>
      </c>
      <c r="K346" s="36" t="s">
        <v>180</v>
      </c>
      <c r="L346" s="39"/>
    </row>
    <row r="347" spans="1:12" x14ac:dyDescent="0.35">
      <c r="A347" s="34" t="str">
        <f t="shared" si="15"/>
        <v>DON-0343</v>
      </c>
      <c r="B347" s="35">
        <v>45958</v>
      </c>
      <c r="C347" s="36" t="s">
        <v>146</v>
      </c>
      <c r="D347" s="36" t="s">
        <v>147</v>
      </c>
      <c r="E347" s="36" t="s">
        <v>8</v>
      </c>
      <c r="F347" s="36" t="s">
        <v>148</v>
      </c>
      <c r="G347" s="37">
        <v>22</v>
      </c>
      <c r="H347" s="66">
        <v>45975</v>
      </c>
      <c r="I347" s="38">
        <f t="shared" ca="1" si="16"/>
        <v>-224</v>
      </c>
      <c r="J347" s="38" t="str">
        <f t="shared" ca="1" si="17"/>
        <v>EXPIRED</v>
      </c>
      <c r="K347" s="36" t="s">
        <v>180</v>
      </c>
      <c r="L347" s="39"/>
    </row>
    <row r="348" spans="1:12" x14ac:dyDescent="0.35">
      <c r="A348" s="34" t="str">
        <f t="shared" si="15"/>
        <v>DON-0344</v>
      </c>
      <c r="B348" s="35">
        <v>45958</v>
      </c>
      <c r="C348" s="36" t="s">
        <v>153</v>
      </c>
      <c r="D348" s="36" t="s">
        <v>154</v>
      </c>
      <c r="E348" s="36" t="s">
        <v>12</v>
      </c>
      <c r="F348" s="36" t="s">
        <v>155</v>
      </c>
      <c r="G348" s="37">
        <v>15</v>
      </c>
      <c r="H348" s="66">
        <v>46110</v>
      </c>
      <c r="I348" s="38">
        <f t="shared" ca="1" si="16"/>
        <v>-89</v>
      </c>
      <c r="J348" s="38" t="str">
        <f t="shared" ca="1" si="17"/>
        <v>EXPIRED</v>
      </c>
      <c r="K348" s="36" t="s">
        <v>180</v>
      </c>
      <c r="L348" s="39"/>
    </row>
    <row r="349" spans="1:12" x14ac:dyDescent="0.35">
      <c r="A349" s="34" t="str">
        <f t="shared" si="15"/>
        <v>DON-0345</v>
      </c>
      <c r="B349" s="35">
        <v>45958</v>
      </c>
      <c r="C349" s="36" t="s">
        <v>100</v>
      </c>
      <c r="D349" s="36" t="s">
        <v>101</v>
      </c>
      <c r="E349" s="36" t="s">
        <v>102</v>
      </c>
      <c r="F349" s="36" t="s">
        <v>103</v>
      </c>
      <c r="G349" s="37">
        <v>72</v>
      </c>
      <c r="H349" s="66">
        <v>46591</v>
      </c>
      <c r="I349" s="38">
        <f t="shared" ca="1" si="16"/>
        <v>392</v>
      </c>
      <c r="J349" s="38" t="str">
        <f t="shared" ca="1" si="17"/>
        <v>OK</v>
      </c>
      <c r="K349" s="36" t="s">
        <v>180</v>
      </c>
      <c r="L349" s="39"/>
    </row>
    <row r="350" spans="1:12" x14ac:dyDescent="0.35">
      <c r="A350" s="34" t="str">
        <f t="shared" si="15"/>
        <v>DON-0346</v>
      </c>
      <c r="B350" s="35">
        <v>45958</v>
      </c>
      <c r="C350" s="36" t="s">
        <v>46</v>
      </c>
      <c r="D350" s="36" t="s">
        <v>47</v>
      </c>
      <c r="E350" s="36" t="s">
        <v>31</v>
      </c>
      <c r="F350" s="36" t="s">
        <v>42</v>
      </c>
      <c r="G350" s="37">
        <v>74</v>
      </c>
      <c r="H350" s="66">
        <v>46805</v>
      </c>
      <c r="I350" s="38">
        <f t="shared" ca="1" si="16"/>
        <v>606</v>
      </c>
      <c r="J350" s="38" t="str">
        <f t="shared" ca="1" si="17"/>
        <v>OK</v>
      </c>
      <c r="K350" s="36" t="s">
        <v>180</v>
      </c>
      <c r="L350" s="39"/>
    </row>
    <row r="351" spans="1:12" x14ac:dyDescent="0.35">
      <c r="A351" s="34" t="str">
        <f t="shared" si="15"/>
        <v>DON-0347</v>
      </c>
      <c r="B351" s="35">
        <v>45958</v>
      </c>
      <c r="C351" s="36" t="s">
        <v>29</v>
      </c>
      <c r="D351" s="36" t="s">
        <v>30</v>
      </c>
      <c r="E351" s="36" t="s">
        <v>31</v>
      </c>
      <c r="F351" s="36" t="s">
        <v>32</v>
      </c>
      <c r="G351" s="37">
        <v>51</v>
      </c>
      <c r="H351" s="66">
        <v>46947</v>
      </c>
      <c r="I351" s="38">
        <f t="shared" ca="1" si="16"/>
        <v>748</v>
      </c>
      <c r="J351" s="38" t="str">
        <f t="shared" ca="1" si="17"/>
        <v>OK</v>
      </c>
      <c r="K351" s="36" t="s">
        <v>180</v>
      </c>
      <c r="L351" s="39"/>
    </row>
    <row r="352" spans="1:12" x14ac:dyDescent="0.35">
      <c r="A352" s="34" t="str">
        <f t="shared" si="15"/>
        <v>DON-0348</v>
      </c>
      <c r="B352" s="35">
        <v>45962</v>
      </c>
      <c r="C352" s="36" t="s">
        <v>94</v>
      </c>
      <c r="D352" s="36" t="s">
        <v>95</v>
      </c>
      <c r="E352" s="36" t="s">
        <v>93</v>
      </c>
      <c r="F352" s="36" t="s">
        <v>96</v>
      </c>
      <c r="G352" s="37">
        <v>36</v>
      </c>
      <c r="H352" s="66">
        <v>46114</v>
      </c>
      <c r="I352" s="38">
        <f t="shared" ca="1" si="16"/>
        <v>-85</v>
      </c>
      <c r="J352" s="38" t="str">
        <f t="shared" ca="1" si="17"/>
        <v>EXPIRED</v>
      </c>
      <c r="K352" s="36" t="s">
        <v>182</v>
      </c>
      <c r="L352" s="39"/>
    </row>
    <row r="353" spans="1:12" x14ac:dyDescent="0.35">
      <c r="A353" s="34" t="str">
        <f t="shared" si="15"/>
        <v>DON-0349</v>
      </c>
      <c r="B353" s="35">
        <v>45962</v>
      </c>
      <c r="C353" s="36" t="s">
        <v>137</v>
      </c>
      <c r="D353" s="36" t="s">
        <v>15</v>
      </c>
      <c r="E353" s="36" t="s">
        <v>6</v>
      </c>
      <c r="F353" s="36" t="s">
        <v>136</v>
      </c>
      <c r="G353" s="37">
        <v>31</v>
      </c>
      <c r="H353" s="66">
        <v>45967</v>
      </c>
      <c r="I353" s="38">
        <f t="shared" ca="1" si="16"/>
        <v>-232</v>
      </c>
      <c r="J353" s="38" t="str">
        <f t="shared" ca="1" si="17"/>
        <v>EXPIRED</v>
      </c>
      <c r="K353" s="36" t="s">
        <v>182</v>
      </c>
      <c r="L353" s="39"/>
    </row>
    <row r="354" spans="1:12" x14ac:dyDescent="0.35">
      <c r="A354" s="34" t="str">
        <f t="shared" si="15"/>
        <v>DON-0350</v>
      </c>
      <c r="B354" s="35">
        <v>45962</v>
      </c>
      <c r="C354" s="36" t="s">
        <v>149</v>
      </c>
      <c r="D354" s="36" t="s">
        <v>150</v>
      </c>
      <c r="E354" s="36" t="s">
        <v>8</v>
      </c>
      <c r="F354" s="36" t="s">
        <v>75</v>
      </c>
      <c r="G354" s="37">
        <v>29</v>
      </c>
      <c r="H354" s="66">
        <v>46007</v>
      </c>
      <c r="I354" s="38">
        <f t="shared" ca="1" si="16"/>
        <v>-192</v>
      </c>
      <c r="J354" s="38" t="str">
        <f t="shared" ca="1" si="17"/>
        <v>EXPIRED</v>
      </c>
      <c r="K354" s="36" t="s">
        <v>182</v>
      </c>
      <c r="L354" s="39"/>
    </row>
    <row r="355" spans="1:12" x14ac:dyDescent="0.35">
      <c r="A355" s="34" t="str">
        <f t="shared" si="15"/>
        <v>DON-0351</v>
      </c>
      <c r="B355" s="35">
        <v>45962</v>
      </c>
      <c r="C355" s="36" t="s">
        <v>78</v>
      </c>
      <c r="D355" s="36" t="s">
        <v>79</v>
      </c>
      <c r="E355" s="36" t="s">
        <v>74</v>
      </c>
      <c r="F355" s="36" t="s">
        <v>80</v>
      </c>
      <c r="G355" s="37">
        <v>46</v>
      </c>
      <c r="H355" s="66">
        <v>46556</v>
      </c>
      <c r="I355" s="38">
        <f t="shared" ca="1" si="16"/>
        <v>357</v>
      </c>
      <c r="J355" s="38" t="str">
        <f t="shared" ca="1" si="17"/>
        <v>OK</v>
      </c>
      <c r="K355" s="36" t="s">
        <v>182</v>
      </c>
      <c r="L355" s="39"/>
    </row>
    <row r="356" spans="1:12" x14ac:dyDescent="0.35">
      <c r="A356" s="34" t="str">
        <f t="shared" si="15"/>
        <v>DON-0352</v>
      </c>
      <c r="B356" s="35">
        <v>45962</v>
      </c>
      <c r="C356" s="36" t="s">
        <v>104</v>
      </c>
      <c r="D356" s="36" t="s">
        <v>105</v>
      </c>
      <c r="E356" s="36" t="s">
        <v>102</v>
      </c>
      <c r="F356" s="36" t="s">
        <v>103</v>
      </c>
      <c r="G356" s="37">
        <v>161</v>
      </c>
      <c r="H356" s="66">
        <v>46698</v>
      </c>
      <c r="I356" s="38">
        <f t="shared" ca="1" si="16"/>
        <v>499</v>
      </c>
      <c r="J356" s="38" t="str">
        <f t="shared" ca="1" si="17"/>
        <v>OK</v>
      </c>
      <c r="K356" s="36" t="s">
        <v>182</v>
      </c>
      <c r="L356" s="39"/>
    </row>
    <row r="357" spans="1:12" x14ac:dyDescent="0.35">
      <c r="A357" s="34" t="str">
        <f t="shared" si="15"/>
        <v>DON-0353</v>
      </c>
      <c r="B357" s="35">
        <v>45962</v>
      </c>
      <c r="C357" s="36" t="s">
        <v>37</v>
      </c>
      <c r="D357" s="36" t="s">
        <v>38</v>
      </c>
      <c r="E357" s="36" t="s">
        <v>31</v>
      </c>
      <c r="F357" s="36" t="s">
        <v>39</v>
      </c>
      <c r="G357" s="37">
        <v>103</v>
      </c>
      <c r="H357" s="66">
        <v>46987</v>
      </c>
      <c r="I357" s="38">
        <f t="shared" ca="1" si="16"/>
        <v>788</v>
      </c>
      <c r="J357" s="38" t="str">
        <f t="shared" ca="1" si="17"/>
        <v>OK</v>
      </c>
      <c r="K357" s="36" t="s">
        <v>182</v>
      </c>
      <c r="L357" s="39"/>
    </row>
    <row r="358" spans="1:12" x14ac:dyDescent="0.35">
      <c r="A358" s="34" t="str">
        <f t="shared" si="15"/>
        <v>DON-0354</v>
      </c>
      <c r="B358" s="35">
        <v>45964</v>
      </c>
      <c r="C358" s="36" t="s">
        <v>141</v>
      </c>
      <c r="D358" s="36" t="s">
        <v>142</v>
      </c>
      <c r="E358" s="36" t="s">
        <v>8</v>
      </c>
      <c r="F358" s="36" t="s">
        <v>143</v>
      </c>
      <c r="G358" s="37">
        <v>36</v>
      </c>
      <c r="H358" s="66">
        <v>45977</v>
      </c>
      <c r="I358" s="38">
        <f t="shared" ca="1" si="16"/>
        <v>-222</v>
      </c>
      <c r="J358" s="38" t="str">
        <f t="shared" ca="1" si="17"/>
        <v>EXPIRED</v>
      </c>
      <c r="K358" s="36" t="s">
        <v>182</v>
      </c>
      <c r="L358" s="39"/>
    </row>
    <row r="359" spans="1:12" x14ac:dyDescent="0.35">
      <c r="A359" s="34" t="str">
        <f t="shared" si="15"/>
        <v>DON-0355</v>
      </c>
      <c r="B359" s="35">
        <v>45964</v>
      </c>
      <c r="C359" s="36" t="s">
        <v>149</v>
      </c>
      <c r="D359" s="36" t="s">
        <v>150</v>
      </c>
      <c r="E359" s="36" t="s">
        <v>8</v>
      </c>
      <c r="F359" s="36" t="s">
        <v>75</v>
      </c>
      <c r="G359" s="37">
        <v>52</v>
      </c>
      <c r="H359" s="66">
        <v>45991</v>
      </c>
      <c r="I359" s="38">
        <f t="shared" ca="1" si="16"/>
        <v>-208</v>
      </c>
      <c r="J359" s="38" t="str">
        <f t="shared" ca="1" si="17"/>
        <v>EXPIRED</v>
      </c>
      <c r="K359" s="36" t="s">
        <v>182</v>
      </c>
      <c r="L359" s="39"/>
    </row>
    <row r="360" spans="1:12" x14ac:dyDescent="0.35">
      <c r="A360" s="34" t="str">
        <f t="shared" si="15"/>
        <v>DON-0356</v>
      </c>
      <c r="B360" s="35">
        <v>45964</v>
      </c>
      <c r="C360" s="36" t="s">
        <v>83</v>
      </c>
      <c r="D360" s="36" t="s">
        <v>84</v>
      </c>
      <c r="E360" s="36" t="s">
        <v>74</v>
      </c>
      <c r="F360" s="36" t="s">
        <v>85</v>
      </c>
      <c r="G360" s="37">
        <v>46</v>
      </c>
      <c r="H360" s="66">
        <v>46312</v>
      </c>
      <c r="I360" s="38">
        <f t="shared" ca="1" si="16"/>
        <v>113</v>
      </c>
      <c r="J360" s="38" t="str">
        <f t="shared" ca="1" si="17"/>
        <v>OK</v>
      </c>
      <c r="K360" s="36" t="s">
        <v>182</v>
      </c>
      <c r="L360" s="39"/>
    </row>
    <row r="361" spans="1:12" x14ac:dyDescent="0.35">
      <c r="A361" s="34" t="str">
        <f t="shared" si="15"/>
        <v>DON-0357</v>
      </c>
      <c r="B361" s="35">
        <v>45964</v>
      </c>
      <c r="C361" s="36" t="s">
        <v>37</v>
      </c>
      <c r="D361" s="36" t="s">
        <v>38</v>
      </c>
      <c r="E361" s="36" t="s">
        <v>31</v>
      </c>
      <c r="F361" s="36" t="s">
        <v>39</v>
      </c>
      <c r="G361" s="37">
        <v>130</v>
      </c>
      <c r="H361" s="66">
        <v>46487</v>
      </c>
      <c r="I361" s="38">
        <f t="shared" ca="1" si="16"/>
        <v>288</v>
      </c>
      <c r="J361" s="38" t="str">
        <f t="shared" ca="1" si="17"/>
        <v>OK</v>
      </c>
      <c r="K361" s="36" t="s">
        <v>182</v>
      </c>
      <c r="L361" s="39"/>
    </row>
    <row r="362" spans="1:12" x14ac:dyDescent="0.35">
      <c r="A362" s="34" t="str">
        <f t="shared" si="15"/>
        <v>DON-0358</v>
      </c>
      <c r="B362" s="35">
        <v>45964</v>
      </c>
      <c r="C362" s="36" t="s">
        <v>111</v>
      </c>
      <c r="D362" s="36" t="s">
        <v>112</v>
      </c>
      <c r="E362" s="36" t="s">
        <v>102</v>
      </c>
      <c r="F362" s="36" t="s">
        <v>113</v>
      </c>
      <c r="G362" s="37">
        <v>161</v>
      </c>
      <c r="H362" s="66">
        <v>46640</v>
      </c>
      <c r="I362" s="38">
        <f t="shared" ca="1" si="16"/>
        <v>441</v>
      </c>
      <c r="J362" s="38" t="str">
        <f t="shared" ca="1" si="17"/>
        <v>OK</v>
      </c>
      <c r="K362" s="36" t="s">
        <v>182</v>
      </c>
      <c r="L362" s="39"/>
    </row>
    <row r="363" spans="1:12" x14ac:dyDescent="0.35">
      <c r="A363" s="34" t="str">
        <f t="shared" si="15"/>
        <v>DON-0359</v>
      </c>
      <c r="B363" s="35">
        <v>45964</v>
      </c>
      <c r="C363" s="36" t="s">
        <v>54</v>
      </c>
      <c r="D363" s="36" t="s">
        <v>55</v>
      </c>
      <c r="E363" s="36" t="s">
        <v>53</v>
      </c>
      <c r="F363" s="36" t="s">
        <v>56</v>
      </c>
      <c r="G363" s="37">
        <v>184</v>
      </c>
      <c r="H363" s="66">
        <v>46758</v>
      </c>
      <c r="I363" s="38">
        <f t="shared" ca="1" si="16"/>
        <v>559</v>
      </c>
      <c r="J363" s="38" t="str">
        <f t="shared" ca="1" si="17"/>
        <v>OK</v>
      </c>
      <c r="K363" s="36" t="s">
        <v>182</v>
      </c>
      <c r="L363" s="39"/>
    </row>
    <row r="364" spans="1:12" x14ac:dyDescent="0.35">
      <c r="A364" s="34" t="str">
        <f t="shared" si="15"/>
        <v>DON-0360</v>
      </c>
      <c r="B364" s="35">
        <v>45964</v>
      </c>
      <c r="C364" s="36" t="s">
        <v>104</v>
      </c>
      <c r="D364" s="36" t="s">
        <v>105</v>
      </c>
      <c r="E364" s="36" t="s">
        <v>102</v>
      </c>
      <c r="F364" s="36" t="s">
        <v>103</v>
      </c>
      <c r="G364" s="37">
        <v>104</v>
      </c>
      <c r="H364" s="66">
        <v>47015</v>
      </c>
      <c r="I364" s="38">
        <f t="shared" ca="1" si="16"/>
        <v>816</v>
      </c>
      <c r="J364" s="38" t="str">
        <f t="shared" ca="1" si="17"/>
        <v>OK</v>
      </c>
      <c r="K364" s="36" t="s">
        <v>182</v>
      </c>
      <c r="L364" s="39"/>
    </row>
    <row r="365" spans="1:12" x14ac:dyDescent="0.35">
      <c r="A365" s="34" t="str">
        <f t="shared" si="15"/>
        <v>DON-0361</v>
      </c>
      <c r="B365" s="35">
        <v>45964</v>
      </c>
      <c r="C365" s="36" t="s">
        <v>51</v>
      </c>
      <c r="D365" s="36" t="s">
        <v>52</v>
      </c>
      <c r="E365" s="36" t="s">
        <v>53</v>
      </c>
      <c r="F365" s="36" t="s">
        <v>42</v>
      </c>
      <c r="G365" s="37">
        <v>185</v>
      </c>
      <c r="H365" s="66">
        <v>47042</v>
      </c>
      <c r="I365" s="38">
        <f t="shared" ca="1" si="16"/>
        <v>843</v>
      </c>
      <c r="J365" s="38" t="str">
        <f t="shared" ca="1" si="17"/>
        <v>OK</v>
      </c>
      <c r="K365" s="36" t="s">
        <v>182</v>
      </c>
      <c r="L365" s="39"/>
    </row>
    <row r="366" spans="1:12" x14ac:dyDescent="0.35">
      <c r="A366" s="34" t="str">
        <f t="shared" si="15"/>
        <v>DON-0362</v>
      </c>
      <c r="B366" s="35">
        <v>45965</v>
      </c>
      <c r="C366" s="36" t="s">
        <v>144</v>
      </c>
      <c r="D366" s="36" t="s">
        <v>7</v>
      </c>
      <c r="E366" s="36" t="s">
        <v>8</v>
      </c>
      <c r="F366" s="36" t="s">
        <v>145</v>
      </c>
      <c r="G366" s="37">
        <v>39</v>
      </c>
      <c r="H366" s="66">
        <v>45968</v>
      </c>
      <c r="I366" s="38">
        <f t="shared" ca="1" si="16"/>
        <v>-231</v>
      </c>
      <c r="J366" s="38" t="str">
        <f t="shared" ca="1" si="17"/>
        <v>EXPIRED</v>
      </c>
      <c r="K366" s="36" t="s">
        <v>179</v>
      </c>
      <c r="L366" s="39"/>
    </row>
    <row r="367" spans="1:12" x14ac:dyDescent="0.35">
      <c r="A367" s="34" t="str">
        <f t="shared" si="15"/>
        <v>DON-0363</v>
      </c>
      <c r="B367" s="35">
        <v>45965</v>
      </c>
      <c r="C367" s="36" t="s">
        <v>141</v>
      </c>
      <c r="D367" s="36" t="s">
        <v>142</v>
      </c>
      <c r="E367" s="36" t="s">
        <v>8</v>
      </c>
      <c r="F367" s="36" t="s">
        <v>143</v>
      </c>
      <c r="G367" s="37">
        <v>25</v>
      </c>
      <c r="H367" s="66">
        <v>45974</v>
      </c>
      <c r="I367" s="38">
        <f t="shared" ca="1" si="16"/>
        <v>-225</v>
      </c>
      <c r="J367" s="38" t="str">
        <f t="shared" ca="1" si="17"/>
        <v>EXPIRED</v>
      </c>
      <c r="K367" s="36" t="s">
        <v>179</v>
      </c>
      <c r="L367" s="39"/>
    </row>
    <row r="368" spans="1:12" x14ac:dyDescent="0.35">
      <c r="A368" s="34" t="str">
        <f t="shared" si="15"/>
        <v>DON-0364</v>
      </c>
      <c r="B368" s="35">
        <v>45965</v>
      </c>
      <c r="C368" s="36" t="s">
        <v>67</v>
      </c>
      <c r="D368" s="36" t="s">
        <v>68</v>
      </c>
      <c r="E368" s="36" t="s">
        <v>66</v>
      </c>
      <c r="F368" s="36" t="s">
        <v>42</v>
      </c>
      <c r="G368" s="37">
        <v>41</v>
      </c>
      <c r="H368" s="66">
        <v>46671</v>
      </c>
      <c r="I368" s="38">
        <f t="shared" ca="1" si="16"/>
        <v>472</v>
      </c>
      <c r="J368" s="38" t="str">
        <f t="shared" ca="1" si="17"/>
        <v>OK</v>
      </c>
      <c r="K368" s="36" t="s">
        <v>179</v>
      </c>
      <c r="L368" s="39"/>
    </row>
    <row r="369" spans="1:12" x14ac:dyDescent="0.35">
      <c r="A369" s="34" t="str">
        <f t="shared" si="15"/>
        <v>DON-0365</v>
      </c>
      <c r="B369" s="35">
        <v>45966</v>
      </c>
      <c r="C369" s="36" t="s">
        <v>135</v>
      </c>
      <c r="D369" s="36" t="s">
        <v>5</v>
      </c>
      <c r="E369" s="36" t="s">
        <v>6</v>
      </c>
      <c r="F369" s="36" t="s">
        <v>136</v>
      </c>
      <c r="G369" s="37">
        <v>27</v>
      </c>
      <c r="H369" s="66">
        <v>45970</v>
      </c>
      <c r="I369" s="38">
        <f t="shared" ca="1" si="16"/>
        <v>-229</v>
      </c>
      <c r="J369" s="38" t="str">
        <f t="shared" ca="1" si="17"/>
        <v>EXPIRED</v>
      </c>
      <c r="K369" s="36" t="s">
        <v>180</v>
      </c>
      <c r="L369" s="39"/>
    </row>
    <row r="370" spans="1:12" x14ac:dyDescent="0.35">
      <c r="A370" s="34" t="str">
        <f t="shared" si="15"/>
        <v>DON-0366</v>
      </c>
      <c r="B370" s="35">
        <v>45966</v>
      </c>
      <c r="C370" s="36" t="s">
        <v>88</v>
      </c>
      <c r="D370" s="36" t="s">
        <v>89</v>
      </c>
      <c r="E370" s="36" t="s">
        <v>74</v>
      </c>
      <c r="F370" s="36" t="s">
        <v>90</v>
      </c>
      <c r="G370" s="37">
        <v>58</v>
      </c>
      <c r="H370" s="66">
        <v>46131</v>
      </c>
      <c r="I370" s="38">
        <f t="shared" ca="1" si="16"/>
        <v>-68</v>
      </c>
      <c r="J370" s="38" t="str">
        <f t="shared" ca="1" si="17"/>
        <v>EXPIRED</v>
      </c>
      <c r="K370" s="36" t="s">
        <v>180</v>
      </c>
      <c r="L370" s="39"/>
    </row>
    <row r="371" spans="1:12" x14ac:dyDescent="0.35">
      <c r="A371" s="34" t="str">
        <f t="shared" si="15"/>
        <v>DON-0367</v>
      </c>
      <c r="B371" s="35">
        <v>45966</v>
      </c>
      <c r="C371" s="36" t="s">
        <v>78</v>
      </c>
      <c r="D371" s="36" t="s">
        <v>79</v>
      </c>
      <c r="E371" s="36" t="s">
        <v>74</v>
      </c>
      <c r="F371" s="36" t="s">
        <v>80</v>
      </c>
      <c r="G371" s="37">
        <v>87</v>
      </c>
      <c r="H371" s="66">
        <v>46217</v>
      </c>
      <c r="I371" s="38">
        <f t="shared" ca="1" si="16"/>
        <v>18</v>
      </c>
      <c r="J371" s="38" t="str">
        <f t="shared" ca="1" si="17"/>
        <v>NOTICE</v>
      </c>
      <c r="K371" s="36" t="s">
        <v>180</v>
      </c>
      <c r="L371" s="39"/>
    </row>
    <row r="372" spans="1:12" x14ac:dyDescent="0.35">
      <c r="A372" s="34" t="str">
        <f t="shared" si="15"/>
        <v>DON-0368</v>
      </c>
      <c r="B372" s="35">
        <v>45966</v>
      </c>
      <c r="C372" s="36" t="s">
        <v>57</v>
      </c>
      <c r="D372" s="36" t="s">
        <v>58</v>
      </c>
      <c r="E372" s="36" t="s">
        <v>53</v>
      </c>
      <c r="F372" s="36" t="s">
        <v>42</v>
      </c>
      <c r="G372" s="37">
        <v>74</v>
      </c>
      <c r="H372" s="66">
        <v>46357</v>
      </c>
      <c r="I372" s="38">
        <f t="shared" ca="1" si="16"/>
        <v>158</v>
      </c>
      <c r="J372" s="38" t="str">
        <f t="shared" ca="1" si="17"/>
        <v>OK</v>
      </c>
      <c r="K372" s="36" t="s">
        <v>180</v>
      </c>
      <c r="L372" s="39"/>
    </row>
    <row r="373" spans="1:12" x14ac:dyDescent="0.35">
      <c r="A373" s="34" t="str">
        <f t="shared" si="15"/>
        <v>DON-0369</v>
      </c>
      <c r="B373" s="35">
        <v>45966</v>
      </c>
      <c r="C373" s="36" t="s">
        <v>67</v>
      </c>
      <c r="D373" s="36" t="s">
        <v>68</v>
      </c>
      <c r="E373" s="36" t="s">
        <v>66</v>
      </c>
      <c r="F373" s="36" t="s">
        <v>42</v>
      </c>
      <c r="G373" s="37">
        <v>108</v>
      </c>
      <c r="H373" s="66">
        <v>46479</v>
      </c>
      <c r="I373" s="38">
        <f t="shared" ca="1" si="16"/>
        <v>280</v>
      </c>
      <c r="J373" s="38" t="str">
        <f t="shared" ca="1" si="17"/>
        <v>OK</v>
      </c>
      <c r="K373" s="36" t="s">
        <v>180</v>
      </c>
      <c r="L373" s="39"/>
    </row>
    <row r="374" spans="1:12" x14ac:dyDescent="0.35">
      <c r="A374" s="34" t="str">
        <f t="shared" si="15"/>
        <v>DON-0370</v>
      </c>
      <c r="B374" s="35">
        <v>45966</v>
      </c>
      <c r="C374" s="36" t="s">
        <v>29</v>
      </c>
      <c r="D374" s="36" t="s">
        <v>30</v>
      </c>
      <c r="E374" s="36" t="s">
        <v>31</v>
      </c>
      <c r="F374" s="36" t="s">
        <v>32</v>
      </c>
      <c r="G374" s="37">
        <v>156</v>
      </c>
      <c r="H374" s="66">
        <v>46574</v>
      </c>
      <c r="I374" s="38">
        <f t="shared" ca="1" si="16"/>
        <v>375</v>
      </c>
      <c r="J374" s="38" t="str">
        <f t="shared" ca="1" si="17"/>
        <v>OK</v>
      </c>
      <c r="K374" s="36" t="s">
        <v>180</v>
      </c>
      <c r="L374" s="39"/>
    </row>
    <row r="375" spans="1:12" x14ac:dyDescent="0.35">
      <c r="A375" s="34" t="str">
        <f t="shared" si="15"/>
        <v>DON-0371</v>
      </c>
      <c r="B375" s="35">
        <v>45966</v>
      </c>
      <c r="C375" s="36" t="s">
        <v>69</v>
      </c>
      <c r="D375" s="36" t="s">
        <v>70</v>
      </c>
      <c r="E375" s="36" t="s">
        <v>66</v>
      </c>
      <c r="F375" s="36" t="s">
        <v>71</v>
      </c>
      <c r="G375" s="37">
        <v>118</v>
      </c>
      <c r="H375" s="66">
        <v>46884</v>
      </c>
      <c r="I375" s="38">
        <f t="shared" ca="1" si="16"/>
        <v>685</v>
      </c>
      <c r="J375" s="38" t="str">
        <f t="shared" ca="1" si="17"/>
        <v>OK</v>
      </c>
      <c r="K375" s="36" t="s">
        <v>180</v>
      </c>
      <c r="L375" s="39"/>
    </row>
    <row r="376" spans="1:12" x14ac:dyDescent="0.35">
      <c r="A376" s="34" t="str">
        <f t="shared" si="15"/>
        <v>DON-0372</v>
      </c>
      <c r="B376" s="35">
        <v>45967</v>
      </c>
      <c r="C376" s="36" t="s">
        <v>156</v>
      </c>
      <c r="D376" s="36" t="s">
        <v>11</v>
      </c>
      <c r="E376" s="36" t="s">
        <v>12</v>
      </c>
      <c r="F376" s="36" t="s">
        <v>155</v>
      </c>
      <c r="G376" s="37">
        <v>30</v>
      </c>
      <c r="H376" s="66">
        <v>45976</v>
      </c>
      <c r="I376" s="38">
        <f t="shared" ca="1" si="16"/>
        <v>-223</v>
      </c>
      <c r="J376" s="38" t="str">
        <f t="shared" ca="1" si="17"/>
        <v>EXPIRED</v>
      </c>
      <c r="K376" s="36" t="s">
        <v>175</v>
      </c>
      <c r="L376" s="39"/>
    </row>
    <row r="377" spans="1:12" x14ac:dyDescent="0.35">
      <c r="A377" s="34" t="str">
        <f t="shared" si="15"/>
        <v>DON-0373</v>
      </c>
      <c r="B377" s="35">
        <v>45967</v>
      </c>
      <c r="C377" s="36" t="s">
        <v>54</v>
      </c>
      <c r="D377" s="36" t="s">
        <v>55</v>
      </c>
      <c r="E377" s="36" t="s">
        <v>53</v>
      </c>
      <c r="F377" s="36" t="s">
        <v>56</v>
      </c>
      <c r="G377" s="37">
        <v>129</v>
      </c>
      <c r="H377" s="66">
        <v>46397</v>
      </c>
      <c r="I377" s="38">
        <f t="shared" ca="1" si="16"/>
        <v>198</v>
      </c>
      <c r="J377" s="38" t="str">
        <f t="shared" ca="1" si="17"/>
        <v>OK</v>
      </c>
      <c r="K377" s="36" t="s">
        <v>175</v>
      </c>
      <c r="L377" s="39"/>
    </row>
    <row r="378" spans="1:12" x14ac:dyDescent="0.35">
      <c r="A378" s="34" t="str">
        <f t="shared" si="15"/>
        <v>DON-0374</v>
      </c>
      <c r="B378" s="35">
        <v>45967</v>
      </c>
      <c r="C378" s="36" t="s">
        <v>104</v>
      </c>
      <c r="D378" s="36" t="s">
        <v>105</v>
      </c>
      <c r="E378" s="36" t="s">
        <v>102</v>
      </c>
      <c r="F378" s="36" t="s">
        <v>103</v>
      </c>
      <c r="G378" s="37">
        <v>111</v>
      </c>
      <c r="H378" s="66">
        <v>46443</v>
      </c>
      <c r="I378" s="38">
        <f t="shared" ca="1" si="16"/>
        <v>244</v>
      </c>
      <c r="J378" s="38" t="str">
        <f t="shared" ca="1" si="17"/>
        <v>OK</v>
      </c>
      <c r="K378" s="36" t="s">
        <v>175</v>
      </c>
      <c r="L378" s="39"/>
    </row>
    <row r="379" spans="1:12" x14ac:dyDescent="0.35">
      <c r="A379" s="34" t="str">
        <f t="shared" si="15"/>
        <v>DON-0375</v>
      </c>
      <c r="B379" s="35">
        <v>45969</v>
      </c>
      <c r="C379" s="36" t="s">
        <v>144</v>
      </c>
      <c r="D379" s="36" t="s">
        <v>7</v>
      </c>
      <c r="E379" s="36" t="s">
        <v>8</v>
      </c>
      <c r="F379" s="36" t="s">
        <v>145</v>
      </c>
      <c r="G379" s="37">
        <v>31</v>
      </c>
      <c r="H379" s="66">
        <v>45973</v>
      </c>
      <c r="I379" s="38">
        <f t="shared" ca="1" si="16"/>
        <v>-226</v>
      </c>
      <c r="J379" s="38" t="str">
        <f t="shared" ca="1" si="17"/>
        <v>EXPIRED</v>
      </c>
      <c r="K379" s="36" t="s">
        <v>180</v>
      </c>
      <c r="L379" s="39"/>
    </row>
    <row r="380" spans="1:12" x14ac:dyDescent="0.35">
      <c r="A380" s="34" t="str">
        <f t="shared" si="15"/>
        <v>DON-0376</v>
      </c>
      <c r="B380" s="35">
        <v>45969</v>
      </c>
      <c r="C380" s="36" t="s">
        <v>141</v>
      </c>
      <c r="D380" s="36" t="s">
        <v>142</v>
      </c>
      <c r="E380" s="36" t="s">
        <v>8</v>
      </c>
      <c r="F380" s="36" t="s">
        <v>143</v>
      </c>
      <c r="G380" s="37">
        <v>18</v>
      </c>
      <c r="H380" s="66">
        <v>45980</v>
      </c>
      <c r="I380" s="38">
        <f t="shared" ca="1" si="16"/>
        <v>-219</v>
      </c>
      <c r="J380" s="38" t="str">
        <f t="shared" ca="1" si="17"/>
        <v>EXPIRED</v>
      </c>
      <c r="K380" s="36" t="s">
        <v>180</v>
      </c>
      <c r="L380" s="39"/>
    </row>
    <row r="381" spans="1:12" x14ac:dyDescent="0.35">
      <c r="A381" s="34" t="str">
        <f t="shared" si="15"/>
        <v>DON-0377</v>
      </c>
      <c r="B381" s="35">
        <v>45969</v>
      </c>
      <c r="C381" s="36" t="s">
        <v>83</v>
      </c>
      <c r="D381" s="36" t="s">
        <v>84</v>
      </c>
      <c r="E381" s="36" t="s">
        <v>74</v>
      </c>
      <c r="F381" s="36" t="s">
        <v>85</v>
      </c>
      <c r="G381" s="37">
        <v>44</v>
      </c>
      <c r="H381" s="66">
        <v>46110</v>
      </c>
      <c r="I381" s="38">
        <f t="shared" ca="1" si="16"/>
        <v>-89</v>
      </c>
      <c r="J381" s="38" t="str">
        <f t="shared" ca="1" si="17"/>
        <v>EXPIRED</v>
      </c>
      <c r="K381" s="36" t="s">
        <v>180</v>
      </c>
      <c r="L381" s="39"/>
    </row>
    <row r="382" spans="1:12" x14ac:dyDescent="0.35">
      <c r="A382" s="34" t="str">
        <f t="shared" si="15"/>
        <v>DON-0378</v>
      </c>
      <c r="B382" s="35">
        <v>45969</v>
      </c>
      <c r="C382" s="36" t="s">
        <v>153</v>
      </c>
      <c r="D382" s="36" t="s">
        <v>154</v>
      </c>
      <c r="E382" s="36" t="s">
        <v>12</v>
      </c>
      <c r="F382" s="36" t="s">
        <v>155</v>
      </c>
      <c r="G382" s="37">
        <v>47</v>
      </c>
      <c r="H382" s="66">
        <v>46306</v>
      </c>
      <c r="I382" s="38">
        <f t="shared" ca="1" si="16"/>
        <v>107</v>
      </c>
      <c r="J382" s="38" t="str">
        <f t="shared" ca="1" si="17"/>
        <v>OK</v>
      </c>
      <c r="K382" s="36" t="s">
        <v>180</v>
      </c>
      <c r="L382" s="39"/>
    </row>
    <row r="383" spans="1:12" x14ac:dyDescent="0.35">
      <c r="A383" s="34" t="str">
        <f t="shared" si="15"/>
        <v>DON-0379</v>
      </c>
      <c r="B383" s="35">
        <v>45969</v>
      </c>
      <c r="C383" s="36" t="s">
        <v>37</v>
      </c>
      <c r="D383" s="36" t="s">
        <v>38</v>
      </c>
      <c r="E383" s="36" t="s">
        <v>31</v>
      </c>
      <c r="F383" s="36" t="s">
        <v>39</v>
      </c>
      <c r="G383" s="37">
        <v>177</v>
      </c>
      <c r="H383" s="66">
        <v>46396</v>
      </c>
      <c r="I383" s="38">
        <f t="shared" ca="1" si="16"/>
        <v>197</v>
      </c>
      <c r="J383" s="38" t="str">
        <f t="shared" ca="1" si="17"/>
        <v>OK</v>
      </c>
      <c r="K383" s="36" t="s">
        <v>180</v>
      </c>
      <c r="L383" s="39"/>
    </row>
    <row r="384" spans="1:12" x14ac:dyDescent="0.35">
      <c r="A384" s="34" t="str">
        <f t="shared" si="15"/>
        <v>DON-0380</v>
      </c>
      <c r="B384" s="35">
        <v>45969</v>
      </c>
      <c r="C384" s="36" t="s">
        <v>111</v>
      </c>
      <c r="D384" s="36" t="s">
        <v>112</v>
      </c>
      <c r="E384" s="36" t="s">
        <v>102</v>
      </c>
      <c r="F384" s="36" t="s">
        <v>113</v>
      </c>
      <c r="G384" s="37">
        <v>89</v>
      </c>
      <c r="H384" s="66">
        <v>46485</v>
      </c>
      <c r="I384" s="38">
        <f t="shared" ca="1" si="16"/>
        <v>286</v>
      </c>
      <c r="J384" s="38" t="str">
        <f t="shared" ca="1" si="17"/>
        <v>OK</v>
      </c>
      <c r="K384" s="36" t="s">
        <v>180</v>
      </c>
      <c r="L384" s="39"/>
    </row>
    <row r="385" spans="1:12" x14ac:dyDescent="0.35">
      <c r="A385" s="34" t="str">
        <f t="shared" si="15"/>
        <v>DON-0381</v>
      </c>
      <c r="B385" s="35">
        <v>45969</v>
      </c>
      <c r="C385" s="36" t="s">
        <v>122</v>
      </c>
      <c r="D385" s="36" t="s">
        <v>123</v>
      </c>
      <c r="E385" s="36" t="s">
        <v>14</v>
      </c>
      <c r="F385" s="36" t="s">
        <v>124</v>
      </c>
      <c r="G385" s="37">
        <v>23</v>
      </c>
      <c r="H385" s="66">
        <v>47485</v>
      </c>
      <c r="I385" s="38">
        <f t="shared" ca="1" si="16"/>
        <v>1286</v>
      </c>
      <c r="J385" s="38" t="str">
        <f t="shared" ca="1" si="17"/>
        <v>OK</v>
      </c>
      <c r="K385" s="36" t="s">
        <v>180</v>
      </c>
      <c r="L385" s="39"/>
    </row>
    <row r="386" spans="1:12" x14ac:dyDescent="0.35">
      <c r="A386" s="34" t="str">
        <f t="shared" si="15"/>
        <v>DON-0382</v>
      </c>
      <c r="B386" s="35">
        <v>45974</v>
      </c>
      <c r="C386" s="36" t="s">
        <v>128</v>
      </c>
      <c r="D386" s="36" t="s">
        <v>9</v>
      </c>
      <c r="E386" s="36" t="s">
        <v>10</v>
      </c>
      <c r="F386" s="36" t="s">
        <v>129</v>
      </c>
      <c r="G386" s="37">
        <v>37</v>
      </c>
      <c r="H386" s="66">
        <v>45984</v>
      </c>
      <c r="I386" s="38">
        <f t="shared" ca="1" si="16"/>
        <v>-215</v>
      </c>
      <c r="J386" s="38" t="str">
        <f t="shared" ca="1" si="17"/>
        <v>EXPIRED</v>
      </c>
      <c r="K386" s="36" t="s">
        <v>182</v>
      </c>
      <c r="L386" s="39"/>
    </row>
    <row r="387" spans="1:12" x14ac:dyDescent="0.35">
      <c r="A387" s="34" t="str">
        <f t="shared" si="15"/>
        <v>DON-0383</v>
      </c>
      <c r="B387" s="35">
        <v>45974</v>
      </c>
      <c r="C387" s="36" t="s">
        <v>157</v>
      </c>
      <c r="D387" s="36" t="s">
        <v>158</v>
      </c>
      <c r="E387" s="36" t="s">
        <v>159</v>
      </c>
      <c r="F387" s="36" t="s">
        <v>160</v>
      </c>
      <c r="G387" s="37">
        <v>46</v>
      </c>
      <c r="H387" s="66">
        <v>46237</v>
      </c>
      <c r="I387" s="38">
        <f t="shared" ca="1" si="16"/>
        <v>38</v>
      </c>
      <c r="J387" s="38" t="str">
        <f t="shared" ca="1" si="17"/>
        <v>OK</v>
      </c>
      <c r="K387" s="36" t="s">
        <v>182</v>
      </c>
      <c r="L387" s="39"/>
    </row>
    <row r="388" spans="1:12" x14ac:dyDescent="0.35">
      <c r="A388" s="34" t="str">
        <f t="shared" si="15"/>
        <v>DON-0384</v>
      </c>
      <c r="B388" s="35">
        <v>45974</v>
      </c>
      <c r="C388" s="36" t="s">
        <v>78</v>
      </c>
      <c r="D388" s="36" t="s">
        <v>79</v>
      </c>
      <c r="E388" s="36" t="s">
        <v>74</v>
      </c>
      <c r="F388" s="36" t="s">
        <v>80</v>
      </c>
      <c r="G388" s="37">
        <v>40</v>
      </c>
      <c r="H388" s="66">
        <v>46692</v>
      </c>
      <c r="I388" s="38">
        <f t="shared" ca="1" si="16"/>
        <v>493</v>
      </c>
      <c r="J388" s="38" t="str">
        <f t="shared" ca="1" si="17"/>
        <v>OK</v>
      </c>
      <c r="K388" s="36" t="s">
        <v>182</v>
      </c>
      <c r="L388" s="39"/>
    </row>
    <row r="389" spans="1:12" x14ac:dyDescent="0.35">
      <c r="A389" s="34" t="str">
        <f t="shared" ref="A389:A452" si="18">IF(G389="","","DON-"&amp;TEXT(ROW()-4,"0000"))</f>
        <v>DON-0385</v>
      </c>
      <c r="B389" s="35">
        <v>45974</v>
      </c>
      <c r="C389" s="36" t="s">
        <v>51</v>
      </c>
      <c r="D389" s="36" t="s">
        <v>52</v>
      </c>
      <c r="E389" s="36" t="s">
        <v>53</v>
      </c>
      <c r="F389" s="36" t="s">
        <v>42</v>
      </c>
      <c r="G389" s="37">
        <v>168</v>
      </c>
      <c r="H389" s="66">
        <v>46967</v>
      </c>
      <c r="I389" s="38">
        <f t="shared" ref="I389:I452" ca="1" si="19">IF(H389="","",H389-TODAY())</f>
        <v>768</v>
      </c>
      <c r="J389" s="38" t="str">
        <f t="shared" ref="J389:J452" ca="1" si="20">IF(I389="","",IF(I389&lt;=0,"EXPIRED",IF(I389&lt;=3,"CRITICAL",IF(I389&lt;=7,"WARNING",IF(I389&lt;=30,"NOTICE","OK")))))</f>
        <v>OK</v>
      </c>
      <c r="K389" s="36" t="s">
        <v>182</v>
      </c>
      <c r="L389" s="39"/>
    </row>
    <row r="390" spans="1:12" x14ac:dyDescent="0.35">
      <c r="A390" s="34" t="str">
        <f t="shared" si="18"/>
        <v>DON-0386</v>
      </c>
      <c r="B390" s="35">
        <v>45974</v>
      </c>
      <c r="C390" s="36" t="s">
        <v>94</v>
      </c>
      <c r="D390" s="36" t="s">
        <v>95</v>
      </c>
      <c r="E390" s="36" t="s">
        <v>93</v>
      </c>
      <c r="F390" s="36" t="s">
        <v>96</v>
      </c>
      <c r="G390" s="37">
        <v>64</v>
      </c>
      <c r="H390" s="66">
        <v>46291</v>
      </c>
      <c r="I390" s="38">
        <f t="shared" ca="1" si="19"/>
        <v>92</v>
      </c>
      <c r="J390" s="38" t="str">
        <f t="shared" ca="1" si="20"/>
        <v>OK</v>
      </c>
      <c r="K390" s="36" t="s">
        <v>182</v>
      </c>
      <c r="L390" s="39"/>
    </row>
    <row r="391" spans="1:12" x14ac:dyDescent="0.35">
      <c r="A391" s="34" t="str">
        <f t="shared" si="18"/>
        <v>DON-0387</v>
      </c>
      <c r="B391" s="35">
        <v>45976</v>
      </c>
      <c r="C391" s="36" t="s">
        <v>144</v>
      </c>
      <c r="D391" s="36" t="s">
        <v>7</v>
      </c>
      <c r="E391" s="36" t="s">
        <v>8</v>
      </c>
      <c r="F391" s="36" t="s">
        <v>145</v>
      </c>
      <c r="G391" s="37">
        <v>19</v>
      </c>
      <c r="H391" s="66">
        <v>45980</v>
      </c>
      <c r="I391" s="38">
        <f t="shared" ca="1" si="19"/>
        <v>-219</v>
      </c>
      <c r="J391" s="38" t="str">
        <f t="shared" ca="1" si="20"/>
        <v>EXPIRED</v>
      </c>
      <c r="K391" s="36" t="s">
        <v>182</v>
      </c>
      <c r="L391" s="39"/>
    </row>
    <row r="392" spans="1:12" x14ac:dyDescent="0.35">
      <c r="A392" s="34" t="str">
        <f t="shared" si="18"/>
        <v>DON-0388</v>
      </c>
      <c r="B392" s="35">
        <v>45976</v>
      </c>
      <c r="C392" s="36" t="s">
        <v>135</v>
      </c>
      <c r="D392" s="36" t="s">
        <v>5</v>
      </c>
      <c r="E392" s="36" t="s">
        <v>6</v>
      </c>
      <c r="F392" s="36" t="s">
        <v>136</v>
      </c>
      <c r="G392" s="37">
        <v>61</v>
      </c>
      <c r="H392" s="66">
        <v>45982</v>
      </c>
      <c r="I392" s="38">
        <f t="shared" ca="1" si="19"/>
        <v>-217</v>
      </c>
      <c r="J392" s="38" t="str">
        <f t="shared" ca="1" si="20"/>
        <v>EXPIRED</v>
      </c>
      <c r="K392" s="36" t="s">
        <v>175</v>
      </c>
      <c r="L392" s="39"/>
    </row>
    <row r="393" spans="1:12" x14ac:dyDescent="0.35">
      <c r="A393" s="34" t="str">
        <f t="shared" si="18"/>
        <v>DON-0389</v>
      </c>
      <c r="B393" s="35">
        <v>45976</v>
      </c>
      <c r="C393" s="36" t="s">
        <v>149</v>
      </c>
      <c r="D393" s="36" t="s">
        <v>150</v>
      </c>
      <c r="E393" s="36" t="s">
        <v>8</v>
      </c>
      <c r="F393" s="36" t="s">
        <v>75</v>
      </c>
      <c r="G393" s="37">
        <v>24</v>
      </c>
      <c r="H393" s="66">
        <v>46017</v>
      </c>
      <c r="I393" s="38">
        <f t="shared" ca="1" si="19"/>
        <v>-182</v>
      </c>
      <c r="J393" s="38" t="str">
        <f t="shared" ca="1" si="20"/>
        <v>EXPIRED</v>
      </c>
      <c r="K393" s="36" t="s">
        <v>175</v>
      </c>
      <c r="L393" s="39"/>
    </row>
    <row r="394" spans="1:12" x14ac:dyDescent="0.35">
      <c r="A394" s="34" t="str">
        <f t="shared" si="18"/>
        <v>DON-0390</v>
      </c>
      <c r="B394" s="35">
        <v>45976</v>
      </c>
      <c r="C394" s="36" t="s">
        <v>86</v>
      </c>
      <c r="D394" s="36" t="s">
        <v>87</v>
      </c>
      <c r="E394" s="36" t="s">
        <v>74</v>
      </c>
      <c r="F394" s="36" t="s">
        <v>75</v>
      </c>
      <c r="G394" s="37">
        <v>115</v>
      </c>
      <c r="H394" s="66">
        <v>46114</v>
      </c>
      <c r="I394" s="38">
        <f t="shared" ca="1" si="19"/>
        <v>-85</v>
      </c>
      <c r="J394" s="38" t="str">
        <f t="shared" ca="1" si="20"/>
        <v>EXPIRED</v>
      </c>
      <c r="K394" s="36" t="s">
        <v>182</v>
      </c>
      <c r="L394" s="39"/>
    </row>
    <row r="395" spans="1:12" x14ac:dyDescent="0.35">
      <c r="A395" s="34" t="str">
        <f t="shared" si="18"/>
        <v>DON-0391</v>
      </c>
      <c r="B395" s="35">
        <v>45976</v>
      </c>
      <c r="C395" s="36" t="s">
        <v>76</v>
      </c>
      <c r="D395" s="36" t="s">
        <v>77</v>
      </c>
      <c r="E395" s="36" t="s">
        <v>74</v>
      </c>
      <c r="F395" s="36" t="s">
        <v>75</v>
      </c>
      <c r="G395" s="37">
        <v>45</v>
      </c>
      <c r="H395" s="66">
        <v>46121</v>
      </c>
      <c r="I395" s="38">
        <f t="shared" ca="1" si="19"/>
        <v>-78</v>
      </c>
      <c r="J395" s="38" t="str">
        <f t="shared" ca="1" si="20"/>
        <v>EXPIRED</v>
      </c>
      <c r="K395" s="36" t="s">
        <v>182</v>
      </c>
      <c r="L395" s="39"/>
    </row>
    <row r="396" spans="1:12" x14ac:dyDescent="0.35">
      <c r="A396" s="34" t="str">
        <f t="shared" si="18"/>
        <v>DON-0392</v>
      </c>
      <c r="B396" s="35">
        <v>45976</v>
      </c>
      <c r="C396" s="36" t="s">
        <v>94</v>
      </c>
      <c r="D396" s="36" t="s">
        <v>95</v>
      </c>
      <c r="E396" s="36" t="s">
        <v>93</v>
      </c>
      <c r="F396" s="36" t="s">
        <v>96</v>
      </c>
      <c r="G396" s="37">
        <v>59</v>
      </c>
      <c r="H396" s="66">
        <v>46192</v>
      </c>
      <c r="I396" s="38">
        <f t="shared" ca="1" si="19"/>
        <v>-7</v>
      </c>
      <c r="J396" s="38" t="str">
        <f t="shared" ca="1" si="20"/>
        <v>EXPIRED</v>
      </c>
      <c r="K396" s="36" t="s">
        <v>182</v>
      </c>
      <c r="L396" s="39"/>
    </row>
    <row r="397" spans="1:12" x14ac:dyDescent="0.35">
      <c r="A397" s="34" t="str">
        <f t="shared" si="18"/>
        <v>DON-0393</v>
      </c>
      <c r="B397" s="35">
        <v>45976</v>
      </c>
      <c r="C397" s="36" t="s">
        <v>120</v>
      </c>
      <c r="D397" s="36" t="s">
        <v>121</v>
      </c>
      <c r="E397" s="36" t="s">
        <v>14</v>
      </c>
      <c r="F397" s="36" t="s">
        <v>119</v>
      </c>
      <c r="G397" s="37">
        <v>32</v>
      </c>
      <c r="H397" s="66">
        <v>46263</v>
      </c>
      <c r="I397" s="38">
        <f t="shared" ca="1" si="19"/>
        <v>64</v>
      </c>
      <c r="J397" s="38" t="str">
        <f t="shared" ca="1" si="20"/>
        <v>OK</v>
      </c>
      <c r="K397" s="36" t="s">
        <v>175</v>
      </c>
      <c r="L397" s="39"/>
    </row>
    <row r="398" spans="1:12" x14ac:dyDescent="0.35">
      <c r="A398" s="34" t="str">
        <f t="shared" si="18"/>
        <v>DON-0394</v>
      </c>
      <c r="B398" s="35">
        <v>45976</v>
      </c>
      <c r="C398" s="36" t="s">
        <v>48</v>
      </c>
      <c r="D398" s="36" t="s">
        <v>49</v>
      </c>
      <c r="E398" s="36" t="s">
        <v>31</v>
      </c>
      <c r="F398" s="36" t="s">
        <v>50</v>
      </c>
      <c r="G398" s="37">
        <v>110</v>
      </c>
      <c r="H398" s="66">
        <v>46324</v>
      </c>
      <c r="I398" s="38">
        <f t="shared" ca="1" si="19"/>
        <v>125</v>
      </c>
      <c r="J398" s="38" t="str">
        <f t="shared" ca="1" si="20"/>
        <v>OK</v>
      </c>
      <c r="K398" s="36" t="s">
        <v>175</v>
      </c>
      <c r="L398" s="39"/>
    </row>
    <row r="399" spans="1:12" x14ac:dyDescent="0.35">
      <c r="A399" s="34" t="str">
        <f t="shared" si="18"/>
        <v>DON-0395</v>
      </c>
      <c r="B399" s="35">
        <v>45976</v>
      </c>
      <c r="C399" s="36" t="s">
        <v>106</v>
      </c>
      <c r="D399" s="36" t="s">
        <v>107</v>
      </c>
      <c r="E399" s="36" t="s">
        <v>102</v>
      </c>
      <c r="F399" s="36" t="s">
        <v>108</v>
      </c>
      <c r="G399" s="37">
        <v>135</v>
      </c>
      <c r="H399" s="66">
        <v>46561</v>
      </c>
      <c r="I399" s="38">
        <f t="shared" ca="1" si="19"/>
        <v>362</v>
      </c>
      <c r="J399" s="38" t="str">
        <f t="shared" ca="1" si="20"/>
        <v>OK</v>
      </c>
      <c r="K399" s="36" t="s">
        <v>175</v>
      </c>
      <c r="L399" s="39"/>
    </row>
    <row r="400" spans="1:12" x14ac:dyDescent="0.35">
      <c r="A400" s="34" t="str">
        <f t="shared" si="18"/>
        <v>DON-0396</v>
      </c>
      <c r="B400" s="35">
        <v>45976</v>
      </c>
      <c r="C400" s="36" t="s">
        <v>51</v>
      </c>
      <c r="D400" s="36" t="s">
        <v>52</v>
      </c>
      <c r="E400" s="36" t="s">
        <v>53</v>
      </c>
      <c r="F400" s="36" t="s">
        <v>42</v>
      </c>
      <c r="G400" s="37">
        <v>169</v>
      </c>
      <c r="H400" s="66">
        <v>46749</v>
      </c>
      <c r="I400" s="38">
        <f t="shared" ca="1" si="19"/>
        <v>550</v>
      </c>
      <c r="J400" s="38" t="str">
        <f t="shared" ca="1" si="20"/>
        <v>OK</v>
      </c>
      <c r="K400" s="36" t="s">
        <v>175</v>
      </c>
      <c r="L400" s="39"/>
    </row>
    <row r="401" spans="1:12" x14ac:dyDescent="0.35">
      <c r="A401" s="34" t="str">
        <f t="shared" si="18"/>
        <v>DON-0397</v>
      </c>
      <c r="B401" s="35">
        <v>45976</v>
      </c>
      <c r="C401" s="36" t="s">
        <v>106</v>
      </c>
      <c r="D401" s="36" t="s">
        <v>107</v>
      </c>
      <c r="E401" s="36" t="s">
        <v>102</v>
      </c>
      <c r="F401" s="36" t="s">
        <v>108</v>
      </c>
      <c r="G401" s="37">
        <v>161</v>
      </c>
      <c r="H401" s="66">
        <v>47044</v>
      </c>
      <c r="I401" s="38">
        <f t="shared" ca="1" si="19"/>
        <v>845</v>
      </c>
      <c r="J401" s="38" t="str">
        <f t="shared" ca="1" si="20"/>
        <v>OK</v>
      </c>
      <c r="K401" s="36" t="s">
        <v>182</v>
      </c>
      <c r="L401" s="39"/>
    </row>
    <row r="402" spans="1:12" x14ac:dyDescent="0.35">
      <c r="A402" s="34" t="str">
        <f t="shared" si="18"/>
        <v>DON-0398</v>
      </c>
      <c r="B402" s="35">
        <v>45979</v>
      </c>
      <c r="C402" s="36" t="s">
        <v>128</v>
      </c>
      <c r="D402" s="36" t="s">
        <v>9</v>
      </c>
      <c r="E402" s="36" t="s">
        <v>10</v>
      </c>
      <c r="F402" s="36" t="s">
        <v>129</v>
      </c>
      <c r="G402" s="37">
        <v>48</v>
      </c>
      <c r="H402" s="66">
        <v>45983</v>
      </c>
      <c r="I402" s="38">
        <f t="shared" ca="1" si="19"/>
        <v>-216</v>
      </c>
      <c r="J402" s="38" t="str">
        <f t="shared" ca="1" si="20"/>
        <v>EXPIRED</v>
      </c>
      <c r="K402" s="36" t="s">
        <v>181</v>
      </c>
      <c r="L402" s="39"/>
    </row>
    <row r="403" spans="1:12" x14ac:dyDescent="0.35">
      <c r="A403" s="34" t="str">
        <f t="shared" si="18"/>
        <v>DON-0399</v>
      </c>
      <c r="B403" s="35">
        <v>45979</v>
      </c>
      <c r="C403" s="36" t="s">
        <v>144</v>
      </c>
      <c r="D403" s="36" t="s">
        <v>7</v>
      </c>
      <c r="E403" s="36" t="s">
        <v>8</v>
      </c>
      <c r="F403" s="36" t="s">
        <v>145</v>
      </c>
      <c r="G403" s="37">
        <v>37</v>
      </c>
      <c r="H403" s="66">
        <v>45985</v>
      </c>
      <c r="I403" s="38">
        <f t="shared" ca="1" si="19"/>
        <v>-214</v>
      </c>
      <c r="J403" s="38" t="str">
        <f t="shared" ca="1" si="20"/>
        <v>EXPIRED</v>
      </c>
      <c r="K403" s="36" t="s">
        <v>181</v>
      </c>
      <c r="L403" s="39"/>
    </row>
    <row r="404" spans="1:12" x14ac:dyDescent="0.35">
      <c r="A404" s="34" t="str">
        <f t="shared" si="18"/>
        <v>DON-0400</v>
      </c>
      <c r="B404" s="35">
        <v>45979</v>
      </c>
      <c r="C404" s="36" t="s">
        <v>156</v>
      </c>
      <c r="D404" s="36" t="s">
        <v>11</v>
      </c>
      <c r="E404" s="36" t="s">
        <v>12</v>
      </c>
      <c r="F404" s="36" t="s">
        <v>155</v>
      </c>
      <c r="G404" s="37">
        <v>46</v>
      </c>
      <c r="H404" s="66">
        <v>45992</v>
      </c>
      <c r="I404" s="38">
        <f t="shared" ca="1" si="19"/>
        <v>-207</v>
      </c>
      <c r="J404" s="38" t="str">
        <f t="shared" ca="1" si="20"/>
        <v>EXPIRED</v>
      </c>
      <c r="K404" s="36" t="s">
        <v>181</v>
      </c>
      <c r="L404" s="39"/>
    </row>
    <row r="405" spans="1:12" x14ac:dyDescent="0.35">
      <c r="A405" s="34" t="str">
        <f t="shared" si="18"/>
        <v>DON-0401</v>
      </c>
      <c r="B405" s="35">
        <v>45979</v>
      </c>
      <c r="C405" s="36" t="s">
        <v>132</v>
      </c>
      <c r="D405" s="36" t="s">
        <v>133</v>
      </c>
      <c r="E405" s="36" t="s">
        <v>10</v>
      </c>
      <c r="F405" s="36" t="s">
        <v>134</v>
      </c>
      <c r="G405" s="37">
        <v>50</v>
      </c>
      <c r="H405" s="66">
        <v>46026</v>
      </c>
      <c r="I405" s="38">
        <f t="shared" ca="1" si="19"/>
        <v>-173</v>
      </c>
      <c r="J405" s="38" t="str">
        <f t="shared" ca="1" si="20"/>
        <v>EXPIRED</v>
      </c>
      <c r="K405" s="36" t="s">
        <v>181</v>
      </c>
      <c r="L405" s="39"/>
    </row>
    <row r="406" spans="1:12" x14ac:dyDescent="0.35">
      <c r="A406" s="34" t="str">
        <f t="shared" si="18"/>
        <v>DON-0402</v>
      </c>
      <c r="B406" s="35">
        <v>45979</v>
      </c>
      <c r="C406" s="36" t="s">
        <v>88</v>
      </c>
      <c r="D406" s="36" t="s">
        <v>89</v>
      </c>
      <c r="E406" s="36" t="s">
        <v>74</v>
      </c>
      <c r="F406" s="36" t="s">
        <v>90</v>
      </c>
      <c r="G406" s="37">
        <v>64</v>
      </c>
      <c r="H406" s="66">
        <v>46126</v>
      </c>
      <c r="I406" s="38">
        <f t="shared" ca="1" si="19"/>
        <v>-73</v>
      </c>
      <c r="J406" s="38" t="str">
        <f t="shared" ca="1" si="20"/>
        <v>EXPIRED</v>
      </c>
      <c r="K406" s="36" t="s">
        <v>181</v>
      </c>
      <c r="L406" s="39"/>
    </row>
    <row r="407" spans="1:12" x14ac:dyDescent="0.35">
      <c r="A407" s="34" t="str">
        <f t="shared" si="18"/>
        <v>DON-0403</v>
      </c>
      <c r="B407" s="35">
        <v>45979</v>
      </c>
      <c r="C407" s="36" t="s">
        <v>51</v>
      </c>
      <c r="D407" s="36" t="s">
        <v>52</v>
      </c>
      <c r="E407" s="36" t="s">
        <v>53</v>
      </c>
      <c r="F407" s="36" t="s">
        <v>42</v>
      </c>
      <c r="G407" s="37">
        <v>80</v>
      </c>
      <c r="H407" s="66">
        <v>46837</v>
      </c>
      <c r="I407" s="38">
        <f t="shared" ca="1" si="19"/>
        <v>638</v>
      </c>
      <c r="J407" s="38" t="str">
        <f t="shared" ca="1" si="20"/>
        <v>OK</v>
      </c>
      <c r="K407" s="36" t="s">
        <v>181</v>
      </c>
      <c r="L407" s="39"/>
    </row>
    <row r="408" spans="1:12" x14ac:dyDescent="0.35">
      <c r="A408" s="34" t="str">
        <f t="shared" si="18"/>
        <v>DON-0404</v>
      </c>
      <c r="B408" s="35">
        <v>45979</v>
      </c>
      <c r="C408" s="36" t="s">
        <v>40</v>
      </c>
      <c r="D408" s="36" t="s">
        <v>41</v>
      </c>
      <c r="E408" s="36" t="s">
        <v>31</v>
      </c>
      <c r="F408" s="36" t="s">
        <v>42</v>
      </c>
      <c r="G408" s="37">
        <v>108</v>
      </c>
      <c r="H408" s="66">
        <v>47025</v>
      </c>
      <c r="I408" s="38">
        <f t="shared" ca="1" si="19"/>
        <v>826</v>
      </c>
      <c r="J408" s="38" t="str">
        <f t="shared" ca="1" si="20"/>
        <v>OK</v>
      </c>
      <c r="K408" s="36" t="s">
        <v>181</v>
      </c>
      <c r="L408" s="39"/>
    </row>
    <row r="409" spans="1:12" x14ac:dyDescent="0.35">
      <c r="A409" s="34" t="str">
        <f t="shared" si="18"/>
        <v>DON-0405</v>
      </c>
      <c r="B409" s="35">
        <v>45980</v>
      </c>
      <c r="C409" s="36" t="s">
        <v>149</v>
      </c>
      <c r="D409" s="36" t="s">
        <v>150</v>
      </c>
      <c r="E409" s="36" t="s">
        <v>8</v>
      </c>
      <c r="F409" s="36" t="s">
        <v>75</v>
      </c>
      <c r="G409" s="37">
        <v>16</v>
      </c>
      <c r="H409" s="66">
        <v>46009</v>
      </c>
      <c r="I409" s="38">
        <f t="shared" ca="1" si="19"/>
        <v>-190</v>
      </c>
      <c r="J409" s="38" t="str">
        <f t="shared" ca="1" si="20"/>
        <v>EXPIRED</v>
      </c>
      <c r="K409" s="36" t="s">
        <v>181</v>
      </c>
      <c r="L409" s="39"/>
    </row>
    <row r="410" spans="1:12" x14ac:dyDescent="0.35">
      <c r="A410" s="34" t="str">
        <f t="shared" si="18"/>
        <v>DON-0406</v>
      </c>
      <c r="B410" s="35">
        <v>45980</v>
      </c>
      <c r="C410" s="36" t="s">
        <v>88</v>
      </c>
      <c r="D410" s="36" t="s">
        <v>89</v>
      </c>
      <c r="E410" s="36" t="s">
        <v>74</v>
      </c>
      <c r="F410" s="36" t="s">
        <v>90</v>
      </c>
      <c r="G410" s="37">
        <v>90</v>
      </c>
      <c r="H410" s="66">
        <v>46108</v>
      </c>
      <c r="I410" s="38">
        <f t="shared" ca="1" si="19"/>
        <v>-91</v>
      </c>
      <c r="J410" s="38" t="str">
        <f t="shared" ca="1" si="20"/>
        <v>EXPIRED</v>
      </c>
      <c r="K410" s="36" t="s">
        <v>181</v>
      </c>
      <c r="L410" s="39"/>
    </row>
    <row r="411" spans="1:12" x14ac:dyDescent="0.35">
      <c r="A411" s="34" t="str">
        <f t="shared" si="18"/>
        <v>DON-0407</v>
      </c>
      <c r="B411" s="35">
        <v>45980</v>
      </c>
      <c r="C411" s="36" t="s">
        <v>157</v>
      </c>
      <c r="D411" s="36" t="s">
        <v>158</v>
      </c>
      <c r="E411" s="36" t="s">
        <v>159</v>
      </c>
      <c r="F411" s="36" t="s">
        <v>160</v>
      </c>
      <c r="G411" s="37">
        <v>42</v>
      </c>
      <c r="H411" s="66">
        <v>46203</v>
      </c>
      <c r="I411" s="38">
        <f t="shared" ca="1" si="19"/>
        <v>4</v>
      </c>
      <c r="J411" s="38" t="str">
        <f t="shared" ca="1" si="20"/>
        <v>WARNING</v>
      </c>
      <c r="K411" s="36" t="s">
        <v>181</v>
      </c>
      <c r="L411" s="39"/>
    </row>
    <row r="412" spans="1:12" x14ac:dyDescent="0.35">
      <c r="A412" s="34" t="str">
        <f t="shared" si="18"/>
        <v>DON-0408</v>
      </c>
      <c r="B412" s="35">
        <v>45980</v>
      </c>
      <c r="C412" s="36" t="s">
        <v>91</v>
      </c>
      <c r="D412" s="36" t="s">
        <v>92</v>
      </c>
      <c r="E412" s="36" t="s">
        <v>93</v>
      </c>
      <c r="F412" s="36" t="s">
        <v>85</v>
      </c>
      <c r="G412" s="37">
        <v>27</v>
      </c>
      <c r="H412" s="66">
        <v>46236</v>
      </c>
      <c r="I412" s="38">
        <f t="shared" ca="1" si="19"/>
        <v>37</v>
      </c>
      <c r="J412" s="38" t="str">
        <f t="shared" ca="1" si="20"/>
        <v>OK</v>
      </c>
      <c r="K412" s="36" t="s">
        <v>181</v>
      </c>
      <c r="L412" s="39"/>
    </row>
    <row r="413" spans="1:12" x14ac:dyDescent="0.35">
      <c r="A413" s="34" t="str">
        <f t="shared" si="18"/>
        <v>DON-0409</v>
      </c>
      <c r="B413" s="35">
        <v>45980</v>
      </c>
      <c r="C413" s="36" t="s">
        <v>83</v>
      </c>
      <c r="D413" s="36" t="s">
        <v>84</v>
      </c>
      <c r="E413" s="36" t="s">
        <v>74</v>
      </c>
      <c r="F413" s="36" t="s">
        <v>85</v>
      </c>
      <c r="G413" s="37">
        <v>43</v>
      </c>
      <c r="H413" s="66">
        <v>46290</v>
      </c>
      <c r="I413" s="38">
        <f t="shared" ca="1" si="19"/>
        <v>91</v>
      </c>
      <c r="J413" s="38" t="str">
        <f t="shared" ca="1" si="20"/>
        <v>OK</v>
      </c>
      <c r="K413" s="36" t="s">
        <v>181</v>
      </c>
      <c r="L413" s="39"/>
    </row>
    <row r="414" spans="1:12" x14ac:dyDescent="0.35">
      <c r="A414" s="34" t="str">
        <f t="shared" si="18"/>
        <v>DON-0410</v>
      </c>
      <c r="B414" s="35">
        <v>45981</v>
      </c>
      <c r="C414" s="36" t="s">
        <v>94</v>
      </c>
      <c r="D414" s="36" t="s">
        <v>95</v>
      </c>
      <c r="E414" s="36" t="s">
        <v>93</v>
      </c>
      <c r="F414" s="36" t="s">
        <v>96</v>
      </c>
      <c r="G414" s="37">
        <v>59</v>
      </c>
      <c r="H414" s="66">
        <v>46114</v>
      </c>
      <c r="I414" s="38">
        <f t="shared" ca="1" si="19"/>
        <v>-85</v>
      </c>
      <c r="J414" s="38" t="str">
        <f t="shared" ca="1" si="20"/>
        <v>EXPIRED</v>
      </c>
      <c r="K414" s="36" t="s">
        <v>177</v>
      </c>
      <c r="L414" s="39"/>
    </row>
    <row r="415" spans="1:12" x14ac:dyDescent="0.35">
      <c r="A415" s="34" t="str">
        <f t="shared" si="18"/>
        <v>DON-0411</v>
      </c>
      <c r="B415" s="35">
        <v>45981</v>
      </c>
      <c r="C415" s="36" t="s">
        <v>117</v>
      </c>
      <c r="D415" s="36" t="s">
        <v>118</v>
      </c>
      <c r="E415" s="36" t="s">
        <v>14</v>
      </c>
      <c r="F415" s="36" t="s">
        <v>119</v>
      </c>
      <c r="G415" s="37">
        <v>31</v>
      </c>
      <c r="H415" s="66">
        <v>46120</v>
      </c>
      <c r="I415" s="38">
        <f t="shared" ca="1" si="19"/>
        <v>-79</v>
      </c>
      <c r="J415" s="38" t="str">
        <f t="shared" ca="1" si="20"/>
        <v>EXPIRED</v>
      </c>
      <c r="K415" s="36" t="s">
        <v>181</v>
      </c>
      <c r="L415" s="39"/>
    </row>
    <row r="416" spans="1:12" x14ac:dyDescent="0.35">
      <c r="A416" s="34" t="str">
        <f t="shared" si="18"/>
        <v>DON-0412</v>
      </c>
      <c r="B416" s="35">
        <v>45981</v>
      </c>
      <c r="C416" s="36" t="s">
        <v>83</v>
      </c>
      <c r="D416" s="36" t="s">
        <v>84</v>
      </c>
      <c r="E416" s="36" t="s">
        <v>74</v>
      </c>
      <c r="F416" s="36" t="s">
        <v>85</v>
      </c>
      <c r="G416" s="37">
        <v>94</v>
      </c>
      <c r="H416" s="66">
        <v>46171</v>
      </c>
      <c r="I416" s="38">
        <f t="shared" ca="1" si="19"/>
        <v>-28</v>
      </c>
      <c r="J416" s="38" t="str">
        <f t="shared" ca="1" si="20"/>
        <v>EXPIRED</v>
      </c>
      <c r="K416" s="36" t="s">
        <v>177</v>
      </c>
      <c r="L416" s="39"/>
    </row>
    <row r="417" spans="1:12" x14ac:dyDescent="0.35">
      <c r="A417" s="34" t="str">
        <f t="shared" si="18"/>
        <v>DON-0413</v>
      </c>
      <c r="B417" s="35">
        <v>45981</v>
      </c>
      <c r="C417" s="36" t="s">
        <v>86</v>
      </c>
      <c r="D417" s="36" t="s">
        <v>87</v>
      </c>
      <c r="E417" s="36" t="s">
        <v>74</v>
      </c>
      <c r="F417" s="36" t="s">
        <v>75</v>
      </c>
      <c r="G417" s="37">
        <v>75</v>
      </c>
      <c r="H417" s="66">
        <v>46210</v>
      </c>
      <c r="I417" s="38">
        <f t="shared" ca="1" si="19"/>
        <v>11</v>
      </c>
      <c r="J417" s="38" t="str">
        <f t="shared" ca="1" si="20"/>
        <v>NOTICE</v>
      </c>
      <c r="K417" s="36" t="s">
        <v>177</v>
      </c>
      <c r="L417" s="39"/>
    </row>
    <row r="418" spans="1:12" x14ac:dyDescent="0.35">
      <c r="A418" s="34" t="str">
        <f t="shared" si="18"/>
        <v>DON-0414</v>
      </c>
      <c r="B418" s="35">
        <v>45981</v>
      </c>
      <c r="C418" s="36" t="s">
        <v>86</v>
      </c>
      <c r="D418" s="36" t="s">
        <v>87</v>
      </c>
      <c r="E418" s="36" t="s">
        <v>74</v>
      </c>
      <c r="F418" s="36" t="s">
        <v>75</v>
      </c>
      <c r="G418" s="37">
        <v>48</v>
      </c>
      <c r="H418" s="66">
        <v>46238</v>
      </c>
      <c r="I418" s="38">
        <f t="shared" ca="1" si="19"/>
        <v>39</v>
      </c>
      <c r="J418" s="38" t="str">
        <f t="shared" ca="1" si="20"/>
        <v>OK</v>
      </c>
      <c r="K418" s="36" t="s">
        <v>181</v>
      </c>
      <c r="L418" s="39"/>
    </row>
    <row r="419" spans="1:12" x14ac:dyDescent="0.35">
      <c r="A419" s="34" t="str">
        <f t="shared" si="18"/>
        <v>DON-0415</v>
      </c>
      <c r="B419" s="35">
        <v>45981</v>
      </c>
      <c r="C419" s="36" t="s">
        <v>81</v>
      </c>
      <c r="D419" s="36" t="s">
        <v>82</v>
      </c>
      <c r="E419" s="36" t="s">
        <v>74</v>
      </c>
      <c r="F419" s="36" t="s">
        <v>80</v>
      </c>
      <c r="G419" s="37">
        <v>100</v>
      </c>
      <c r="H419" s="66">
        <v>46313</v>
      </c>
      <c r="I419" s="38">
        <f t="shared" ca="1" si="19"/>
        <v>114</v>
      </c>
      <c r="J419" s="38" t="str">
        <f t="shared" ca="1" si="20"/>
        <v>OK</v>
      </c>
      <c r="K419" s="36" t="s">
        <v>181</v>
      </c>
      <c r="L419" s="39"/>
    </row>
    <row r="420" spans="1:12" x14ac:dyDescent="0.35">
      <c r="A420" s="34" t="str">
        <f t="shared" si="18"/>
        <v>DON-0416</v>
      </c>
      <c r="B420" s="35">
        <v>45981</v>
      </c>
      <c r="C420" s="36" t="s">
        <v>88</v>
      </c>
      <c r="D420" s="36" t="s">
        <v>89</v>
      </c>
      <c r="E420" s="36" t="s">
        <v>74</v>
      </c>
      <c r="F420" s="36" t="s">
        <v>90</v>
      </c>
      <c r="G420" s="37">
        <v>87</v>
      </c>
      <c r="H420" s="66">
        <v>46328</v>
      </c>
      <c r="I420" s="38">
        <f t="shared" ca="1" si="19"/>
        <v>129</v>
      </c>
      <c r="J420" s="38" t="str">
        <f t="shared" ca="1" si="20"/>
        <v>OK</v>
      </c>
      <c r="K420" s="36" t="s">
        <v>177</v>
      </c>
      <c r="L420" s="39"/>
    </row>
    <row r="421" spans="1:12" x14ac:dyDescent="0.35">
      <c r="A421" s="34" t="str">
        <f t="shared" si="18"/>
        <v>DON-0417</v>
      </c>
      <c r="B421" s="35">
        <v>45981</v>
      </c>
      <c r="C421" s="36" t="s">
        <v>59</v>
      </c>
      <c r="D421" s="36" t="s">
        <v>60</v>
      </c>
      <c r="E421" s="36" t="s">
        <v>53</v>
      </c>
      <c r="F421" s="36" t="s">
        <v>56</v>
      </c>
      <c r="G421" s="37">
        <v>66</v>
      </c>
      <c r="H421" s="66">
        <v>46507</v>
      </c>
      <c r="I421" s="38">
        <f t="shared" ca="1" si="19"/>
        <v>308</v>
      </c>
      <c r="J421" s="38" t="str">
        <f t="shared" ca="1" si="20"/>
        <v>OK</v>
      </c>
      <c r="K421" s="36" t="s">
        <v>177</v>
      </c>
      <c r="L421" s="39"/>
    </row>
    <row r="422" spans="1:12" x14ac:dyDescent="0.35">
      <c r="A422" s="34" t="str">
        <f t="shared" si="18"/>
        <v>DON-0418</v>
      </c>
      <c r="B422" s="35">
        <v>45981</v>
      </c>
      <c r="C422" s="36" t="s">
        <v>51</v>
      </c>
      <c r="D422" s="36" t="s">
        <v>52</v>
      </c>
      <c r="E422" s="36" t="s">
        <v>53</v>
      </c>
      <c r="F422" s="36" t="s">
        <v>42</v>
      </c>
      <c r="G422" s="37">
        <v>152</v>
      </c>
      <c r="H422" s="66">
        <v>46858</v>
      </c>
      <c r="I422" s="38">
        <f t="shared" ca="1" si="19"/>
        <v>659</v>
      </c>
      <c r="J422" s="38" t="str">
        <f t="shared" ca="1" si="20"/>
        <v>OK</v>
      </c>
      <c r="K422" s="36" t="s">
        <v>181</v>
      </c>
      <c r="L422" s="39"/>
    </row>
    <row r="423" spans="1:12" x14ac:dyDescent="0.35">
      <c r="A423" s="34" t="str">
        <f t="shared" si="18"/>
        <v>DON-0419</v>
      </c>
      <c r="B423" s="35">
        <v>45981</v>
      </c>
      <c r="C423" s="36" t="s">
        <v>111</v>
      </c>
      <c r="D423" s="36" t="s">
        <v>112</v>
      </c>
      <c r="E423" s="36" t="s">
        <v>102</v>
      </c>
      <c r="F423" s="36" t="s">
        <v>113</v>
      </c>
      <c r="G423" s="37">
        <v>141</v>
      </c>
      <c r="H423" s="66">
        <v>46927</v>
      </c>
      <c r="I423" s="38">
        <f t="shared" ca="1" si="19"/>
        <v>728</v>
      </c>
      <c r="J423" s="38" t="str">
        <f t="shared" ca="1" si="20"/>
        <v>OK</v>
      </c>
      <c r="K423" s="36" t="s">
        <v>177</v>
      </c>
      <c r="L423" s="39"/>
    </row>
    <row r="424" spans="1:12" x14ac:dyDescent="0.35">
      <c r="A424" s="34" t="str">
        <f t="shared" si="18"/>
        <v>DON-0420</v>
      </c>
      <c r="B424" s="35">
        <v>45981</v>
      </c>
      <c r="C424" s="36" t="s">
        <v>29</v>
      </c>
      <c r="D424" s="36" t="s">
        <v>30</v>
      </c>
      <c r="E424" s="36" t="s">
        <v>31</v>
      </c>
      <c r="F424" s="36" t="s">
        <v>32</v>
      </c>
      <c r="G424" s="37">
        <v>127</v>
      </c>
      <c r="H424" s="66">
        <v>47030</v>
      </c>
      <c r="I424" s="38">
        <f t="shared" ca="1" si="19"/>
        <v>831</v>
      </c>
      <c r="J424" s="38" t="str">
        <f t="shared" ca="1" si="20"/>
        <v>OK</v>
      </c>
      <c r="K424" s="36" t="s">
        <v>181</v>
      </c>
      <c r="L424" s="39"/>
    </row>
    <row r="425" spans="1:12" x14ac:dyDescent="0.35">
      <c r="A425" s="34" t="str">
        <f t="shared" si="18"/>
        <v>DON-0421</v>
      </c>
      <c r="B425" s="35">
        <v>45983</v>
      </c>
      <c r="C425" s="36" t="s">
        <v>91</v>
      </c>
      <c r="D425" s="36" t="s">
        <v>92</v>
      </c>
      <c r="E425" s="36" t="s">
        <v>93</v>
      </c>
      <c r="F425" s="36" t="s">
        <v>85</v>
      </c>
      <c r="G425" s="37">
        <v>71</v>
      </c>
      <c r="H425" s="66">
        <v>46118</v>
      </c>
      <c r="I425" s="38">
        <f t="shared" ca="1" si="19"/>
        <v>-81</v>
      </c>
      <c r="J425" s="38" t="str">
        <f t="shared" ca="1" si="20"/>
        <v>EXPIRED</v>
      </c>
      <c r="K425" s="36" t="s">
        <v>179</v>
      </c>
      <c r="L425" s="39"/>
    </row>
    <row r="426" spans="1:12" x14ac:dyDescent="0.35">
      <c r="A426" s="34" t="str">
        <f t="shared" si="18"/>
        <v>DON-0422</v>
      </c>
      <c r="B426" s="35">
        <v>45983</v>
      </c>
      <c r="C426" s="36" t="s">
        <v>120</v>
      </c>
      <c r="D426" s="36" t="s">
        <v>121</v>
      </c>
      <c r="E426" s="36" t="s">
        <v>14</v>
      </c>
      <c r="F426" s="36" t="s">
        <v>119</v>
      </c>
      <c r="G426" s="37">
        <v>24</v>
      </c>
      <c r="H426" s="66">
        <v>46182</v>
      </c>
      <c r="I426" s="38">
        <f t="shared" ca="1" si="19"/>
        <v>-17</v>
      </c>
      <c r="J426" s="38" t="str">
        <f t="shared" ca="1" si="20"/>
        <v>EXPIRED</v>
      </c>
      <c r="K426" s="36" t="s">
        <v>179</v>
      </c>
      <c r="L426" s="39"/>
    </row>
    <row r="427" spans="1:12" x14ac:dyDescent="0.35">
      <c r="A427" s="34" t="str">
        <f t="shared" si="18"/>
        <v>DON-0423</v>
      </c>
      <c r="B427" s="35">
        <v>45983</v>
      </c>
      <c r="C427" s="36" t="s">
        <v>78</v>
      </c>
      <c r="D427" s="36" t="s">
        <v>79</v>
      </c>
      <c r="E427" s="36" t="s">
        <v>74</v>
      </c>
      <c r="F427" s="36" t="s">
        <v>80</v>
      </c>
      <c r="G427" s="37">
        <v>47</v>
      </c>
      <c r="H427" s="66">
        <v>46573</v>
      </c>
      <c r="I427" s="38">
        <f t="shared" ca="1" si="19"/>
        <v>374</v>
      </c>
      <c r="J427" s="38" t="str">
        <f t="shared" ca="1" si="20"/>
        <v>OK</v>
      </c>
      <c r="K427" s="36" t="s">
        <v>179</v>
      </c>
      <c r="L427" s="39"/>
    </row>
    <row r="428" spans="1:12" x14ac:dyDescent="0.35">
      <c r="A428" s="34" t="str">
        <f t="shared" si="18"/>
        <v>DON-0424</v>
      </c>
      <c r="B428" s="35">
        <v>45983</v>
      </c>
      <c r="C428" s="36" t="s">
        <v>106</v>
      </c>
      <c r="D428" s="36" t="s">
        <v>107</v>
      </c>
      <c r="E428" s="36" t="s">
        <v>102</v>
      </c>
      <c r="F428" s="36" t="s">
        <v>108</v>
      </c>
      <c r="G428" s="37">
        <v>53</v>
      </c>
      <c r="H428" s="66">
        <v>46656</v>
      </c>
      <c r="I428" s="38">
        <f t="shared" ca="1" si="19"/>
        <v>457</v>
      </c>
      <c r="J428" s="38" t="str">
        <f t="shared" ca="1" si="20"/>
        <v>OK</v>
      </c>
      <c r="K428" s="36" t="s">
        <v>179</v>
      </c>
      <c r="L428" s="39"/>
    </row>
    <row r="429" spans="1:12" x14ac:dyDescent="0.35">
      <c r="A429" s="34" t="str">
        <f t="shared" si="18"/>
        <v>DON-0425</v>
      </c>
      <c r="B429" s="35">
        <v>45983</v>
      </c>
      <c r="C429" s="36" t="s">
        <v>51</v>
      </c>
      <c r="D429" s="36" t="s">
        <v>52</v>
      </c>
      <c r="E429" s="36" t="s">
        <v>53</v>
      </c>
      <c r="F429" s="36" t="s">
        <v>42</v>
      </c>
      <c r="G429" s="37">
        <v>65</v>
      </c>
      <c r="H429" s="66">
        <v>46752</v>
      </c>
      <c r="I429" s="38">
        <f t="shared" ca="1" si="19"/>
        <v>553</v>
      </c>
      <c r="J429" s="38" t="str">
        <f t="shared" ca="1" si="20"/>
        <v>OK</v>
      </c>
      <c r="K429" s="36" t="s">
        <v>179</v>
      </c>
      <c r="L429" s="39"/>
    </row>
    <row r="430" spans="1:12" x14ac:dyDescent="0.35">
      <c r="A430" s="34" t="str">
        <f t="shared" si="18"/>
        <v>DON-0426</v>
      </c>
      <c r="B430" s="35">
        <v>45983</v>
      </c>
      <c r="C430" s="36" t="s">
        <v>67</v>
      </c>
      <c r="D430" s="36" t="s">
        <v>68</v>
      </c>
      <c r="E430" s="36" t="s">
        <v>66</v>
      </c>
      <c r="F430" s="36" t="s">
        <v>42</v>
      </c>
      <c r="G430" s="37">
        <v>93</v>
      </c>
      <c r="H430" s="66">
        <v>46846</v>
      </c>
      <c r="I430" s="38">
        <f t="shared" ca="1" si="19"/>
        <v>647</v>
      </c>
      <c r="J430" s="38" t="str">
        <f t="shared" ca="1" si="20"/>
        <v>OK</v>
      </c>
      <c r="K430" s="36" t="s">
        <v>179</v>
      </c>
      <c r="L430" s="39"/>
    </row>
    <row r="431" spans="1:12" x14ac:dyDescent="0.35">
      <c r="A431" s="34" t="str">
        <f t="shared" si="18"/>
        <v>DON-0427</v>
      </c>
      <c r="B431" s="35">
        <v>45989</v>
      </c>
      <c r="C431" s="36" t="s">
        <v>132</v>
      </c>
      <c r="D431" s="36" t="s">
        <v>133</v>
      </c>
      <c r="E431" s="36" t="s">
        <v>10</v>
      </c>
      <c r="F431" s="36" t="s">
        <v>134</v>
      </c>
      <c r="G431" s="37">
        <v>19</v>
      </c>
      <c r="H431" s="66">
        <v>46049</v>
      </c>
      <c r="I431" s="38">
        <f t="shared" ca="1" si="19"/>
        <v>-150</v>
      </c>
      <c r="J431" s="38" t="str">
        <f t="shared" ca="1" si="20"/>
        <v>EXPIRED</v>
      </c>
      <c r="K431" s="36" t="s">
        <v>182</v>
      </c>
      <c r="L431" s="39"/>
    </row>
    <row r="432" spans="1:12" x14ac:dyDescent="0.35">
      <c r="A432" s="34" t="str">
        <f t="shared" si="18"/>
        <v>DON-0428</v>
      </c>
      <c r="B432" s="35">
        <v>45989</v>
      </c>
      <c r="C432" s="36" t="s">
        <v>48</v>
      </c>
      <c r="D432" s="36" t="s">
        <v>49</v>
      </c>
      <c r="E432" s="36" t="s">
        <v>31</v>
      </c>
      <c r="F432" s="36" t="s">
        <v>50</v>
      </c>
      <c r="G432" s="37">
        <v>78</v>
      </c>
      <c r="H432" s="66">
        <v>46149</v>
      </c>
      <c r="I432" s="38">
        <f t="shared" ca="1" si="19"/>
        <v>-50</v>
      </c>
      <c r="J432" s="38" t="str">
        <f t="shared" ca="1" si="20"/>
        <v>EXPIRED</v>
      </c>
      <c r="K432" s="36" t="s">
        <v>181</v>
      </c>
      <c r="L432" s="39"/>
    </row>
    <row r="433" spans="1:12" x14ac:dyDescent="0.35">
      <c r="A433" s="34" t="str">
        <f t="shared" si="18"/>
        <v>DON-0429</v>
      </c>
      <c r="B433" s="35">
        <v>45989</v>
      </c>
      <c r="C433" s="36" t="s">
        <v>48</v>
      </c>
      <c r="D433" s="36" t="s">
        <v>49</v>
      </c>
      <c r="E433" s="36" t="s">
        <v>31</v>
      </c>
      <c r="F433" s="36" t="s">
        <v>50</v>
      </c>
      <c r="G433" s="37">
        <v>66</v>
      </c>
      <c r="H433" s="66">
        <v>46332</v>
      </c>
      <c r="I433" s="38">
        <f t="shared" ca="1" si="19"/>
        <v>133</v>
      </c>
      <c r="J433" s="38" t="str">
        <f t="shared" ca="1" si="20"/>
        <v>OK</v>
      </c>
      <c r="K433" s="36" t="s">
        <v>182</v>
      </c>
      <c r="L433" s="39"/>
    </row>
    <row r="434" spans="1:12" x14ac:dyDescent="0.35">
      <c r="A434" s="34" t="str">
        <f t="shared" si="18"/>
        <v>DON-0430</v>
      </c>
      <c r="B434" s="35">
        <v>45989</v>
      </c>
      <c r="C434" s="36" t="s">
        <v>76</v>
      </c>
      <c r="D434" s="36" t="s">
        <v>77</v>
      </c>
      <c r="E434" s="36" t="s">
        <v>74</v>
      </c>
      <c r="F434" s="36" t="s">
        <v>75</v>
      </c>
      <c r="G434" s="37">
        <v>44</v>
      </c>
      <c r="H434" s="66">
        <v>46353</v>
      </c>
      <c r="I434" s="38">
        <f t="shared" ca="1" si="19"/>
        <v>154</v>
      </c>
      <c r="J434" s="38" t="str">
        <f t="shared" ca="1" si="20"/>
        <v>OK</v>
      </c>
      <c r="K434" s="36" t="s">
        <v>181</v>
      </c>
      <c r="L434" s="39"/>
    </row>
    <row r="435" spans="1:12" x14ac:dyDescent="0.35">
      <c r="A435" s="34" t="str">
        <f t="shared" si="18"/>
        <v>DON-0431</v>
      </c>
      <c r="B435" s="35">
        <v>45989</v>
      </c>
      <c r="C435" s="36" t="s">
        <v>72</v>
      </c>
      <c r="D435" s="36" t="s">
        <v>73</v>
      </c>
      <c r="E435" s="36" t="s">
        <v>74</v>
      </c>
      <c r="F435" s="36" t="s">
        <v>75</v>
      </c>
      <c r="G435" s="37">
        <v>63</v>
      </c>
      <c r="H435" s="66">
        <v>46405</v>
      </c>
      <c r="I435" s="38">
        <f t="shared" ca="1" si="19"/>
        <v>206</v>
      </c>
      <c r="J435" s="38" t="str">
        <f t="shared" ca="1" si="20"/>
        <v>OK</v>
      </c>
      <c r="K435" s="36" t="s">
        <v>182</v>
      </c>
      <c r="L435" s="39"/>
    </row>
    <row r="436" spans="1:12" x14ac:dyDescent="0.35">
      <c r="A436" s="34" t="str">
        <f t="shared" si="18"/>
        <v>DON-0432</v>
      </c>
      <c r="B436" s="35">
        <v>45989</v>
      </c>
      <c r="C436" s="36" t="s">
        <v>106</v>
      </c>
      <c r="D436" s="36" t="s">
        <v>107</v>
      </c>
      <c r="E436" s="36" t="s">
        <v>102</v>
      </c>
      <c r="F436" s="36" t="s">
        <v>108</v>
      </c>
      <c r="G436" s="37">
        <v>77</v>
      </c>
      <c r="H436" s="66">
        <v>46526</v>
      </c>
      <c r="I436" s="38">
        <f t="shared" ca="1" si="19"/>
        <v>327</v>
      </c>
      <c r="J436" s="38" t="str">
        <f t="shared" ca="1" si="20"/>
        <v>OK</v>
      </c>
      <c r="K436" s="36" t="s">
        <v>182</v>
      </c>
      <c r="L436" s="39"/>
    </row>
    <row r="437" spans="1:12" x14ac:dyDescent="0.35">
      <c r="A437" s="34" t="str">
        <f t="shared" si="18"/>
        <v>DON-0433</v>
      </c>
      <c r="B437" s="35">
        <v>45989</v>
      </c>
      <c r="C437" s="36" t="s">
        <v>64</v>
      </c>
      <c r="D437" s="36" t="s">
        <v>65</v>
      </c>
      <c r="E437" s="36" t="s">
        <v>66</v>
      </c>
      <c r="F437" s="36" t="s">
        <v>42</v>
      </c>
      <c r="G437" s="37">
        <v>101</v>
      </c>
      <c r="H437" s="66">
        <v>46859</v>
      </c>
      <c r="I437" s="38">
        <f t="shared" ca="1" si="19"/>
        <v>660</v>
      </c>
      <c r="J437" s="38" t="str">
        <f t="shared" ca="1" si="20"/>
        <v>OK</v>
      </c>
      <c r="K437" s="36" t="s">
        <v>181</v>
      </c>
      <c r="L437" s="39"/>
    </row>
    <row r="438" spans="1:12" x14ac:dyDescent="0.35">
      <c r="A438" s="34" t="str">
        <f t="shared" si="18"/>
        <v>DON-0434</v>
      </c>
      <c r="B438" s="35">
        <v>45989</v>
      </c>
      <c r="C438" s="36" t="s">
        <v>100</v>
      </c>
      <c r="D438" s="36" t="s">
        <v>101</v>
      </c>
      <c r="E438" s="36" t="s">
        <v>102</v>
      </c>
      <c r="F438" s="36" t="s">
        <v>103</v>
      </c>
      <c r="G438" s="37">
        <v>65</v>
      </c>
      <c r="H438" s="66">
        <v>46876</v>
      </c>
      <c r="I438" s="38">
        <f t="shared" ca="1" si="19"/>
        <v>677</v>
      </c>
      <c r="J438" s="38" t="str">
        <f t="shared" ca="1" si="20"/>
        <v>OK</v>
      </c>
      <c r="K438" s="36" t="s">
        <v>182</v>
      </c>
      <c r="L438" s="39"/>
    </row>
    <row r="439" spans="1:12" x14ac:dyDescent="0.35">
      <c r="A439" s="34" t="str">
        <f t="shared" si="18"/>
        <v>DON-0435</v>
      </c>
      <c r="B439" s="35">
        <v>45989</v>
      </c>
      <c r="C439" s="36" t="s">
        <v>57</v>
      </c>
      <c r="D439" s="36" t="s">
        <v>58</v>
      </c>
      <c r="E439" s="36" t="s">
        <v>53</v>
      </c>
      <c r="F439" s="36" t="s">
        <v>42</v>
      </c>
      <c r="G439" s="37">
        <v>160</v>
      </c>
      <c r="H439" s="66">
        <v>47025</v>
      </c>
      <c r="I439" s="38">
        <f t="shared" ca="1" si="19"/>
        <v>826</v>
      </c>
      <c r="J439" s="38" t="str">
        <f t="shared" ca="1" si="20"/>
        <v>OK</v>
      </c>
      <c r="K439" s="36" t="s">
        <v>181</v>
      </c>
      <c r="L439" s="39"/>
    </row>
    <row r="440" spans="1:12" x14ac:dyDescent="0.35">
      <c r="A440" s="34" t="str">
        <f t="shared" si="18"/>
        <v>DON-0436</v>
      </c>
      <c r="B440" s="35">
        <v>45989</v>
      </c>
      <c r="C440" s="36" t="s">
        <v>122</v>
      </c>
      <c r="D440" s="36" t="s">
        <v>123</v>
      </c>
      <c r="E440" s="36" t="s">
        <v>14</v>
      </c>
      <c r="F440" s="36" t="s">
        <v>124</v>
      </c>
      <c r="G440" s="37">
        <v>16</v>
      </c>
      <c r="H440" s="66">
        <v>47312</v>
      </c>
      <c r="I440" s="38">
        <f t="shared" ca="1" si="19"/>
        <v>1113</v>
      </c>
      <c r="J440" s="38" t="str">
        <f t="shared" ca="1" si="20"/>
        <v>OK</v>
      </c>
      <c r="K440" s="36" t="s">
        <v>182</v>
      </c>
      <c r="L440" s="39"/>
    </row>
    <row r="441" spans="1:12" x14ac:dyDescent="0.35">
      <c r="A441" s="34" t="str">
        <f t="shared" si="18"/>
        <v>DON-0437</v>
      </c>
      <c r="B441" s="35">
        <v>45990</v>
      </c>
      <c r="C441" s="36" t="s">
        <v>156</v>
      </c>
      <c r="D441" s="36" t="s">
        <v>11</v>
      </c>
      <c r="E441" s="36" t="s">
        <v>12</v>
      </c>
      <c r="F441" s="36" t="s">
        <v>155</v>
      </c>
      <c r="G441" s="37">
        <v>29</v>
      </c>
      <c r="H441" s="66">
        <v>45994</v>
      </c>
      <c r="I441" s="38">
        <f t="shared" ca="1" si="19"/>
        <v>-205</v>
      </c>
      <c r="J441" s="38" t="str">
        <f t="shared" ca="1" si="20"/>
        <v>EXPIRED</v>
      </c>
      <c r="K441" s="36" t="s">
        <v>179</v>
      </c>
      <c r="L441" s="39"/>
    </row>
    <row r="442" spans="1:12" x14ac:dyDescent="0.35">
      <c r="A442" s="34" t="str">
        <f t="shared" si="18"/>
        <v>DON-0438</v>
      </c>
      <c r="B442" s="35">
        <v>45990</v>
      </c>
      <c r="C442" s="36" t="s">
        <v>137</v>
      </c>
      <c r="D442" s="36" t="s">
        <v>15</v>
      </c>
      <c r="E442" s="36" t="s">
        <v>6</v>
      </c>
      <c r="F442" s="36" t="s">
        <v>136</v>
      </c>
      <c r="G442" s="37">
        <v>23</v>
      </c>
      <c r="H442" s="66">
        <v>45996</v>
      </c>
      <c r="I442" s="38">
        <f t="shared" ca="1" si="19"/>
        <v>-203</v>
      </c>
      <c r="J442" s="38" t="str">
        <f t="shared" ca="1" si="20"/>
        <v>EXPIRED</v>
      </c>
      <c r="K442" s="36" t="s">
        <v>179</v>
      </c>
      <c r="L442" s="39"/>
    </row>
    <row r="443" spans="1:12" x14ac:dyDescent="0.35">
      <c r="A443" s="34" t="str">
        <f t="shared" si="18"/>
        <v>DON-0439</v>
      </c>
      <c r="B443" s="35">
        <v>45990</v>
      </c>
      <c r="C443" s="36" t="s">
        <v>141</v>
      </c>
      <c r="D443" s="36" t="s">
        <v>142</v>
      </c>
      <c r="E443" s="36" t="s">
        <v>8</v>
      </c>
      <c r="F443" s="36" t="s">
        <v>143</v>
      </c>
      <c r="G443" s="37">
        <v>32</v>
      </c>
      <c r="H443" s="66">
        <v>46001</v>
      </c>
      <c r="I443" s="38">
        <f t="shared" ca="1" si="19"/>
        <v>-198</v>
      </c>
      <c r="J443" s="38" t="str">
        <f t="shared" ca="1" si="20"/>
        <v>EXPIRED</v>
      </c>
      <c r="K443" s="36" t="s">
        <v>179</v>
      </c>
      <c r="L443" s="39"/>
    </row>
    <row r="444" spans="1:12" x14ac:dyDescent="0.35">
      <c r="A444" s="34" t="str">
        <f t="shared" si="18"/>
        <v>DON-0440</v>
      </c>
      <c r="B444" s="35">
        <v>45990</v>
      </c>
      <c r="C444" s="36" t="s">
        <v>151</v>
      </c>
      <c r="D444" s="36" t="s">
        <v>152</v>
      </c>
      <c r="E444" s="36" t="s">
        <v>8</v>
      </c>
      <c r="F444" s="36" t="s">
        <v>143</v>
      </c>
      <c r="G444" s="37">
        <v>29</v>
      </c>
      <c r="H444" s="66">
        <v>46009</v>
      </c>
      <c r="I444" s="38">
        <f t="shared" ca="1" si="19"/>
        <v>-190</v>
      </c>
      <c r="J444" s="38" t="str">
        <f t="shared" ca="1" si="20"/>
        <v>EXPIRED</v>
      </c>
      <c r="K444" s="36" t="s">
        <v>179</v>
      </c>
      <c r="L444" s="39"/>
    </row>
    <row r="445" spans="1:12" x14ac:dyDescent="0.35">
      <c r="A445" s="34" t="str">
        <f t="shared" si="18"/>
        <v>DON-0441</v>
      </c>
      <c r="B445" s="35">
        <v>45990</v>
      </c>
      <c r="C445" s="36" t="s">
        <v>130</v>
      </c>
      <c r="D445" s="36" t="s">
        <v>16</v>
      </c>
      <c r="E445" s="36" t="s">
        <v>10</v>
      </c>
      <c r="F445" s="36" t="s">
        <v>131</v>
      </c>
      <c r="G445" s="37">
        <v>32</v>
      </c>
      <c r="H445" s="66">
        <v>46016</v>
      </c>
      <c r="I445" s="38">
        <f t="shared" ca="1" si="19"/>
        <v>-183</v>
      </c>
      <c r="J445" s="38" t="str">
        <f t="shared" ca="1" si="20"/>
        <v>EXPIRED</v>
      </c>
      <c r="K445" s="36" t="s">
        <v>179</v>
      </c>
      <c r="L445" s="39"/>
    </row>
    <row r="446" spans="1:12" x14ac:dyDescent="0.35">
      <c r="A446" s="34" t="str">
        <f t="shared" si="18"/>
        <v>DON-0442</v>
      </c>
      <c r="B446" s="35">
        <v>45990</v>
      </c>
      <c r="C446" s="36" t="s">
        <v>138</v>
      </c>
      <c r="D446" s="36" t="s">
        <v>139</v>
      </c>
      <c r="E446" s="36" t="s">
        <v>6</v>
      </c>
      <c r="F446" s="36" t="s">
        <v>140</v>
      </c>
      <c r="G446" s="37">
        <v>57</v>
      </c>
      <c r="H446" s="66">
        <v>46018</v>
      </c>
      <c r="I446" s="38">
        <f t="shared" ca="1" si="19"/>
        <v>-181</v>
      </c>
      <c r="J446" s="38" t="str">
        <f t="shared" ca="1" si="20"/>
        <v>EXPIRED</v>
      </c>
      <c r="K446" s="36" t="s">
        <v>179</v>
      </c>
      <c r="L446" s="39"/>
    </row>
    <row r="447" spans="1:12" x14ac:dyDescent="0.35">
      <c r="A447" s="34" t="str">
        <f t="shared" si="18"/>
        <v>DON-0443</v>
      </c>
      <c r="B447" s="35">
        <v>45990</v>
      </c>
      <c r="C447" s="36" t="s">
        <v>86</v>
      </c>
      <c r="D447" s="36" t="s">
        <v>87</v>
      </c>
      <c r="E447" s="36" t="s">
        <v>74</v>
      </c>
      <c r="F447" s="36" t="s">
        <v>75</v>
      </c>
      <c r="G447" s="37">
        <v>44</v>
      </c>
      <c r="H447" s="66">
        <v>46229</v>
      </c>
      <c r="I447" s="38">
        <f t="shared" ca="1" si="19"/>
        <v>30</v>
      </c>
      <c r="J447" s="38" t="str">
        <f t="shared" ca="1" si="20"/>
        <v>NOTICE</v>
      </c>
      <c r="K447" s="36" t="s">
        <v>179</v>
      </c>
      <c r="L447" s="39"/>
    </row>
    <row r="448" spans="1:12" x14ac:dyDescent="0.35">
      <c r="A448" s="34" t="str">
        <f t="shared" si="18"/>
        <v>DON-0444</v>
      </c>
      <c r="B448" s="35">
        <v>45990</v>
      </c>
      <c r="C448" s="36" t="s">
        <v>57</v>
      </c>
      <c r="D448" s="36" t="s">
        <v>58</v>
      </c>
      <c r="E448" s="36" t="s">
        <v>53</v>
      </c>
      <c r="F448" s="36" t="s">
        <v>42</v>
      </c>
      <c r="G448" s="37">
        <v>70</v>
      </c>
      <c r="H448" s="66">
        <v>46447</v>
      </c>
      <c r="I448" s="38">
        <f t="shared" ca="1" si="19"/>
        <v>248</v>
      </c>
      <c r="J448" s="38" t="str">
        <f t="shared" ca="1" si="20"/>
        <v>OK</v>
      </c>
      <c r="K448" s="36" t="s">
        <v>179</v>
      </c>
      <c r="L448" s="39"/>
    </row>
    <row r="449" spans="1:12" x14ac:dyDescent="0.35">
      <c r="A449" s="34" t="str">
        <f t="shared" si="18"/>
        <v>DON-0445</v>
      </c>
      <c r="B449" s="35">
        <v>45991</v>
      </c>
      <c r="C449" s="36" t="s">
        <v>156</v>
      </c>
      <c r="D449" s="36" t="s">
        <v>11</v>
      </c>
      <c r="E449" s="36" t="s">
        <v>12</v>
      </c>
      <c r="F449" s="36" t="s">
        <v>155</v>
      </c>
      <c r="G449" s="37">
        <v>19</v>
      </c>
      <c r="H449" s="66">
        <v>45995</v>
      </c>
      <c r="I449" s="38">
        <f t="shared" ca="1" si="19"/>
        <v>-204</v>
      </c>
      <c r="J449" s="38" t="str">
        <f t="shared" ca="1" si="20"/>
        <v>EXPIRED</v>
      </c>
      <c r="K449" s="36" t="s">
        <v>177</v>
      </c>
      <c r="L449" s="39"/>
    </row>
    <row r="450" spans="1:12" x14ac:dyDescent="0.35">
      <c r="A450" s="34" t="str">
        <f t="shared" si="18"/>
        <v>DON-0446</v>
      </c>
      <c r="B450" s="35">
        <v>45991</v>
      </c>
      <c r="C450" s="36" t="s">
        <v>128</v>
      </c>
      <c r="D450" s="36" t="s">
        <v>9</v>
      </c>
      <c r="E450" s="36" t="s">
        <v>10</v>
      </c>
      <c r="F450" s="36" t="s">
        <v>129</v>
      </c>
      <c r="G450" s="37">
        <v>38</v>
      </c>
      <c r="H450" s="66">
        <v>46003</v>
      </c>
      <c r="I450" s="38">
        <f t="shared" ca="1" si="19"/>
        <v>-196</v>
      </c>
      <c r="J450" s="38" t="str">
        <f t="shared" ca="1" si="20"/>
        <v>EXPIRED</v>
      </c>
      <c r="K450" s="36" t="s">
        <v>177</v>
      </c>
      <c r="L450" s="39"/>
    </row>
    <row r="451" spans="1:12" x14ac:dyDescent="0.35">
      <c r="A451" s="34" t="str">
        <f t="shared" si="18"/>
        <v>DON-0447</v>
      </c>
      <c r="B451" s="35">
        <v>45991</v>
      </c>
      <c r="C451" s="36" t="s">
        <v>130</v>
      </c>
      <c r="D451" s="36" t="s">
        <v>16</v>
      </c>
      <c r="E451" s="36" t="s">
        <v>10</v>
      </c>
      <c r="F451" s="36" t="s">
        <v>131</v>
      </c>
      <c r="G451" s="37">
        <v>34</v>
      </c>
      <c r="H451" s="66">
        <v>46007</v>
      </c>
      <c r="I451" s="38">
        <f t="shared" ca="1" si="19"/>
        <v>-192</v>
      </c>
      <c r="J451" s="38" t="str">
        <f t="shared" ca="1" si="20"/>
        <v>EXPIRED</v>
      </c>
      <c r="K451" s="36" t="s">
        <v>177</v>
      </c>
      <c r="L451" s="39"/>
    </row>
    <row r="452" spans="1:12" x14ac:dyDescent="0.35">
      <c r="A452" s="34" t="str">
        <f t="shared" si="18"/>
        <v>DON-0448</v>
      </c>
      <c r="B452" s="35">
        <v>45991</v>
      </c>
      <c r="C452" s="36" t="s">
        <v>132</v>
      </c>
      <c r="D452" s="36" t="s">
        <v>133</v>
      </c>
      <c r="E452" s="36" t="s">
        <v>10</v>
      </c>
      <c r="F452" s="36" t="s">
        <v>134</v>
      </c>
      <c r="G452" s="37">
        <v>40</v>
      </c>
      <c r="H452" s="66">
        <v>46031</v>
      </c>
      <c r="I452" s="38">
        <f t="shared" ca="1" si="19"/>
        <v>-168</v>
      </c>
      <c r="J452" s="38" t="str">
        <f t="shared" ca="1" si="20"/>
        <v>EXPIRED</v>
      </c>
      <c r="K452" s="36" t="s">
        <v>177</v>
      </c>
      <c r="L452" s="39"/>
    </row>
    <row r="453" spans="1:12" x14ac:dyDescent="0.35">
      <c r="A453" s="34" t="str">
        <f t="shared" ref="A453:A516" si="21">IF(G453="","","DON-"&amp;TEXT(ROW()-4,"0000"))</f>
        <v>DON-0449</v>
      </c>
      <c r="B453" s="35">
        <v>45991</v>
      </c>
      <c r="C453" s="36" t="s">
        <v>109</v>
      </c>
      <c r="D453" s="36" t="s">
        <v>110</v>
      </c>
      <c r="E453" s="36" t="s">
        <v>102</v>
      </c>
      <c r="F453" s="36" t="s">
        <v>42</v>
      </c>
      <c r="G453" s="37">
        <v>165</v>
      </c>
      <c r="H453" s="66">
        <v>46442</v>
      </c>
      <c r="I453" s="38">
        <f t="shared" ref="I453:I516" ca="1" si="22">IF(H453="","",H453-TODAY())</f>
        <v>243</v>
      </c>
      <c r="J453" s="38" t="str">
        <f t="shared" ref="J453:J516" ca="1" si="23">IF(I453="","",IF(I453&lt;=0,"EXPIRED",IF(I453&lt;=3,"CRITICAL",IF(I453&lt;=7,"WARNING",IF(I453&lt;=30,"NOTICE","OK")))))</f>
        <v>OK</v>
      </c>
      <c r="K453" s="36" t="s">
        <v>177</v>
      </c>
      <c r="L453" s="39"/>
    </row>
    <row r="454" spans="1:12" x14ac:dyDescent="0.35">
      <c r="A454" s="34" t="str">
        <f t="shared" si="21"/>
        <v>DON-0450</v>
      </c>
      <c r="B454" s="35">
        <v>45991</v>
      </c>
      <c r="C454" s="36" t="s">
        <v>37</v>
      </c>
      <c r="D454" s="36" t="s">
        <v>38</v>
      </c>
      <c r="E454" s="36" t="s">
        <v>31</v>
      </c>
      <c r="F454" s="36" t="s">
        <v>39</v>
      </c>
      <c r="G454" s="37">
        <v>113</v>
      </c>
      <c r="H454" s="66">
        <v>46707</v>
      </c>
      <c r="I454" s="38">
        <f t="shared" ca="1" si="22"/>
        <v>508</v>
      </c>
      <c r="J454" s="38" t="str">
        <f t="shared" ca="1" si="23"/>
        <v>OK</v>
      </c>
      <c r="K454" s="36" t="s">
        <v>177</v>
      </c>
      <c r="L454" s="39"/>
    </row>
    <row r="455" spans="1:12" x14ac:dyDescent="0.35">
      <c r="A455" s="34" t="str">
        <f t="shared" si="21"/>
        <v>DON-0451</v>
      </c>
      <c r="B455" s="35">
        <v>45993</v>
      </c>
      <c r="C455" s="36" t="s">
        <v>130</v>
      </c>
      <c r="D455" s="36" t="s">
        <v>16</v>
      </c>
      <c r="E455" s="36" t="s">
        <v>10</v>
      </c>
      <c r="F455" s="36" t="s">
        <v>131</v>
      </c>
      <c r="G455" s="37">
        <v>45</v>
      </c>
      <c r="H455" s="66">
        <v>46023</v>
      </c>
      <c r="I455" s="38">
        <f t="shared" ca="1" si="22"/>
        <v>-176</v>
      </c>
      <c r="J455" s="38" t="str">
        <f t="shared" ca="1" si="23"/>
        <v>EXPIRED</v>
      </c>
      <c r="K455" s="36" t="s">
        <v>176</v>
      </c>
      <c r="L455" s="39"/>
    </row>
    <row r="456" spans="1:12" x14ac:dyDescent="0.35">
      <c r="A456" s="34" t="str">
        <f t="shared" si="21"/>
        <v>DON-0452</v>
      </c>
      <c r="B456" s="35">
        <v>45993</v>
      </c>
      <c r="C456" s="36" t="s">
        <v>86</v>
      </c>
      <c r="D456" s="36" t="s">
        <v>87</v>
      </c>
      <c r="E456" s="36" t="s">
        <v>74</v>
      </c>
      <c r="F456" s="36" t="s">
        <v>75</v>
      </c>
      <c r="G456" s="37">
        <v>118</v>
      </c>
      <c r="H456" s="66">
        <v>46157</v>
      </c>
      <c r="I456" s="38">
        <f t="shared" ca="1" si="22"/>
        <v>-42</v>
      </c>
      <c r="J456" s="38" t="str">
        <f t="shared" ca="1" si="23"/>
        <v>EXPIRED</v>
      </c>
      <c r="K456" s="36" t="s">
        <v>176</v>
      </c>
      <c r="L456" s="39"/>
    </row>
    <row r="457" spans="1:12" x14ac:dyDescent="0.35">
      <c r="A457" s="34" t="str">
        <f t="shared" si="21"/>
        <v>DON-0453</v>
      </c>
      <c r="B457" s="35">
        <v>45993</v>
      </c>
      <c r="C457" s="36" t="s">
        <v>43</v>
      </c>
      <c r="D457" s="36" t="s">
        <v>44</v>
      </c>
      <c r="E457" s="36" t="s">
        <v>31</v>
      </c>
      <c r="F457" s="36" t="s">
        <v>42</v>
      </c>
      <c r="G457" s="37">
        <v>71</v>
      </c>
      <c r="H457" s="66">
        <v>46379</v>
      </c>
      <c r="I457" s="38">
        <f t="shared" ca="1" si="22"/>
        <v>180</v>
      </c>
      <c r="J457" s="38" t="str">
        <f t="shared" ca="1" si="23"/>
        <v>OK</v>
      </c>
      <c r="K457" s="36" t="s">
        <v>176</v>
      </c>
      <c r="L457" s="39"/>
    </row>
    <row r="458" spans="1:12" x14ac:dyDescent="0.35">
      <c r="A458" s="34" t="str">
        <f t="shared" si="21"/>
        <v>DON-0454</v>
      </c>
      <c r="B458" s="35">
        <v>45993</v>
      </c>
      <c r="C458" s="36" t="s">
        <v>111</v>
      </c>
      <c r="D458" s="36" t="s">
        <v>112</v>
      </c>
      <c r="E458" s="36" t="s">
        <v>102</v>
      </c>
      <c r="F458" s="36" t="s">
        <v>113</v>
      </c>
      <c r="G458" s="37">
        <v>125</v>
      </c>
      <c r="H458" s="66">
        <v>46654</v>
      </c>
      <c r="I458" s="38">
        <f t="shared" ca="1" si="22"/>
        <v>455</v>
      </c>
      <c r="J458" s="38" t="str">
        <f t="shared" ca="1" si="23"/>
        <v>OK</v>
      </c>
      <c r="K458" s="36" t="s">
        <v>176</v>
      </c>
      <c r="L458" s="39"/>
    </row>
    <row r="459" spans="1:12" x14ac:dyDescent="0.35">
      <c r="A459" s="34" t="str">
        <f t="shared" si="21"/>
        <v>DON-0455</v>
      </c>
      <c r="B459" s="35">
        <v>45993</v>
      </c>
      <c r="C459" s="36" t="s">
        <v>106</v>
      </c>
      <c r="D459" s="36" t="s">
        <v>107</v>
      </c>
      <c r="E459" s="36" t="s">
        <v>102</v>
      </c>
      <c r="F459" s="36" t="s">
        <v>108</v>
      </c>
      <c r="G459" s="37">
        <v>105</v>
      </c>
      <c r="H459" s="66">
        <v>47064</v>
      </c>
      <c r="I459" s="38">
        <f t="shared" ca="1" si="22"/>
        <v>865</v>
      </c>
      <c r="J459" s="38" t="str">
        <f t="shared" ca="1" si="23"/>
        <v>OK</v>
      </c>
      <c r="K459" s="36" t="s">
        <v>176</v>
      </c>
      <c r="L459" s="39"/>
    </row>
    <row r="460" spans="1:12" x14ac:dyDescent="0.35">
      <c r="A460" s="34" t="str">
        <f t="shared" si="21"/>
        <v>DON-0456</v>
      </c>
      <c r="B460" s="35">
        <v>45993</v>
      </c>
      <c r="C460" s="36" t="s">
        <v>34</v>
      </c>
      <c r="D460" s="36" t="s">
        <v>35</v>
      </c>
      <c r="E460" s="36" t="s">
        <v>31</v>
      </c>
      <c r="F460" s="36" t="s">
        <v>36</v>
      </c>
      <c r="G460" s="37">
        <v>128</v>
      </c>
      <c r="H460" s="66">
        <v>47084</v>
      </c>
      <c r="I460" s="38">
        <f t="shared" ca="1" si="22"/>
        <v>885</v>
      </c>
      <c r="J460" s="38" t="str">
        <f t="shared" ca="1" si="23"/>
        <v>OK</v>
      </c>
      <c r="K460" s="36" t="s">
        <v>176</v>
      </c>
      <c r="L460" s="39"/>
    </row>
    <row r="461" spans="1:12" x14ac:dyDescent="0.35">
      <c r="A461" s="34" t="str">
        <f t="shared" si="21"/>
        <v>DON-0457</v>
      </c>
      <c r="B461" s="35">
        <v>45995</v>
      </c>
      <c r="C461" s="36" t="s">
        <v>137</v>
      </c>
      <c r="D461" s="36" t="s">
        <v>15</v>
      </c>
      <c r="E461" s="36" t="s">
        <v>6</v>
      </c>
      <c r="F461" s="36" t="s">
        <v>136</v>
      </c>
      <c r="G461" s="37">
        <v>52</v>
      </c>
      <c r="H461" s="66">
        <v>45997</v>
      </c>
      <c r="I461" s="38">
        <f t="shared" ca="1" si="22"/>
        <v>-202</v>
      </c>
      <c r="J461" s="38" t="str">
        <f t="shared" ca="1" si="23"/>
        <v>EXPIRED</v>
      </c>
      <c r="K461" s="36" t="s">
        <v>179</v>
      </c>
      <c r="L461" s="39"/>
    </row>
    <row r="462" spans="1:12" x14ac:dyDescent="0.35">
      <c r="A462" s="34" t="str">
        <f t="shared" si="21"/>
        <v>DON-0458</v>
      </c>
      <c r="B462" s="35">
        <v>45995</v>
      </c>
      <c r="C462" s="36" t="s">
        <v>151</v>
      </c>
      <c r="D462" s="36" t="s">
        <v>152</v>
      </c>
      <c r="E462" s="36" t="s">
        <v>8</v>
      </c>
      <c r="F462" s="36" t="s">
        <v>143</v>
      </c>
      <c r="G462" s="37">
        <v>19</v>
      </c>
      <c r="H462" s="66">
        <v>46017</v>
      </c>
      <c r="I462" s="38">
        <f t="shared" ca="1" si="22"/>
        <v>-182</v>
      </c>
      <c r="J462" s="38" t="str">
        <f t="shared" ca="1" si="23"/>
        <v>EXPIRED</v>
      </c>
      <c r="K462" s="36" t="s">
        <v>179</v>
      </c>
      <c r="L462" s="39"/>
    </row>
    <row r="463" spans="1:12" x14ac:dyDescent="0.35">
      <c r="A463" s="34" t="str">
        <f t="shared" si="21"/>
        <v>DON-0459</v>
      </c>
      <c r="B463" s="35">
        <v>45995</v>
      </c>
      <c r="C463" s="36" t="s">
        <v>94</v>
      </c>
      <c r="D463" s="36" t="s">
        <v>95</v>
      </c>
      <c r="E463" s="36" t="s">
        <v>93</v>
      </c>
      <c r="F463" s="36" t="s">
        <v>96</v>
      </c>
      <c r="G463" s="37">
        <v>39</v>
      </c>
      <c r="H463" s="66">
        <v>46200</v>
      </c>
      <c r="I463" s="38">
        <f t="shared" ca="1" si="22"/>
        <v>1</v>
      </c>
      <c r="J463" s="38" t="str">
        <f t="shared" ca="1" si="23"/>
        <v>CRITICAL</v>
      </c>
      <c r="K463" s="36" t="s">
        <v>179</v>
      </c>
      <c r="L463" s="39"/>
    </row>
    <row r="464" spans="1:12" x14ac:dyDescent="0.35">
      <c r="A464" s="34" t="str">
        <f t="shared" si="21"/>
        <v>DON-0460</v>
      </c>
      <c r="B464" s="35">
        <v>45995</v>
      </c>
      <c r="C464" s="36" t="s">
        <v>161</v>
      </c>
      <c r="D464" s="36" t="s">
        <v>162</v>
      </c>
      <c r="E464" s="36" t="s">
        <v>159</v>
      </c>
      <c r="F464" s="36" t="s">
        <v>163</v>
      </c>
      <c r="G464" s="37">
        <v>35</v>
      </c>
      <c r="H464" s="66">
        <v>46411</v>
      </c>
      <c r="I464" s="38">
        <f t="shared" ca="1" si="22"/>
        <v>212</v>
      </c>
      <c r="J464" s="38" t="str">
        <f t="shared" ca="1" si="23"/>
        <v>OK</v>
      </c>
      <c r="K464" s="36" t="s">
        <v>179</v>
      </c>
      <c r="L464" s="39"/>
    </row>
    <row r="465" spans="1:12" x14ac:dyDescent="0.35">
      <c r="A465" s="34" t="str">
        <f t="shared" si="21"/>
        <v>DON-0461</v>
      </c>
      <c r="B465" s="35">
        <v>45995</v>
      </c>
      <c r="C465" s="36" t="s">
        <v>59</v>
      </c>
      <c r="D465" s="36" t="s">
        <v>60</v>
      </c>
      <c r="E465" s="36" t="s">
        <v>53</v>
      </c>
      <c r="F465" s="36" t="s">
        <v>56</v>
      </c>
      <c r="G465" s="37">
        <v>164</v>
      </c>
      <c r="H465" s="66">
        <v>47022</v>
      </c>
      <c r="I465" s="38">
        <f t="shared" ca="1" si="22"/>
        <v>823</v>
      </c>
      <c r="J465" s="38" t="str">
        <f t="shared" ca="1" si="23"/>
        <v>OK</v>
      </c>
      <c r="K465" s="36" t="s">
        <v>179</v>
      </c>
      <c r="L465" s="39"/>
    </row>
    <row r="466" spans="1:12" x14ac:dyDescent="0.35">
      <c r="A466" s="34" t="str">
        <f t="shared" si="21"/>
        <v>DON-0462</v>
      </c>
      <c r="B466" s="35">
        <v>45995</v>
      </c>
      <c r="C466" s="36" t="s">
        <v>122</v>
      </c>
      <c r="D466" s="36" t="s">
        <v>123</v>
      </c>
      <c r="E466" s="36" t="s">
        <v>14</v>
      </c>
      <c r="F466" s="36" t="s">
        <v>124</v>
      </c>
      <c r="G466" s="37">
        <v>33</v>
      </c>
      <c r="H466" s="66">
        <v>47396</v>
      </c>
      <c r="I466" s="38">
        <f t="shared" ca="1" si="22"/>
        <v>1197</v>
      </c>
      <c r="J466" s="38" t="str">
        <f t="shared" ca="1" si="23"/>
        <v>OK</v>
      </c>
      <c r="K466" s="36" t="s">
        <v>179</v>
      </c>
      <c r="L466" s="39"/>
    </row>
    <row r="467" spans="1:12" x14ac:dyDescent="0.35">
      <c r="A467" s="34" t="str">
        <f t="shared" si="21"/>
        <v>DON-0463</v>
      </c>
      <c r="B467" s="35">
        <v>45996</v>
      </c>
      <c r="C467" s="36" t="s">
        <v>144</v>
      </c>
      <c r="D467" s="36" t="s">
        <v>7</v>
      </c>
      <c r="E467" s="36" t="s">
        <v>8</v>
      </c>
      <c r="F467" s="36" t="s">
        <v>145</v>
      </c>
      <c r="G467" s="37">
        <v>49</v>
      </c>
      <c r="H467" s="66">
        <v>46003</v>
      </c>
      <c r="I467" s="38">
        <f t="shared" ca="1" si="22"/>
        <v>-196</v>
      </c>
      <c r="J467" s="38" t="str">
        <f t="shared" ca="1" si="23"/>
        <v>EXPIRED</v>
      </c>
      <c r="K467" s="36" t="s">
        <v>175</v>
      </c>
      <c r="L467" s="39"/>
    </row>
    <row r="468" spans="1:12" x14ac:dyDescent="0.35">
      <c r="A468" s="34" t="str">
        <f t="shared" si="21"/>
        <v>DON-0464</v>
      </c>
      <c r="B468" s="35">
        <v>45996</v>
      </c>
      <c r="C468" s="36" t="s">
        <v>135</v>
      </c>
      <c r="D468" s="36" t="s">
        <v>5</v>
      </c>
      <c r="E468" s="36" t="s">
        <v>6</v>
      </c>
      <c r="F468" s="36" t="s">
        <v>136</v>
      </c>
      <c r="G468" s="37">
        <v>65</v>
      </c>
      <c r="H468" s="66">
        <v>46003</v>
      </c>
      <c r="I468" s="38">
        <f t="shared" ca="1" si="22"/>
        <v>-196</v>
      </c>
      <c r="J468" s="38" t="str">
        <f t="shared" ca="1" si="23"/>
        <v>EXPIRED</v>
      </c>
      <c r="K468" s="36" t="s">
        <v>175</v>
      </c>
      <c r="L468" s="39"/>
    </row>
    <row r="469" spans="1:12" x14ac:dyDescent="0.35">
      <c r="A469" s="34" t="str">
        <f t="shared" si="21"/>
        <v>DON-0465</v>
      </c>
      <c r="B469" s="35">
        <v>45996</v>
      </c>
      <c r="C469" s="36" t="s">
        <v>156</v>
      </c>
      <c r="D469" s="36" t="s">
        <v>11</v>
      </c>
      <c r="E469" s="36" t="s">
        <v>12</v>
      </c>
      <c r="F469" s="36" t="s">
        <v>155</v>
      </c>
      <c r="G469" s="37">
        <v>38</v>
      </c>
      <c r="H469" s="66">
        <v>46010</v>
      </c>
      <c r="I469" s="38">
        <f t="shared" ca="1" si="22"/>
        <v>-189</v>
      </c>
      <c r="J469" s="38" t="str">
        <f t="shared" ca="1" si="23"/>
        <v>EXPIRED</v>
      </c>
      <c r="K469" s="36" t="s">
        <v>175</v>
      </c>
      <c r="L469" s="39"/>
    </row>
    <row r="470" spans="1:12" x14ac:dyDescent="0.35">
      <c r="A470" s="34" t="str">
        <f t="shared" si="21"/>
        <v>DON-0466</v>
      </c>
      <c r="B470" s="35">
        <v>45996</v>
      </c>
      <c r="C470" s="36" t="s">
        <v>132</v>
      </c>
      <c r="D470" s="36" t="s">
        <v>133</v>
      </c>
      <c r="E470" s="36" t="s">
        <v>10</v>
      </c>
      <c r="F470" s="36" t="s">
        <v>134</v>
      </c>
      <c r="G470" s="37">
        <v>30</v>
      </c>
      <c r="H470" s="66">
        <v>46037</v>
      </c>
      <c r="I470" s="38">
        <f t="shared" ca="1" si="22"/>
        <v>-162</v>
      </c>
      <c r="J470" s="38" t="str">
        <f t="shared" ca="1" si="23"/>
        <v>EXPIRED</v>
      </c>
      <c r="K470" s="36" t="s">
        <v>175</v>
      </c>
      <c r="L470" s="39"/>
    </row>
    <row r="471" spans="1:12" x14ac:dyDescent="0.35">
      <c r="A471" s="34" t="str">
        <f t="shared" si="21"/>
        <v>DON-0467</v>
      </c>
      <c r="B471" s="35">
        <v>45996</v>
      </c>
      <c r="C471" s="36" t="s">
        <v>88</v>
      </c>
      <c r="D471" s="36" t="s">
        <v>89</v>
      </c>
      <c r="E471" s="36" t="s">
        <v>74</v>
      </c>
      <c r="F471" s="36" t="s">
        <v>90</v>
      </c>
      <c r="G471" s="37">
        <v>87</v>
      </c>
      <c r="H471" s="66">
        <v>46357</v>
      </c>
      <c r="I471" s="38">
        <f t="shared" ca="1" si="22"/>
        <v>158</v>
      </c>
      <c r="J471" s="38" t="str">
        <f t="shared" ca="1" si="23"/>
        <v>OK</v>
      </c>
      <c r="K471" s="36" t="s">
        <v>175</v>
      </c>
      <c r="L471" s="39"/>
    </row>
    <row r="472" spans="1:12" x14ac:dyDescent="0.35">
      <c r="A472" s="34" t="str">
        <f t="shared" si="21"/>
        <v>DON-0468</v>
      </c>
      <c r="B472" s="35">
        <v>45996</v>
      </c>
      <c r="C472" s="36" t="s">
        <v>57</v>
      </c>
      <c r="D472" s="36" t="s">
        <v>58</v>
      </c>
      <c r="E472" s="36" t="s">
        <v>53</v>
      </c>
      <c r="F472" s="36" t="s">
        <v>42</v>
      </c>
      <c r="G472" s="37">
        <v>147</v>
      </c>
      <c r="H472" s="66">
        <v>46493</v>
      </c>
      <c r="I472" s="38">
        <f t="shared" ca="1" si="22"/>
        <v>294</v>
      </c>
      <c r="J472" s="38" t="str">
        <f t="shared" ca="1" si="23"/>
        <v>OK</v>
      </c>
      <c r="K472" s="36" t="s">
        <v>175</v>
      </c>
      <c r="L472" s="39"/>
    </row>
    <row r="473" spans="1:12" x14ac:dyDescent="0.35">
      <c r="A473" s="34" t="str">
        <f t="shared" si="21"/>
        <v>DON-0469</v>
      </c>
      <c r="B473" s="35">
        <v>45996</v>
      </c>
      <c r="C473" s="36" t="s">
        <v>161</v>
      </c>
      <c r="D473" s="36" t="s">
        <v>162</v>
      </c>
      <c r="E473" s="36" t="s">
        <v>159</v>
      </c>
      <c r="F473" s="36" t="s">
        <v>163</v>
      </c>
      <c r="G473" s="37">
        <v>52</v>
      </c>
      <c r="H473" s="66">
        <v>46582</v>
      </c>
      <c r="I473" s="38">
        <f t="shared" ca="1" si="22"/>
        <v>383</v>
      </c>
      <c r="J473" s="38" t="str">
        <f t="shared" ca="1" si="23"/>
        <v>OK</v>
      </c>
      <c r="K473" s="36" t="s">
        <v>175</v>
      </c>
      <c r="L473" s="39"/>
    </row>
    <row r="474" spans="1:12" x14ac:dyDescent="0.35">
      <c r="A474" s="34" t="str">
        <f t="shared" si="21"/>
        <v>DON-0470</v>
      </c>
      <c r="B474" s="35">
        <v>45996</v>
      </c>
      <c r="C474" s="36" t="s">
        <v>46</v>
      </c>
      <c r="D474" s="36" t="s">
        <v>47</v>
      </c>
      <c r="E474" s="36" t="s">
        <v>31</v>
      </c>
      <c r="F474" s="36" t="s">
        <v>42</v>
      </c>
      <c r="G474" s="37">
        <v>67</v>
      </c>
      <c r="H474" s="66">
        <v>46933</v>
      </c>
      <c r="I474" s="38">
        <f t="shared" ca="1" si="22"/>
        <v>734</v>
      </c>
      <c r="J474" s="38" t="str">
        <f t="shared" ca="1" si="23"/>
        <v>OK</v>
      </c>
      <c r="K474" s="36" t="s">
        <v>175</v>
      </c>
      <c r="L474" s="39"/>
    </row>
    <row r="475" spans="1:12" x14ac:dyDescent="0.35">
      <c r="A475" s="34" t="str">
        <f t="shared" si="21"/>
        <v>DON-0471</v>
      </c>
      <c r="B475" s="35">
        <v>46006</v>
      </c>
      <c r="C475" s="36" t="s">
        <v>83</v>
      </c>
      <c r="D475" s="36" t="s">
        <v>84</v>
      </c>
      <c r="E475" s="36" t="s">
        <v>74</v>
      </c>
      <c r="F475" s="36" t="s">
        <v>85</v>
      </c>
      <c r="G475" s="37">
        <v>108</v>
      </c>
      <c r="H475" s="66">
        <v>46152</v>
      </c>
      <c r="I475" s="38">
        <f t="shared" ca="1" si="22"/>
        <v>-47</v>
      </c>
      <c r="J475" s="38" t="str">
        <f t="shared" ca="1" si="23"/>
        <v>EXPIRED</v>
      </c>
      <c r="K475" s="36" t="s">
        <v>177</v>
      </c>
      <c r="L475" s="39"/>
    </row>
    <row r="476" spans="1:12" x14ac:dyDescent="0.35">
      <c r="A476" s="34" t="str">
        <f t="shared" si="21"/>
        <v>DON-0472</v>
      </c>
      <c r="B476" s="35">
        <v>46006</v>
      </c>
      <c r="C476" s="36" t="s">
        <v>88</v>
      </c>
      <c r="D476" s="36" t="s">
        <v>89</v>
      </c>
      <c r="E476" s="36" t="s">
        <v>74</v>
      </c>
      <c r="F476" s="36" t="s">
        <v>90</v>
      </c>
      <c r="G476" s="37">
        <v>41</v>
      </c>
      <c r="H476" s="66">
        <v>46213</v>
      </c>
      <c r="I476" s="38">
        <f t="shared" ca="1" si="22"/>
        <v>14</v>
      </c>
      <c r="J476" s="38" t="str">
        <f t="shared" ca="1" si="23"/>
        <v>NOTICE</v>
      </c>
      <c r="K476" s="36" t="s">
        <v>177</v>
      </c>
      <c r="L476" s="39"/>
    </row>
    <row r="477" spans="1:12" x14ac:dyDescent="0.35">
      <c r="A477" s="34" t="str">
        <f t="shared" si="21"/>
        <v>DON-0473</v>
      </c>
      <c r="B477" s="35">
        <v>46006</v>
      </c>
      <c r="C477" s="36" t="s">
        <v>161</v>
      </c>
      <c r="D477" s="36" t="s">
        <v>162</v>
      </c>
      <c r="E477" s="36" t="s">
        <v>159</v>
      </c>
      <c r="F477" s="36" t="s">
        <v>163</v>
      </c>
      <c r="G477" s="37">
        <v>25</v>
      </c>
      <c r="H477" s="66">
        <v>46400</v>
      </c>
      <c r="I477" s="38">
        <f t="shared" ca="1" si="22"/>
        <v>201</v>
      </c>
      <c r="J477" s="38" t="str">
        <f t="shared" ca="1" si="23"/>
        <v>OK</v>
      </c>
      <c r="K477" s="36" t="s">
        <v>177</v>
      </c>
      <c r="L477" s="39"/>
    </row>
    <row r="478" spans="1:12" x14ac:dyDescent="0.35">
      <c r="A478" s="34" t="str">
        <f t="shared" si="21"/>
        <v>DON-0474</v>
      </c>
      <c r="B478" s="35">
        <v>46006</v>
      </c>
      <c r="C478" s="36" t="s">
        <v>34</v>
      </c>
      <c r="D478" s="36" t="s">
        <v>35</v>
      </c>
      <c r="E478" s="36" t="s">
        <v>31</v>
      </c>
      <c r="F478" s="36" t="s">
        <v>36</v>
      </c>
      <c r="G478" s="37">
        <v>81</v>
      </c>
      <c r="H478" s="66">
        <v>46511</v>
      </c>
      <c r="I478" s="38">
        <f t="shared" ca="1" si="22"/>
        <v>312</v>
      </c>
      <c r="J478" s="38" t="str">
        <f t="shared" ca="1" si="23"/>
        <v>OK</v>
      </c>
      <c r="K478" s="36" t="s">
        <v>177</v>
      </c>
      <c r="L478" s="39"/>
    </row>
    <row r="479" spans="1:12" x14ac:dyDescent="0.35">
      <c r="A479" s="34" t="str">
        <f t="shared" si="21"/>
        <v>DON-0475</v>
      </c>
      <c r="B479" s="35">
        <v>46006</v>
      </c>
      <c r="C479" s="36" t="s">
        <v>67</v>
      </c>
      <c r="D479" s="36" t="s">
        <v>68</v>
      </c>
      <c r="E479" s="36" t="s">
        <v>66</v>
      </c>
      <c r="F479" s="36" t="s">
        <v>42</v>
      </c>
      <c r="G479" s="37">
        <v>106</v>
      </c>
      <c r="H479" s="66">
        <v>46910</v>
      </c>
      <c r="I479" s="38">
        <f t="shared" ca="1" si="22"/>
        <v>711</v>
      </c>
      <c r="J479" s="38" t="str">
        <f t="shared" ca="1" si="23"/>
        <v>OK</v>
      </c>
      <c r="K479" s="36" t="s">
        <v>177</v>
      </c>
      <c r="L479" s="39"/>
    </row>
    <row r="480" spans="1:12" x14ac:dyDescent="0.35">
      <c r="A480" s="34" t="str">
        <f t="shared" si="21"/>
        <v>DON-0476</v>
      </c>
      <c r="B480" s="35">
        <v>46006</v>
      </c>
      <c r="C480" s="36" t="s">
        <v>61</v>
      </c>
      <c r="D480" s="36" t="s">
        <v>62</v>
      </c>
      <c r="E480" s="36" t="s">
        <v>53</v>
      </c>
      <c r="F480" s="36" t="s">
        <v>42</v>
      </c>
      <c r="G480" s="37">
        <v>127</v>
      </c>
      <c r="H480" s="66">
        <v>46923</v>
      </c>
      <c r="I480" s="38">
        <f t="shared" ca="1" si="22"/>
        <v>724</v>
      </c>
      <c r="J480" s="38" t="str">
        <f t="shared" ca="1" si="23"/>
        <v>OK</v>
      </c>
      <c r="K480" s="36" t="s">
        <v>177</v>
      </c>
      <c r="L480" s="39"/>
    </row>
    <row r="481" spans="1:12" x14ac:dyDescent="0.35">
      <c r="A481" s="34" t="str">
        <f t="shared" si="21"/>
        <v>DON-0477</v>
      </c>
      <c r="B481" s="35">
        <v>46006</v>
      </c>
      <c r="C481" s="36" t="s">
        <v>94</v>
      </c>
      <c r="D481" s="36" t="s">
        <v>95</v>
      </c>
      <c r="E481" s="36" t="s">
        <v>93</v>
      </c>
      <c r="F481" s="36" t="s">
        <v>96</v>
      </c>
      <c r="G481" s="37">
        <v>69</v>
      </c>
      <c r="H481" s="66">
        <v>46251</v>
      </c>
      <c r="I481" s="38">
        <f t="shared" ca="1" si="22"/>
        <v>52</v>
      </c>
      <c r="J481" s="38" t="str">
        <f t="shared" ca="1" si="23"/>
        <v>OK</v>
      </c>
      <c r="K481" s="36" t="s">
        <v>177</v>
      </c>
      <c r="L481" s="39"/>
    </row>
    <row r="482" spans="1:12" x14ac:dyDescent="0.35">
      <c r="A482" s="34" t="str">
        <f t="shared" si="21"/>
        <v>DON-0478</v>
      </c>
      <c r="B482" s="35">
        <v>46007</v>
      </c>
      <c r="C482" s="36" t="s">
        <v>137</v>
      </c>
      <c r="D482" s="36" t="s">
        <v>15</v>
      </c>
      <c r="E482" s="36" t="s">
        <v>6</v>
      </c>
      <c r="F482" s="36" t="s">
        <v>136</v>
      </c>
      <c r="G482" s="37">
        <v>35</v>
      </c>
      <c r="H482" s="66">
        <v>46012</v>
      </c>
      <c r="I482" s="38">
        <f t="shared" ca="1" si="22"/>
        <v>-187</v>
      </c>
      <c r="J482" s="38" t="str">
        <f t="shared" ca="1" si="23"/>
        <v>EXPIRED</v>
      </c>
      <c r="K482" s="36" t="s">
        <v>181</v>
      </c>
      <c r="L482" s="39"/>
    </row>
    <row r="483" spans="1:12" x14ac:dyDescent="0.35">
      <c r="A483" s="34" t="str">
        <f t="shared" si="21"/>
        <v>DON-0479</v>
      </c>
      <c r="B483" s="35">
        <v>46007</v>
      </c>
      <c r="C483" s="36" t="s">
        <v>156</v>
      </c>
      <c r="D483" s="36" t="s">
        <v>11</v>
      </c>
      <c r="E483" s="36" t="s">
        <v>12</v>
      </c>
      <c r="F483" s="36" t="s">
        <v>155</v>
      </c>
      <c r="G483" s="37">
        <v>44</v>
      </c>
      <c r="H483" s="66">
        <v>46014</v>
      </c>
      <c r="I483" s="38">
        <f t="shared" ca="1" si="22"/>
        <v>-185</v>
      </c>
      <c r="J483" s="38" t="str">
        <f t="shared" ca="1" si="23"/>
        <v>EXPIRED</v>
      </c>
      <c r="K483" s="36" t="s">
        <v>181</v>
      </c>
      <c r="L483" s="39"/>
    </row>
    <row r="484" spans="1:12" x14ac:dyDescent="0.35">
      <c r="A484" s="34" t="str">
        <f t="shared" si="21"/>
        <v>DON-0480</v>
      </c>
      <c r="B484" s="35">
        <v>46007</v>
      </c>
      <c r="C484" s="36" t="s">
        <v>149</v>
      </c>
      <c r="D484" s="36" t="s">
        <v>150</v>
      </c>
      <c r="E484" s="36" t="s">
        <v>8</v>
      </c>
      <c r="F484" s="36" t="s">
        <v>75</v>
      </c>
      <c r="G484" s="37">
        <v>24</v>
      </c>
      <c r="H484" s="66">
        <v>46042</v>
      </c>
      <c r="I484" s="38">
        <f t="shared" ca="1" si="22"/>
        <v>-157</v>
      </c>
      <c r="J484" s="38" t="str">
        <f t="shared" ca="1" si="23"/>
        <v>EXPIRED</v>
      </c>
      <c r="K484" s="36" t="s">
        <v>181</v>
      </c>
      <c r="L484" s="39"/>
    </row>
    <row r="485" spans="1:12" x14ac:dyDescent="0.35">
      <c r="A485" s="34" t="str">
        <f t="shared" si="21"/>
        <v>DON-0481</v>
      </c>
      <c r="B485" s="35">
        <v>46007</v>
      </c>
      <c r="C485" s="36" t="s">
        <v>97</v>
      </c>
      <c r="D485" s="36" t="s">
        <v>98</v>
      </c>
      <c r="E485" s="36" t="s">
        <v>93</v>
      </c>
      <c r="F485" s="36" t="s">
        <v>99</v>
      </c>
      <c r="G485" s="37">
        <v>58</v>
      </c>
      <c r="H485" s="66">
        <v>46072</v>
      </c>
      <c r="I485" s="38">
        <f t="shared" ca="1" si="22"/>
        <v>-127</v>
      </c>
      <c r="J485" s="38" t="str">
        <f t="shared" ca="1" si="23"/>
        <v>EXPIRED</v>
      </c>
      <c r="K485" s="36" t="s">
        <v>181</v>
      </c>
      <c r="L485" s="39"/>
    </row>
    <row r="486" spans="1:12" x14ac:dyDescent="0.35">
      <c r="A486" s="34" t="str">
        <f t="shared" si="21"/>
        <v>DON-0482</v>
      </c>
      <c r="B486" s="35">
        <v>46007</v>
      </c>
      <c r="C486" s="36" t="s">
        <v>59</v>
      </c>
      <c r="D486" s="36" t="s">
        <v>60</v>
      </c>
      <c r="E486" s="36" t="s">
        <v>53</v>
      </c>
      <c r="F486" s="36" t="s">
        <v>56</v>
      </c>
      <c r="G486" s="37">
        <v>154</v>
      </c>
      <c r="H486" s="66">
        <v>46826</v>
      </c>
      <c r="I486" s="38">
        <f t="shared" ca="1" si="22"/>
        <v>627</v>
      </c>
      <c r="J486" s="38" t="str">
        <f t="shared" ca="1" si="23"/>
        <v>OK</v>
      </c>
      <c r="K486" s="36" t="s">
        <v>181</v>
      </c>
      <c r="L486" s="39"/>
    </row>
    <row r="487" spans="1:12" x14ac:dyDescent="0.35">
      <c r="A487" s="34" t="str">
        <f t="shared" si="21"/>
        <v>DON-0483</v>
      </c>
      <c r="B487" s="35">
        <v>46007</v>
      </c>
      <c r="C487" s="36" t="s">
        <v>61</v>
      </c>
      <c r="D487" s="36" t="s">
        <v>62</v>
      </c>
      <c r="E487" s="36" t="s">
        <v>53</v>
      </c>
      <c r="F487" s="36" t="s">
        <v>42</v>
      </c>
      <c r="G487" s="37">
        <v>140</v>
      </c>
      <c r="H487" s="66">
        <v>46831</v>
      </c>
      <c r="I487" s="38">
        <f t="shared" ca="1" si="22"/>
        <v>632</v>
      </c>
      <c r="J487" s="38" t="str">
        <f t="shared" ca="1" si="23"/>
        <v>OK</v>
      </c>
      <c r="K487" s="36" t="s">
        <v>181</v>
      </c>
      <c r="L487" s="39"/>
    </row>
    <row r="488" spans="1:12" x14ac:dyDescent="0.35">
      <c r="A488" s="34" t="str">
        <f t="shared" si="21"/>
        <v>DON-0484</v>
      </c>
      <c r="B488" s="35">
        <v>46007</v>
      </c>
      <c r="C488" s="36" t="s">
        <v>57</v>
      </c>
      <c r="D488" s="36" t="s">
        <v>58</v>
      </c>
      <c r="E488" s="36" t="s">
        <v>53</v>
      </c>
      <c r="F488" s="36" t="s">
        <v>42</v>
      </c>
      <c r="G488" s="37">
        <v>114</v>
      </c>
      <c r="H488" s="66">
        <v>47064</v>
      </c>
      <c r="I488" s="38">
        <f t="shared" ca="1" si="22"/>
        <v>865</v>
      </c>
      <c r="J488" s="38" t="str">
        <f t="shared" ca="1" si="23"/>
        <v>OK</v>
      </c>
      <c r="K488" s="36" t="s">
        <v>181</v>
      </c>
      <c r="L488" s="39"/>
    </row>
    <row r="489" spans="1:12" x14ac:dyDescent="0.35">
      <c r="A489" s="34" t="str">
        <f t="shared" si="21"/>
        <v>DON-0485</v>
      </c>
      <c r="B489" s="35">
        <v>46011</v>
      </c>
      <c r="C489" s="36" t="s">
        <v>97</v>
      </c>
      <c r="D489" s="36" t="s">
        <v>98</v>
      </c>
      <c r="E489" s="36" t="s">
        <v>93</v>
      </c>
      <c r="F489" s="36" t="s">
        <v>99</v>
      </c>
      <c r="G489" s="37">
        <v>61</v>
      </c>
      <c r="H489" s="66">
        <v>46088</v>
      </c>
      <c r="I489" s="38">
        <f t="shared" ca="1" si="22"/>
        <v>-111</v>
      </c>
      <c r="J489" s="38" t="str">
        <f t="shared" ca="1" si="23"/>
        <v>EXPIRED</v>
      </c>
      <c r="K489" s="36" t="s">
        <v>176</v>
      </c>
      <c r="L489" s="39"/>
    </row>
    <row r="490" spans="1:12" x14ac:dyDescent="0.35">
      <c r="A490" s="34" t="str">
        <f t="shared" si="21"/>
        <v>DON-0486</v>
      </c>
      <c r="B490" s="35">
        <v>46011</v>
      </c>
      <c r="C490" s="36" t="s">
        <v>157</v>
      </c>
      <c r="D490" s="36" t="s">
        <v>158</v>
      </c>
      <c r="E490" s="36" t="s">
        <v>159</v>
      </c>
      <c r="F490" s="36" t="s">
        <v>160</v>
      </c>
      <c r="G490" s="37">
        <v>47</v>
      </c>
      <c r="H490" s="66">
        <v>46167</v>
      </c>
      <c r="I490" s="38">
        <f t="shared" ca="1" si="22"/>
        <v>-32</v>
      </c>
      <c r="J490" s="38" t="str">
        <f t="shared" ca="1" si="23"/>
        <v>EXPIRED</v>
      </c>
      <c r="K490" s="36" t="s">
        <v>176</v>
      </c>
      <c r="L490" s="39"/>
    </row>
    <row r="491" spans="1:12" x14ac:dyDescent="0.35">
      <c r="A491" s="34" t="str">
        <f t="shared" si="21"/>
        <v>DON-0487</v>
      </c>
      <c r="B491" s="35">
        <v>46011</v>
      </c>
      <c r="C491" s="36" t="s">
        <v>120</v>
      </c>
      <c r="D491" s="36" t="s">
        <v>121</v>
      </c>
      <c r="E491" s="36" t="s">
        <v>14</v>
      </c>
      <c r="F491" s="36" t="s">
        <v>119</v>
      </c>
      <c r="G491" s="37">
        <v>16</v>
      </c>
      <c r="H491" s="66">
        <v>46213</v>
      </c>
      <c r="I491" s="38">
        <f t="shared" ca="1" si="22"/>
        <v>14</v>
      </c>
      <c r="J491" s="38" t="str">
        <f t="shared" ca="1" si="23"/>
        <v>NOTICE</v>
      </c>
      <c r="K491" s="36" t="s">
        <v>176</v>
      </c>
      <c r="L491" s="39"/>
    </row>
    <row r="492" spans="1:12" x14ac:dyDescent="0.35">
      <c r="A492" s="34" t="str">
        <f t="shared" si="21"/>
        <v>DON-0488</v>
      </c>
      <c r="B492" s="35">
        <v>46011</v>
      </c>
      <c r="C492" s="36" t="s">
        <v>72</v>
      </c>
      <c r="D492" s="36" t="s">
        <v>73</v>
      </c>
      <c r="E492" s="36" t="s">
        <v>74</v>
      </c>
      <c r="F492" s="36" t="s">
        <v>75</v>
      </c>
      <c r="G492" s="37">
        <v>97</v>
      </c>
      <c r="H492" s="66">
        <v>46425</v>
      </c>
      <c r="I492" s="38">
        <f t="shared" ca="1" si="22"/>
        <v>226</v>
      </c>
      <c r="J492" s="38" t="str">
        <f t="shared" ca="1" si="23"/>
        <v>OK</v>
      </c>
      <c r="K492" s="36" t="s">
        <v>176</v>
      </c>
      <c r="L492" s="39"/>
    </row>
    <row r="493" spans="1:12" x14ac:dyDescent="0.35">
      <c r="A493" s="34" t="str">
        <f t="shared" si="21"/>
        <v>DON-0489</v>
      </c>
      <c r="B493" s="35">
        <v>46011</v>
      </c>
      <c r="C493" s="36" t="s">
        <v>46</v>
      </c>
      <c r="D493" s="36" t="s">
        <v>47</v>
      </c>
      <c r="E493" s="36" t="s">
        <v>31</v>
      </c>
      <c r="F493" s="36" t="s">
        <v>42</v>
      </c>
      <c r="G493" s="37">
        <v>61</v>
      </c>
      <c r="H493" s="66">
        <v>46859</v>
      </c>
      <c r="I493" s="38">
        <f t="shared" ca="1" si="22"/>
        <v>660</v>
      </c>
      <c r="J493" s="38" t="str">
        <f t="shared" ca="1" si="23"/>
        <v>OK</v>
      </c>
      <c r="K493" s="36" t="s">
        <v>176</v>
      </c>
      <c r="L493" s="39"/>
    </row>
    <row r="494" spans="1:12" x14ac:dyDescent="0.35">
      <c r="A494" s="34" t="str">
        <f t="shared" si="21"/>
        <v>DON-0490</v>
      </c>
      <c r="B494" s="35">
        <v>46011</v>
      </c>
      <c r="C494" s="36" t="s">
        <v>94</v>
      </c>
      <c r="D494" s="36" t="s">
        <v>95</v>
      </c>
      <c r="E494" s="36" t="s">
        <v>93</v>
      </c>
      <c r="F494" s="36" t="s">
        <v>96</v>
      </c>
      <c r="G494" s="37">
        <v>68</v>
      </c>
      <c r="H494" s="66">
        <v>46346</v>
      </c>
      <c r="I494" s="38">
        <f t="shared" ca="1" si="22"/>
        <v>147</v>
      </c>
      <c r="J494" s="38" t="str">
        <f t="shared" ca="1" si="23"/>
        <v>OK</v>
      </c>
      <c r="K494" s="36" t="s">
        <v>176</v>
      </c>
      <c r="L494" s="39"/>
    </row>
    <row r="495" spans="1:12" x14ac:dyDescent="0.35">
      <c r="A495" s="34" t="str">
        <f t="shared" si="21"/>
        <v>DON-0491</v>
      </c>
      <c r="B495" s="35">
        <v>46013</v>
      </c>
      <c r="C495" s="36" t="s">
        <v>97</v>
      </c>
      <c r="D495" s="36" t="s">
        <v>98</v>
      </c>
      <c r="E495" s="36" t="s">
        <v>93</v>
      </c>
      <c r="F495" s="36" t="s">
        <v>99</v>
      </c>
      <c r="G495" s="37">
        <v>29</v>
      </c>
      <c r="H495" s="66">
        <v>46105</v>
      </c>
      <c r="I495" s="38">
        <f t="shared" ca="1" si="22"/>
        <v>-94</v>
      </c>
      <c r="J495" s="38" t="str">
        <f t="shared" ca="1" si="23"/>
        <v>EXPIRED</v>
      </c>
      <c r="K495" s="36" t="s">
        <v>179</v>
      </c>
      <c r="L495" s="39"/>
    </row>
    <row r="496" spans="1:12" x14ac:dyDescent="0.35">
      <c r="A496" s="34" t="str">
        <f t="shared" si="21"/>
        <v>DON-0492</v>
      </c>
      <c r="B496" s="35">
        <v>46013</v>
      </c>
      <c r="C496" s="36" t="s">
        <v>120</v>
      </c>
      <c r="D496" s="36" t="s">
        <v>121</v>
      </c>
      <c r="E496" s="36" t="s">
        <v>14</v>
      </c>
      <c r="F496" s="36" t="s">
        <v>119</v>
      </c>
      <c r="G496" s="37">
        <v>12</v>
      </c>
      <c r="H496" s="66">
        <v>46257</v>
      </c>
      <c r="I496" s="38">
        <f t="shared" ca="1" si="22"/>
        <v>58</v>
      </c>
      <c r="J496" s="38" t="str">
        <f t="shared" ca="1" si="23"/>
        <v>OK</v>
      </c>
      <c r="K496" s="36" t="s">
        <v>179</v>
      </c>
      <c r="L496" s="39"/>
    </row>
    <row r="497" spans="1:12" x14ac:dyDescent="0.35">
      <c r="A497" s="34" t="str">
        <f t="shared" si="21"/>
        <v>DON-0493</v>
      </c>
      <c r="B497" s="35">
        <v>46013</v>
      </c>
      <c r="C497" s="36" t="s">
        <v>81</v>
      </c>
      <c r="D497" s="36" t="s">
        <v>82</v>
      </c>
      <c r="E497" s="36" t="s">
        <v>74</v>
      </c>
      <c r="F497" s="36" t="s">
        <v>80</v>
      </c>
      <c r="G497" s="37">
        <v>54</v>
      </c>
      <c r="H497" s="66">
        <v>46565</v>
      </c>
      <c r="I497" s="38">
        <f t="shared" ca="1" si="22"/>
        <v>366</v>
      </c>
      <c r="J497" s="38" t="str">
        <f t="shared" ca="1" si="23"/>
        <v>OK</v>
      </c>
      <c r="K497" s="36" t="s">
        <v>179</v>
      </c>
      <c r="L497" s="39"/>
    </row>
    <row r="498" spans="1:12" x14ac:dyDescent="0.35">
      <c r="A498" s="34" t="str">
        <f t="shared" si="21"/>
        <v>DON-0494</v>
      </c>
      <c r="B498" s="35">
        <v>46013</v>
      </c>
      <c r="C498" s="36" t="s">
        <v>161</v>
      </c>
      <c r="D498" s="36" t="s">
        <v>162</v>
      </c>
      <c r="E498" s="36" t="s">
        <v>159</v>
      </c>
      <c r="F498" s="36" t="s">
        <v>163</v>
      </c>
      <c r="G498" s="37">
        <v>58</v>
      </c>
      <c r="H498" s="66">
        <v>46674</v>
      </c>
      <c r="I498" s="38">
        <f t="shared" ca="1" si="22"/>
        <v>475</v>
      </c>
      <c r="J498" s="38" t="str">
        <f t="shared" ca="1" si="23"/>
        <v>OK</v>
      </c>
      <c r="K498" s="36" t="s">
        <v>179</v>
      </c>
      <c r="L498" s="39"/>
    </row>
    <row r="499" spans="1:12" x14ac:dyDescent="0.35">
      <c r="A499" s="34" t="str">
        <f t="shared" si="21"/>
        <v>DON-0495</v>
      </c>
      <c r="B499" s="35">
        <v>46013</v>
      </c>
      <c r="C499" s="36" t="s">
        <v>104</v>
      </c>
      <c r="D499" s="36" t="s">
        <v>105</v>
      </c>
      <c r="E499" s="36" t="s">
        <v>102</v>
      </c>
      <c r="F499" s="36" t="s">
        <v>103</v>
      </c>
      <c r="G499" s="37">
        <v>159</v>
      </c>
      <c r="H499" s="66">
        <v>47106</v>
      </c>
      <c r="I499" s="38">
        <f t="shared" ca="1" si="22"/>
        <v>907</v>
      </c>
      <c r="J499" s="38" t="str">
        <f t="shared" ca="1" si="23"/>
        <v>OK</v>
      </c>
      <c r="K499" s="36" t="s">
        <v>179</v>
      </c>
      <c r="L499" s="39"/>
    </row>
    <row r="500" spans="1:12" x14ac:dyDescent="0.35">
      <c r="A500" s="34" t="str">
        <f t="shared" si="21"/>
        <v>DON-0496</v>
      </c>
      <c r="B500" s="35">
        <v>46013</v>
      </c>
      <c r="C500" s="36" t="s">
        <v>122</v>
      </c>
      <c r="D500" s="36" t="s">
        <v>123</v>
      </c>
      <c r="E500" s="36" t="s">
        <v>14</v>
      </c>
      <c r="F500" s="36" t="s">
        <v>124</v>
      </c>
      <c r="G500" s="37">
        <v>32</v>
      </c>
      <c r="H500" s="66">
        <v>47756</v>
      </c>
      <c r="I500" s="38">
        <f t="shared" ca="1" si="22"/>
        <v>1557</v>
      </c>
      <c r="J500" s="38" t="str">
        <f t="shared" ca="1" si="23"/>
        <v>OK</v>
      </c>
      <c r="K500" s="36" t="s">
        <v>179</v>
      </c>
      <c r="L500" s="39"/>
    </row>
    <row r="501" spans="1:12" x14ac:dyDescent="0.35">
      <c r="A501" s="34" t="str">
        <f t="shared" si="21"/>
        <v>DON-0497</v>
      </c>
      <c r="B501" s="35">
        <v>46014</v>
      </c>
      <c r="C501" s="36" t="s">
        <v>137</v>
      </c>
      <c r="D501" s="36" t="s">
        <v>15</v>
      </c>
      <c r="E501" s="36" t="s">
        <v>6</v>
      </c>
      <c r="F501" s="36" t="s">
        <v>136</v>
      </c>
      <c r="G501" s="37">
        <v>59</v>
      </c>
      <c r="H501" s="66">
        <v>46020</v>
      </c>
      <c r="I501" s="38">
        <f t="shared" ca="1" si="22"/>
        <v>-179</v>
      </c>
      <c r="J501" s="38" t="str">
        <f t="shared" ca="1" si="23"/>
        <v>EXPIRED</v>
      </c>
      <c r="K501" s="36" t="s">
        <v>179</v>
      </c>
      <c r="L501" s="39"/>
    </row>
    <row r="502" spans="1:12" x14ac:dyDescent="0.35">
      <c r="A502" s="34" t="str">
        <f t="shared" si="21"/>
        <v>DON-0498</v>
      </c>
      <c r="B502" s="35">
        <v>46014</v>
      </c>
      <c r="C502" s="36" t="s">
        <v>76</v>
      </c>
      <c r="D502" s="36" t="s">
        <v>77</v>
      </c>
      <c r="E502" s="36" t="s">
        <v>74</v>
      </c>
      <c r="F502" s="36" t="s">
        <v>75</v>
      </c>
      <c r="G502" s="37">
        <v>63</v>
      </c>
      <c r="H502" s="66">
        <v>46147</v>
      </c>
      <c r="I502" s="38">
        <f t="shared" ca="1" si="22"/>
        <v>-52</v>
      </c>
      <c r="J502" s="38" t="str">
        <f t="shared" ca="1" si="23"/>
        <v>EXPIRED</v>
      </c>
      <c r="K502" s="36" t="s">
        <v>179</v>
      </c>
      <c r="L502" s="39"/>
    </row>
    <row r="503" spans="1:12" x14ac:dyDescent="0.35">
      <c r="A503" s="34" t="str">
        <f t="shared" si="21"/>
        <v>DON-0499</v>
      </c>
      <c r="B503" s="35">
        <v>46014</v>
      </c>
      <c r="C503" s="36" t="s">
        <v>157</v>
      </c>
      <c r="D503" s="36" t="s">
        <v>158</v>
      </c>
      <c r="E503" s="36" t="s">
        <v>159</v>
      </c>
      <c r="F503" s="36" t="s">
        <v>160</v>
      </c>
      <c r="G503" s="37">
        <v>53</v>
      </c>
      <c r="H503" s="66">
        <v>46158</v>
      </c>
      <c r="I503" s="38">
        <f t="shared" ca="1" si="22"/>
        <v>-41</v>
      </c>
      <c r="J503" s="38" t="str">
        <f t="shared" ca="1" si="23"/>
        <v>EXPIRED</v>
      </c>
      <c r="K503" s="36" t="s">
        <v>182</v>
      </c>
      <c r="L503" s="39"/>
    </row>
    <row r="504" spans="1:12" x14ac:dyDescent="0.35">
      <c r="A504" s="34" t="str">
        <f t="shared" si="21"/>
        <v>DON-0500</v>
      </c>
      <c r="B504" s="35">
        <v>46014</v>
      </c>
      <c r="C504" s="36" t="s">
        <v>109</v>
      </c>
      <c r="D504" s="36" t="s">
        <v>110</v>
      </c>
      <c r="E504" s="36" t="s">
        <v>102</v>
      </c>
      <c r="F504" s="36" t="s">
        <v>42</v>
      </c>
      <c r="G504" s="37">
        <v>92</v>
      </c>
      <c r="H504" s="66">
        <v>46406</v>
      </c>
      <c r="I504" s="38">
        <f t="shared" ca="1" si="22"/>
        <v>207</v>
      </c>
      <c r="J504" s="38" t="str">
        <f t="shared" ca="1" si="23"/>
        <v>OK</v>
      </c>
      <c r="K504" s="36" t="s">
        <v>182</v>
      </c>
      <c r="L504" s="39"/>
    </row>
    <row r="505" spans="1:12" x14ac:dyDescent="0.35">
      <c r="A505" s="34" t="str">
        <f t="shared" si="21"/>
        <v>DON-0501</v>
      </c>
      <c r="B505" s="35">
        <v>46014</v>
      </c>
      <c r="C505" s="36" t="s">
        <v>46</v>
      </c>
      <c r="D505" s="36" t="s">
        <v>47</v>
      </c>
      <c r="E505" s="36" t="s">
        <v>31</v>
      </c>
      <c r="F505" s="36" t="s">
        <v>42</v>
      </c>
      <c r="G505" s="37">
        <v>123</v>
      </c>
      <c r="H505" s="66">
        <v>46492</v>
      </c>
      <c r="I505" s="38">
        <f t="shared" ca="1" si="22"/>
        <v>293</v>
      </c>
      <c r="J505" s="38" t="str">
        <f t="shared" ca="1" si="23"/>
        <v>OK</v>
      </c>
      <c r="K505" s="36" t="s">
        <v>179</v>
      </c>
      <c r="L505" s="39"/>
    </row>
    <row r="506" spans="1:12" x14ac:dyDescent="0.35">
      <c r="A506" s="34" t="str">
        <f t="shared" si="21"/>
        <v>DON-0502</v>
      </c>
      <c r="B506" s="35">
        <v>46014</v>
      </c>
      <c r="C506" s="36" t="s">
        <v>46</v>
      </c>
      <c r="D506" s="36" t="s">
        <v>47</v>
      </c>
      <c r="E506" s="36" t="s">
        <v>31</v>
      </c>
      <c r="F506" s="36" t="s">
        <v>42</v>
      </c>
      <c r="G506" s="37">
        <v>170</v>
      </c>
      <c r="H506" s="66">
        <v>46529</v>
      </c>
      <c r="I506" s="38">
        <f t="shared" ca="1" si="22"/>
        <v>330</v>
      </c>
      <c r="J506" s="38" t="str">
        <f t="shared" ca="1" si="23"/>
        <v>OK</v>
      </c>
      <c r="K506" s="36" t="s">
        <v>182</v>
      </c>
      <c r="L506" s="39"/>
    </row>
    <row r="507" spans="1:12" x14ac:dyDescent="0.35">
      <c r="A507" s="34" t="str">
        <f t="shared" si="21"/>
        <v>DON-0503</v>
      </c>
      <c r="B507" s="35">
        <v>46014</v>
      </c>
      <c r="C507" s="36" t="s">
        <v>59</v>
      </c>
      <c r="D507" s="36" t="s">
        <v>60</v>
      </c>
      <c r="E507" s="36" t="s">
        <v>53</v>
      </c>
      <c r="F507" s="36" t="s">
        <v>56</v>
      </c>
      <c r="G507" s="37">
        <v>184</v>
      </c>
      <c r="H507" s="66">
        <v>46606</v>
      </c>
      <c r="I507" s="38">
        <f t="shared" ca="1" si="22"/>
        <v>407</v>
      </c>
      <c r="J507" s="38" t="str">
        <f t="shared" ca="1" si="23"/>
        <v>OK</v>
      </c>
      <c r="K507" s="36" t="s">
        <v>182</v>
      </c>
      <c r="L507" s="39"/>
    </row>
    <row r="508" spans="1:12" x14ac:dyDescent="0.35">
      <c r="A508" s="34" t="str">
        <f t="shared" si="21"/>
        <v>DON-0504</v>
      </c>
      <c r="B508" s="35">
        <v>46014</v>
      </c>
      <c r="C508" s="36" t="s">
        <v>34</v>
      </c>
      <c r="D508" s="36" t="s">
        <v>35</v>
      </c>
      <c r="E508" s="36" t="s">
        <v>31</v>
      </c>
      <c r="F508" s="36" t="s">
        <v>36</v>
      </c>
      <c r="G508" s="37">
        <v>154</v>
      </c>
      <c r="H508" s="66">
        <v>46622</v>
      </c>
      <c r="I508" s="38">
        <f t="shared" ca="1" si="22"/>
        <v>423</v>
      </c>
      <c r="J508" s="38" t="str">
        <f t="shared" ca="1" si="23"/>
        <v>OK</v>
      </c>
      <c r="K508" s="36" t="s">
        <v>179</v>
      </c>
      <c r="L508" s="39"/>
    </row>
    <row r="509" spans="1:12" x14ac:dyDescent="0.35">
      <c r="A509" s="34" t="str">
        <f t="shared" si="21"/>
        <v>DON-0505</v>
      </c>
      <c r="B509" s="35">
        <v>46014</v>
      </c>
      <c r="C509" s="36" t="s">
        <v>78</v>
      </c>
      <c r="D509" s="36" t="s">
        <v>79</v>
      </c>
      <c r="E509" s="36" t="s">
        <v>74</v>
      </c>
      <c r="F509" s="36" t="s">
        <v>80</v>
      </c>
      <c r="G509" s="37">
        <v>106</v>
      </c>
      <c r="H509" s="66">
        <v>46709</v>
      </c>
      <c r="I509" s="38">
        <f t="shared" ca="1" si="22"/>
        <v>510</v>
      </c>
      <c r="J509" s="38" t="str">
        <f t="shared" ca="1" si="23"/>
        <v>OK</v>
      </c>
      <c r="K509" s="36" t="s">
        <v>182</v>
      </c>
      <c r="L509" s="39"/>
    </row>
    <row r="510" spans="1:12" x14ac:dyDescent="0.35">
      <c r="A510" s="34" t="str">
        <f t="shared" si="21"/>
        <v>DON-0506</v>
      </c>
      <c r="B510" s="35">
        <v>46014</v>
      </c>
      <c r="C510" s="36" t="s">
        <v>29</v>
      </c>
      <c r="D510" s="36" t="s">
        <v>30</v>
      </c>
      <c r="E510" s="36" t="s">
        <v>31</v>
      </c>
      <c r="F510" s="36" t="s">
        <v>32</v>
      </c>
      <c r="G510" s="37">
        <v>174</v>
      </c>
      <c r="H510" s="66">
        <v>47002</v>
      </c>
      <c r="I510" s="38">
        <f t="shared" ca="1" si="22"/>
        <v>803</v>
      </c>
      <c r="J510" s="38" t="str">
        <f t="shared" ca="1" si="23"/>
        <v>OK</v>
      </c>
      <c r="K510" s="36" t="s">
        <v>179</v>
      </c>
      <c r="L510" s="39"/>
    </row>
    <row r="511" spans="1:12" x14ac:dyDescent="0.35">
      <c r="A511" s="34" t="str">
        <f t="shared" si="21"/>
        <v>DON-0507</v>
      </c>
      <c r="B511" s="35">
        <v>46014</v>
      </c>
      <c r="C511" s="36" t="s">
        <v>67</v>
      </c>
      <c r="D511" s="36" t="s">
        <v>68</v>
      </c>
      <c r="E511" s="36" t="s">
        <v>66</v>
      </c>
      <c r="F511" s="36" t="s">
        <v>42</v>
      </c>
      <c r="G511" s="37">
        <v>57</v>
      </c>
      <c r="H511" s="66">
        <v>47033</v>
      </c>
      <c r="I511" s="38">
        <f t="shared" ca="1" si="22"/>
        <v>834</v>
      </c>
      <c r="J511" s="38" t="str">
        <f t="shared" ca="1" si="23"/>
        <v>OK</v>
      </c>
      <c r="K511" s="36" t="s">
        <v>179</v>
      </c>
      <c r="L511" s="39"/>
    </row>
    <row r="512" spans="1:12" x14ac:dyDescent="0.35">
      <c r="A512" s="34" t="str">
        <f t="shared" si="21"/>
        <v>DON-0508</v>
      </c>
      <c r="B512" s="35">
        <v>46015</v>
      </c>
      <c r="C512" s="36" t="s">
        <v>94</v>
      </c>
      <c r="D512" s="36" t="s">
        <v>95</v>
      </c>
      <c r="E512" s="36" t="s">
        <v>93</v>
      </c>
      <c r="F512" s="36" t="s">
        <v>96</v>
      </c>
      <c r="G512" s="37">
        <v>58</v>
      </c>
      <c r="H512" s="66">
        <v>46221</v>
      </c>
      <c r="I512" s="38">
        <f t="shared" ca="1" si="22"/>
        <v>22</v>
      </c>
      <c r="J512" s="38" t="str">
        <f t="shared" ca="1" si="23"/>
        <v>NOTICE</v>
      </c>
      <c r="K512" s="36" t="s">
        <v>176</v>
      </c>
      <c r="L512" s="39"/>
    </row>
    <row r="513" spans="1:12" x14ac:dyDescent="0.35">
      <c r="A513" s="34" t="str">
        <f t="shared" si="21"/>
        <v>DON-0509</v>
      </c>
      <c r="B513" s="35">
        <v>46015</v>
      </c>
      <c r="C513" s="36" t="s">
        <v>135</v>
      </c>
      <c r="D513" s="36" t="s">
        <v>5</v>
      </c>
      <c r="E513" s="36" t="s">
        <v>6</v>
      </c>
      <c r="F513" s="36" t="s">
        <v>136</v>
      </c>
      <c r="G513" s="37">
        <v>32</v>
      </c>
      <c r="H513" s="66">
        <v>46018</v>
      </c>
      <c r="I513" s="38">
        <f t="shared" ca="1" si="22"/>
        <v>-181</v>
      </c>
      <c r="J513" s="38" t="str">
        <f t="shared" ca="1" si="23"/>
        <v>EXPIRED</v>
      </c>
      <c r="K513" s="36" t="s">
        <v>182</v>
      </c>
      <c r="L513" s="39"/>
    </row>
    <row r="514" spans="1:12" x14ac:dyDescent="0.35">
      <c r="A514" s="34" t="str">
        <f t="shared" si="21"/>
        <v>DON-0510</v>
      </c>
      <c r="B514" s="35">
        <v>46015</v>
      </c>
      <c r="C514" s="36" t="s">
        <v>138</v>
      </c>
      <c r="D514" s="36" t="s">
        <v>139</v>
      </c>
      <c r="E514" s="36" t="s">
        <v>6</v>
      </c>
      <c r="F514" s="36" t="s">
        <v>140</v>
      </c>
      <c r="G514" s="37">
        <v>47</v>
      </c>
      <c r="H514" s="66">
        <v>46030</v>
      </c>
      <c r="I514" s="38">
        <f t="shared" ca="1" si="22"/>
        <v>-169</v>
      </c>
      <c r="J514" s="38" t="str">
        <f t="shared" ca="1" si="23"/>
        <v>EXPIRED</v>
      </c>
      <c r="K514" s="36" t="s">
        <v>182</v>
      </c>
      <c r="L514" s="39"/>
    </row>
    <row r="515" spans="1:12" x14ac:dyDescent="0.35">
      <c r="A515" s="34" t="str">
        <f t="shared" si="21"/>
        <v>DON-0511</v>
      </c>
      <c r="B515" s="35">
        <v>46015</v>
      </c>
      <c r="C515" s="36" t="s">
        <v>130</v>
      </c>
      <c r="D515" s="36" t="s">
        <v>16</v>
      </c>
      <c r="E515" s="36" t="s">
        <v>10</v>
      </c>
      <c r="F515" s="36" t="s">
        <v>131</v>
      </c>
      <c r="G515" s="37">
        <v>35</v>
      </c>
      <c r="H515" s="66">
        <v>46037</v>
      </c>
      <c r="I515" s="38">
        <f t="shared" ca="1" si="22"/>
        <v>-162</v>
      </c>
      <c r="J515" s="38" t="str">
        <f t="shared" ca="1" si="23"/>
        <v>EXPIRED</v>
      </c>
      <c r="K515" s="36" t="s">
        <v>182</v>
      </c>
      <c r="L515" s="39"/>
    </row>
    <row r="516" spans="1:12" x14ac:dyDescent="0.35">
      <c r="A516" s="34" t="str">
        <f t="shared" si="21"/>
        <v>DON-0512</v>
      </c>
      <c r="B516" s="35">
        <v>46015</v>
      </c>
      <c r="C516" s="36" t="s">
        <v>138</v>
      </c>
      <c r="D516" s="36" t="s">
        <v>139</v>
      </c>
      <c r="E516" s="36" t="s">
        <v>6</v>
      </c>
      <c r="F516" s="36" t="s">
        <v>140</v>
      </c>
      <c r="G516" s="37">
        <v>32</v>
      </c>
      <c r="H516" s="66">
        <v>46045</v>
      </c>
      <c r="I516" s="38">
        <f t="shared" ca="1" si="22"/>
        <v>-154</v>
      </c>
      <c r="J516" s="38" t="str">
        <f t="shared" ca="1" si="23"/>
        <v>EXPIRED</v>
      </c>
      <c r="K516" s="36" t="s">
        <v>176</v>
      </c>
      <c r="L516" s="39"/>
    </row>
    <row r="517" spans="1:12" x14ac:dyDescent="0.35">
      <c r="A517" s="34" t="str">
        <f t="shared" ref="A517:A580" si="24">IF(G517="","","DON-"&amp;TEXT(ROW()-4,"0000"))</f>
        <v>DON-0513</v>
      </c>
      <c r="B517" s="35">
        <v>46015</v>
      </c>
      <c r="C517" s="36" t="s">
        <v>97</v>
      </c>
      <c r="D517" s="36" t="s">
        <v>98</v>
      </c>
      <c r="E517" s="36" t="s">
        <v>93</v>
      </c>
      <c r="F517" s="36" t="s">
        <v>99</v>
      </c>
      <c r="G517" s="37">
        <v>27</v>
      </c>
      <c r="H517" s="66">
        <v>46149</v>
      </c>
      <c r="I517" s="38">
        <f t="shared" ref="I517:I580" ca="1" si="25">IF(H517="","",H517-TODAY())</f>
        <v>-50</v>
      </c>
      <c r="J517" s="38" t="str">
        <f t="shared" ref="J517:J580" ca="1" si="26">IF(I517="","",IF(I517&lt;=0,"EXPIRED",IF(I517&lt;=3,"CRITICAL",IF(I517&lt;=7,"WARNING",IF(I517&lt;=30,"NOTICE","OK")))))</f>
        <v>EXPIRED</v>
      </c>
      <c r="K517" s="36" t="s">
        <v>176</v>
      </c>
      <c r="L517" s="39"/>
    </row>
    <row r="518" spans="1:12" x14ac:dyDescent="0.35">
      <c r="A518" s="34" t="str">
        <f t="shared" si="24"/>
        <v>DON-0514</v>
      </c>
      <c r="B518" s="35">
        <v>46015</v>
      </c>
      <c r="C518" s="36" t="s">
        <v>120</v>
      </c>
      <c r="D518" s="36" t="s">
        <v>121</v>
      </c>
      <c r="E518" s="36" t="s">
        <v>14</v>
      </c>
      <c r="F518" s="36" t="s">
        <v>119</v>
      </c>
      <c r="G518" s="37">
        <v>27</v>
      </c>
      <c r="H518" s="66">
        <v>46157</v>
      </c>
      <c r="I518" s="38">
        <f t="shared" ca="1" si="25"/>
        <v>-42</v>
      </c>
      <c r="J518" s="38" t="str">
        <f t="shared" ca="1" si="26"/>
        <v>EXPIRED</v>
      </c>
      <c r="K518" s="36" t="s">
        <v>182</v>
      </c>
      <c r="L518" s="39"/>
    </row>
    <row r="519" spans="1:12" x14ac:dyDescent="0.35">
      <c r="A519" s="34" t="str">
        <f t="shared" si="24"/>
        <v>DON-0515</v>
      </c>
      <c r="B519" s="35">
        <v>46015</v>
      </c>
      <c r="C519" s="36" t="s">
        <v>76</v>
      </c>
      <c r="D519" s="36" t="s">
        <v>77</v>
      </c>
      <c r="E519" s="36" t="s">
        <v>74</v>
      </c>
      <c r="F519" s="36" t="s">
        <v>75</v>
      </c>
      <c r="G519" s="37">
        <v>49</v>
      </c>
      <c r="H519" s="66">
        <v>46226</v>
      </c>
      <c r="I519" s="38">
        <f t="shared" ca="1" si="25"/>
        <v>27</v>
      </c>
      <c r="J519" s="38" t="str">
        <f t="shared" ca="1" si="26"/>
        <v>NOTICE</v>
      </c>
      <c r="K519" s="36" t="s">
        <v>176</v>
      </c>
      <c r="L519" s="39"/>
    </row>
    <row r="520" spans="1:12" x14ac:dyDescent="0.35">
      <c r="A520" s="34" t="str">
        <f t="shared" si="24"/>
        <v>DON-0516</v>
      </c>
      <c r="B520" s="35">
        <v>46015</v>
      </c>
      <c r="C520" s="36" t="s">
        <v>114</v>
      </c>
      <c r="D520" s="36" t="s">
        <v>13</v>
      </c>
      <c r="E520" s="36" t="s">
        <v>14</v>
      </c>
      <c r="F520" s="36" t="s">
        <v>115</v>
      </c>
      <c r="G520" s="37">
        <v>29</v>
      </c>
      <c r="H520" s="66">
        <v>46227</v>
      </c>
      <c r="I520" s="38">
        <f t="shared" ca="1" si="25"/>
        <v>28</v>
      </c>
      <c r="J520" s="38" t="str">
        <f t="shared" ca="1" si="26"/>
        <v>NOTICE</v>
      </c>
      <c r="K520" s="36" t="s">
        <v>176</v>
      </c>
      <c r="L520" s="39"/>
    </row>
    <row r="521" spans="1:12" x14ac:dyDescent="0.35">
      <c r="A521" s="34" t="str">
        <f t="shared" si="24"/>
        <v>DON-0517</v>
      </c>
      <c r="B521" s="35">
        <v>46015</v>
      </c>
      <c r="C521" s="36" t="s">
        <v>34</v>
      </c>
      <c r="D521" s="36" t="s">
        <v>35</v>
      </c>
      <c r="E521" s="36" t="s">
        <v>31</v>
      </c>
      <c r="F521" s="36" t="s">
        <v>36</v>
      </c>
      <c r="G521" s="37">
        <v>134</v>
      </c>
      <c r="H521" s="66">
        <v>46626</v>
      </c>
      <c r="I521" s="38">
        <f t="shared" ca="1" si="25"/>
        <v>427</v>
      </c>
      <c r="J521" s="38" t="str">
        <f t="shared" ca="1" si="26"/>
        <v>OK</v>
      </c>
      <c r="K521" s="36" t="s">
        <v>182</v>
      </c>
      <c r="L521" s="39"/>
    </row>
    <row r="522" spans="1:12" x14ac:dyDescent="0.35">
      <c r="A522" s="34" t="str">
        <f t="shared" si="24"/>
        <v>DON-0518</v>
      </c>
      <c r="B522" s="35">
        <v>46015</v>
      </c>
      <c r="C522" s="36" t="s">
        <v>125</v>
      </c>
      <c r="D522" s="36" t="s">
        <v>126</v>
      </c>
      <c r="E522" s="36" t="s">
        <v>14</v>
      </c>
      <c r="F522" s="36" t="s">
        <v>127</v>
      </c>
      <c r="G522" s="37">
        <v>18</v>
      </c>
      <c r="H522" s="66">
        <v>46626</v>
      </c>
      <c r="I522" s="38">
        <f t="shared" ca="1" si="25"/>
        <v>427</v>
      </c>
      <c r="J522" s="38" t="str">
        <f t="shared" ca="1" si="26"/>
        <v>OK</v>
      </c>
      <c r="K522" s="36" t="s">
        <v>182</v>
      </c>
      <c r="L522" s="39"/>
    </row>
    <row r="523" spans="1:12" x14ac:dyDescent="0.35">
      <c r="A523" s="34" t="str">
        <f t="shared" si="24"/>
        <v>DON-0519</v>
      </c>
      <c r="B523" s="35">
        <v>46015</v>
      </c>
      <c r="C523" s="36" t="s">
        <v>37</v>
      </c>
      <c r="D523" s="36" t="s">
        <v>38</v>
      </c>
      <c r="E523" s="36" t="s">
        <v>31</v>
      </c>
      <c r="F523" s="36" t="s">
        <v>39</v>
      </c>
      <c r="G523" s="37">
        <v>155</v>
      </c>
      <c r="H523" s="66">
        <v>46733</v>
      </c>
      <c r="I523" s="38">
        <f t="shared" ca="1" si="25"/>
        <v>534</v>
      </c>
      <c r="J523" s="38" t="str">
        <f t="shared" ca="1" si="26"/>
        <v>OK</v>
      </c>
      <c r="K523" s="36" t="s">
        <v>176</v>
      </c>
      <c r="L523" s="39"/>
    </row>
    <row r="524" spans="1:12" x14ac:dyDescent="0.35">
      <c r="A524" s="34" t="str">
        <f t="shared" si="24"/>
        <v>DON-0520</v>
      </c>
      <c r="B524" s="35">
        <v>46017</v>
      </c>
      <c r="C524" s="36" t="s">
        <v>141</v>
      </c>
      <c r="D524" s="36" t="s">
        <v>142</v>
      </c>
      <c r="E524" s="36" t="s">
        <v>8</v>
      </c>
      <c r="F524" s="36" t="s">
        <v>143</v>
      </c>
      <c r="G524" s="37">
        <v>21</v>
      </c>
      <c r="H524" s="66">
        <v>46029</v>
      </c>
      <c r="I524" s="38">
        <f t="shared" ca="1" si="25"/>
        <v>-170</v>
      </c>
      <c r="J524" s="38" t="str">
        <f t="shared" ca="1" si="26"/>
        <v>EXPIRED</v>
      </c>
      <c r="K524" s="36" t="s">
        <v>178</v>
      </c>
      <c r="L524" s="39"/>
    </row>
    <row r="525" spans="1:12" x14ac:dyDescent="0.35">
      <c r="A525" s="34" t="str">
        <f t="shared" si="24"/>
        <v>DON-0521</v>
      </c>
      <c r="B525" s="35">
        <v>46017</v>
      </c>
      <c r="C525" s="36" t="s">
        <v>88</v>
      </c>
      <c r="D525" s="36" t="s">
        <v>89</v>
      </c>
      <c r="E525" s="36" t="s">
        <v>74</v>
      </c>
      <c r="F525" s="36" t="s">
        <v>90</v>
      </c>
      <c r="G525" s="37">
        <v>74</v>
      </c>
      <c r="H525" s="66">
        <v>46240</v>
      </c>
      <c r="I525" s="38">
        <f t="shared" ca="1" si="25"/>
        <v>41</v>
      </c>
      <c r="J525" s="38" t="str">
        <f t="shared" ca="1" si="26"/>
        <v>OK</v>
      </c>
      <c r="K525" s="36" t="s">
        <v>178</v>
      </c>
      <c r="L525" s="39"/>
    </row>
    <row r="526" spans="1:12" x14ac:dyDescent="0.35">
      <c r="A526" s="34" t="str">
        <f t="shared" si="24"/>
        <v>DON-0522</v>
      </c>
      <c r="B526" s="35">
        <v>46017</v>
      </c>
      <c r="C526" s="36" t="s">
        <v>78</v>
      </c>
      <c r="D526" s="36" t="s">
        <v>79</v>
      </c>
      <c r="E526" s="36" t="s">
        <v>74</v>
      </c>
      <c r="F526" s="36" t="s">
        <v>80</v>
      </c>
      <c r="G526" s="37">
        <v>100</v>
      </c>
      <c r="H526" s="66">
        <v>46718</v>
      </c>
      <c r="I526" s="38">
        <f t="shared" ca="1" si="25"/>
        <v>519</v>
      </c>
      <c r="J526" s="38" t="str">
        <f t="shared" ca="1" si="26"/>
        <v>OK</v>
      </c>
      <c r="K526" s="36" t="s">
        <v>178</v>
      </c>
      <c r="L526" s="39"/>
    </row>
    <row r="527" spans="1:12" x14ac:dyDescent="0.35">
      <c r="A527" s="34" t="str">
        <f t="shared" si="24"/>
        <v>DON-0523</v>
      </c>
      <c r="B527" s="35">
        <v>46018</v>
      </c>
      <c r="C527" s="36" t="s">
        <v>149</v>
      </c>
      <c r="D527" s="36" t="s">
        <v>150</v>
      </c>
      <c r="E527" s="36" t="s">
        <v>8</v>
      </c>
      <c r="F527" s="36" t="s">
        <v>75</v>
      </c>
      <c r="G527" s="37">
        <v>42</v>
      </c>
      <c r="H527" s="66">
        <v>46043</v>
      </c>
      <c r="I527" s="38">
        <f t="shared" ca="1" si="25"/>
        <v>-156</v>
      </c>
      <c r="J527" s="38" t="str">
        <f t="shared" ca="1" si="26"/>
        <v>EXPIRED</v>
      </c>
      <c r="K527" s="36" t="s">
        <v>178</v>
      </c>
      <c r="L527" s="39"/>
    </row>
    <row r="528" spans="1:12" x14ac:dyDescent="0.35">
      <c r="A528" s="34" t="str">
        <f t="shared" si="24"/>
        <v>DON-0524</v>
      </c>
      <c r="B528" s="35">
        <v>46018</v>
      </c>
      <c r="C528" s="36" t="s">
        <v>117</v>
      </c>
      <c r="D528" s="36" t="s">
        <v>118</v>
      </c>
      <c r="E528" s="36" t="s">
        <v>14</v>
      </c>
      <c r="F528" s="36" t="s">
        <v>119</v>
      </c>
      <c r="G528" s="37">
        <v>17</v>
      </c>
      <c r="H528" s="66">
        <v>46160</v>
      </c>
      <c r="I528" s="38">
        <f t="shared" ca="1" si="25"/>
        <v>-39</v>
      </c>
      <c r="J528" s="38" t="str">
        <f t="shared" ca="1" si="26"/>
        <v>EXPIRED</v>
      </c>
      <c r="K528" s="36" t="s">
        <v>178</v>
      </c>
      <c r="L528" s="39"/>
    </row>
    <row r="529" spans="1:12" x14ac:dyDescent="0.35">
      <c r="A529" s="34" t="str">
        <f t="shared" si="24"/>
        <v>DON-0525</v>
      </c>
      <c r="B529" s="35">
        <v>46018</v>
      </c>
      <c r="C529" s="36" t="s">
        <v>122</v>
      </c>
      <c r="D529" s="36" t="s">
        <v>123</v>
      </c>
      <c r="E529" s="36" t="s">
        <v>14</v>
      </c>
      <c r="F529" s="36" t="s">
        <v>124</v>
      </c>
      <c r="G529" s="37">
        <v>15</v>
      </c>
      <c r="H529" s="66">
        <v>47227</v>
      </c>
      <c r="I529" s="38">
        <f t="shared" ca="1" si="25"/>
        <v>1028</v>
      </c>
      <c r="J529" s="38" t="str">
        <f t="shared" ca="1" si="26"/>
        <v>OK</v>
      </c>
      <c r="K529" s="36" t="s">
        <v>178</v>
      </c>
      <c r="L529" s="39"/>
    </row>
    <row r="530" spans="1:12" x14ac:dyDescent="0.35">
      <c r="A530" s="34" t="str">
        <f t="shared" si="24"/>
        <v>DON-0526</v>
      </c>
      <c r="B530" s="35">
        <v>46018</v>
      </c>
      <c r="C530" s="36" t="s">
        <v>94</v>
      </c>
      <c r="D530" s="36" t="s">
        <v>95</v>
      </c>
      <c r="E530" s="36" t="s">
        <v>93</v>
      </c>
      <c r="F530" s="36" t="s">
        <v>96</v>
      </c>
      <c r="G530" s="37">
        <v>43</v>
      </c>
      <c r="H530" s="66">
        <v>46349</v>
      </c>
      <c r="I530" s="38">
        <f t="shared" ca="1" si="25"/>
        <v>150</v>
      </c>
      <c r="J530" s="38" t="str">
        <f t="shared" ca="1" si="26"/>
        <v>OK</v>
      </c>
      <c r="K530" s="36" t="s">
        <v>178</v>
      </c>
      <c r="L530" s="39"/>
    </row>
    <row r="531" spans="1:12" x14ac:dyDescent="0.35">
      <c r="A531" s="34" t="str">
        <f t="shared" si="24"/>
        <v>DON-0527</v>
      </c>
      <c r="B531" s="35">
        <v>46019</v>
      </c>
      <c r="C531" s="36" t="s">
        <v>146</v>
      </c>
      <c r="D531" s="36" t="s">
        <v>147</v>
      </c>
      <c r="E531" s="36" t="s">
        <v>8</v>
      </c>
      <c r="F531" s="36" t="s">
        <v>148</v>
      </c>
      <c r="G531" s="37">
        <v>17</v>
      </c>
      <c r="H531" s="66">
        <v>46029</v>
      </c>
      <c r="I531" s="38">
        <f t="shared" ca="1" si="25"/>
        <v>-170</v>
      </c>
      <c r="J531" s="38" t="str">
        <f t="shared" ca="1" si="26"/>
        <v>EXPIRED</v>
      </c>
      <c r="K531" s="36" t="s">
        <v>178</v>
      </c>
      <c r="L531" s="39"/>
    </row>
    <row r="532" spans="1:12" x14ac:dyDescent="0.35">
      <c r="A532" s="34" t="str">
        <f t="shared" si="24"/>
        <v>DON-0528</v>
      </c>
      <c r="B532" s="35">
        <v>46019</v>
      </c>
      <c r="C532" s="36" t="s">
        <v>138</v>
      </c>
      <c r="D532" s="36" t="s">
        <v>139</v>
      </c>
      <c r="E532" s="36" t="s">
        <v>6</v>
      </c>
      <c r="F532" s="36" t="s">
        <v>140</v>
      </c>
      <c r="G532" s="37">
        <v>39</v>
      </c>
      <c r="H532" s="66">
        <v>46046</v>
      </c>
      <c r="I532" s="38">
        <f t="shared" ca="1" si="25"/>
        <v>-153</v>
      </c>
      <c r="J532" s="38" t="str">
        <f t="shared" ca="1" si="26"/>
        <v>EXPIRED</v>
      </c>
      <c r="K532" s="36" t="s">
        <v>178</v>
      </c>
      <c r="L532" s="39"/>
    </row>
    <row r="533" spans="1:12" x14ac:dyDescent="0.35">
      <c r="A533" s="34" t="str">
        <f t="shared" si="24"/>
        <v>DON-0529</v>
      </c>
      <c r="B533" s="35">
        <v>46019</v>
      </c>
      <c r="C533" s="36" t="s">
        <v>149</v>
      </c>
      <c r="D533" s="36" t="s">
        <v>150</v>
      </c>
      <c r="E533" s="36" t="s">
        <v>8</v>
      </c>
      <c r="F533" s="36" t="s">
        <v>75</v>
      </c>
      <c r="G533" s="37">
        <v>48</v>
      </c>
      <c r="H533" s="66">
        <v>46059</v>
      </c>
      <c r="I533" s="38">
        <f t="shared" ca="1" si="25"/>
        <v>-140</v>
      </c>
      <c r="J533" s="38" t="str">
        <f t="shared" ca="1" si="26"/>
        <v>EXPIRED</v>
      </c>
      <c r="K533" s="36" t="s">
        <v>178</v>
      </c>
      <c r="L533" s="39"/>
    </row>
    <row r="534" spans="1:12" x14ac:dyDescent="0.35">
      <c r="A534" s="34" t="str">
        <f t="shared" si="24"/>
        <v>DON-0530</v>
      </c>
      <c r="B534" s="35">
        <v>46019</v>
      </c>
      <c r="C534" s="36" t="s">
        <v>114</v>
      </c>
      <c r="D534" s="36" t="s">
        <v>13</v>
      </c>
      <c r="E534" s="36" t="s">
        <v>14</v>
      </c>
      <c r="F534" s="36" t="s">
        <v>115</v>
      </c>
      <c r="G534" s="37">
        <v>34</v>
      </c>
      <c r="H534" s="66">
        <v>46271</v>
      </c>
      <c r="I534" s="38">
        <f t="shared" ca="1" si="25"/>
        <v>72</v>
      </c>
      <c r="J534" s="38" t="str">
        <f t="shared" ca="1" si="26"/>
        <v>OK</v>
      </c>
      <c r="K534" s="36" t="s">
        <v>178</v>
      </c>
      <c r="L534" s="39"/>
    </row>
    <row r="535" spans="1:12" x14ac:dyDescent="0.35">
      <c r="A535" s="34" t="str">
        <f t="shared" si="24"/>
        <v>DON-0531</v>
      </c>
      <c r="B535" s="35">
        <v>46019</v>
      </c>
      <c r="C535" s="36" t="s">
        <v>161</v>
      </c>
      <c r="D535" s="36" t="s">
        <v>162</v>
      </c>
      <c r="E535" s="36" t="s">
        <v>159</v>
      </c>
      <c r="F535" s="36" t="s">
        <v>163</v>
      </c>
      <c r="G535" s="37">
        <v>38</v>
      </c>
      <c r="H535" s="66">
        <v>46280</v>
      </c>
      <c r="I535" s="38">
        <f t="shared" ca="1" si="25"/>
        <v>81</v>
      </c>
      <c r="J535" s="38" t="str">
        <f t="shared" ca="1" si="26"/>
        <v>OK</v>
      </c>
      <c r="K535" s="36" t="s">
        <v>178</v>
      </c>
      <c r="L535" s="39"/>
    </row>
    <row r="536" spans="1:12" x14ac:dyDescent="0.35">
      <c r="A536" s="34" t="str">
        <f t="shared" si="24"/>
        <v>DON-0532</v>
      </c>
      <c r="B536" s="35">
        <v>46019</v>
      </c>
      <c r="C536" s="36" t="s">
        <v>54</v>
      </c>
      <c r="D536" s="36" t="s">
        <v>55</v>
      </c>
      <c r="E536" s="36" t="s">
        <v>53</v>
      </c>
      <c r="F536" s="36" t="s">
        <v>56</v>
      </c>
      <c r="G536" s="37">
        <v>159</v>
      </c>
      <c r="H536" s="66">
        <v>46579</v>
      </c>
      <c r="I536" s="38">
        <f t="shared" ca="1" si="25"/>
        <v>380</v>
      </c>
      <c r="J536" s="38" t="str">
        <f t="shared" ca="1" si="26"/>
        <v>OK</v>
      </c>
      <c r="K536" s="36" t="s">
        <v>178</v>
      </c>
      <c r="L536" s="39"/>
    </row>
    <row r="537" spans="1:12" x14ac:dyDescent="0.35">
      <c r="A537" s="34" t="str">
        <f t="shared" si="24"/>
        <v>DON-0533</v>
      </c>
      <c r="B537" s="35">
        <v>46019</v>
      </c>
      <c r="C537" s="36" t="s">
        <v>111</v>
      </c>
      <c r="D537" s="36" t="s">
        <v>112</v>
      </c>
      <c r="E537" s="36" t="s">
        <v>102</v>
      </c>
      <c r="F537" s="36" t="s">
        <v>113</v>
      </c>
      <c r="G537" s="37">
        <v>57</v>
      </c>
      <c r="H537" s="66">
        <v>46588</v>
      </c>
      <c r="I537" s="38">
        <f t="shared" ca="1" si="25"/>
        <v>389</v>
      </c>
      <c r="J537" s="38" t="str">
        <f t="shared" ca="1" si="26"/>
        <v>OK</v>
      </c>
      <c r="K537" s="36" t="s">
        <v>178</v>
      </c>
      <c r="L537" s="39"/>
    </row>
    <row r="538" spans="1:12" x14ac:dyDescent="0.35">
      <c r="A538" s="34" t="str">
        <f t="shared" si="24"/>
        <v>DON-0534</v>
      </c>
      <c r="B538" s="35">
        <v>46019</v>
      </c>
      <c r="C538" s="36" t="s">
        <v>61</v>
      </c>
      <c r="D538" s="36" t="s">
        <v>62</v>
      </c>
      <c r="E538" s="36" t="s">
        <v>53</v>
      </c>
      <c r="F538" s="36" t="s">
        <v>42</v>
      </c>
      <c r="G538" s="37">
        <v>68</v>
      </c>
      <c r="H538" s="66">
        <v>46852</v>
      </c>
      <c r="I538" s="38">
        <f t="shared" ca="1" si="25"/>
        <v>653</v>
      </c>
      <c r="J538" s="38" t="str">
        <f t="shared" ca="1" si="26"/>
        <v>OK</v>
      </c>
      <c r="K538" s="36" t="s">
        <v>178</v>
      </c>
      <c r="L538" s="39"/>
    </row>
    <row r="539" spans="1:12" x14ac:dyDescent="0.35">
      <c r="A539" s="34" t="str">
        <f t="shared" si="24"/>
        <v>DON-0535</v>
      </c>
      <c r="B539" s="35">
        <v>46022</v>
      </c>
      <c r="C539" s="36" t="s">
        <v>144</v>
      </c>
      <c r="D539" s="36" t="s">
        <v>7</v>
      </c>
      <c r="E539" s="36" t="s">
        <v>8</v>
      </c>
      <c r="F539" s="36" t="s">
        <v>145</v>
      </c>
      <c r="G539" s="37">
        <v>42</v>
      </c>
      <c r="H539" s="66">
        <v>46027</v>
      </c>
      <c r="I539" s="38">
        <f t="shared" ca="1" si="25"/>
        <v>-172</v>
      </c>
      <c r="J539" s="38" t="str">
        <f t="shared" ca="1" si="26"/>
        <v>EXPIRED</v>
      </c>
      <c r="K539" s="36" t="s">
        <v>182</v>
      </c>
      <c r="L539" s="39"/>
    </row>
    <row r="540" spans="1:12" x14ac:dyDescent="0.35">
      <c r="A540" s="34" t="str">
        <f t="shared" si="24"/>
        <v>DON-0536</v>
      </c>
      <c r="B540" s="35">
        <v>46022</v>
      </c>
      <c r="C540" s="36" t="s">
        <v>135</v>
      </c>
      <c r="D540" s="36" t="s">
        <v>5</v>
      </c>
      <c r="E540" s="36" t="s">
        <v>6</v>
      </c>
      <c r="F540" s="36" t="s">
        <v>136</v>
      </c>
      <c r="G540" s="37">
        <v>49</v>
      </c>
      <c r="H540" s="66">
        <v>46027</v>
      </c>
      <c r="I540" s="38">
        <f t="shared" ca="1" si="25"/>
        <v>-172</v>
      </c>
      <c r="J540" s="38" t="str">
        <f t="shared" ca="1" si="26"/>
        <v>EXPIRED</v>
      </c>
      <c r="K540" s="36" t="s">
        <v>182</v>
      </c>
      <c r="L540" s="39"/>
    </row>
    <row r="541" spans="1:12" x14ac:dyDescent="0.35">
      <c r="A541" s="34" t="str">
        <f t="shared" si="24"/>
        <v>DON-0537</v>
      </c>
      <c r="B541" s="35">
        <v>46022</v>
      </c>
      <c r="C541" s="36" t="s">
        <v>83</v>
      </c>
      <c r="D541" s="36" t="s">
        <v>84</v>
      </c>
      <c r="E541" s="36" t="s">
        <v>74</v>
      </c>
      <c r="F541" s="36" t="s">
        <v>85</v>
      </c>
      <c r="G541" s="37">
        <v>75</v>
      </c>
      <c r="H541" s="66">
        <v>46329</v>
      </c>
      <c r="I541" s="38">
        <f t="shared" ca="1" si="25"/>
        <v>130</v>
      </c>
      <c r="J541" s="38" t="str">
        <f t="shared" ca="1" si="26"/>
        <v>OK</v>
      </c>
      <c r="K541" s="36" t="s">
        <v>182</v>
      </c>
      <c r="L541" s="39"/>
    </row>
    <row r="542" spans="1:12" x14ac:dyDescent="0.35">
      <c r="A542" s="34" t="str">
        <f t="shared" si="24"/>
        <v>DON-0538</v>
      </c>
      <c r="B542" s="35">
        <v>46022</v>
      </c>
      <c r="C542" s="36" t="s">
        <v>81</v>
      </c>
      <c r="D542" s="36" t="s">
        <v>82</v>
      </c>
      <c r="E542" s="36" t="s">
        <v>74</v>
      </c>
      <c r="F542" s="36" t="s">
        <v>80</v>
      </c>
      <c r="G542" s="37">
        <v>95</v>
      </c>
      <c r="H542" s="66">
        <v>46444</v>
      </c>
      <c r="I542" s="38">
        <f t="shared" ca="1" si="25"/>
        <v>245</v>
      </c>
      <c r="J542" s="38" t="str">
        <f t="shared" ca="1" si="26"/>
        <v>OK</v>
      </c>
      <c r="K542" s="36" t="s">
        <v>182</v>
      </c>
      <c r="L542" s="39"/>
    </row>
    <row r="543" spans="1:12" x14ac:dyDescent="0.35">
      <c r="A543" s="34" t="str">
        <f t="shared" si="24"/>
        <v>DON-0539</v>
      </c>
      <c r="B543" s="35">
        <v>46022</v>
      </c>
      <c r="C543" s="36" t="s">
        <v>109</v>
      </c>
      <c r="D543" s="36" t="s">
        <v>110</v>
      </c>
      <c r="E543" s="36" t="s">
        <v>102</v>
      </c>
      <c r="F543" s="36" t="s">
        <v>42</v>
      </c>
      <c r="G543" s="37">
        <v>152</v>
      </c>
      <c r="H543" s="66">
        <v>46748</v>
      </c>
      <c r="I543" s="38">
        <f t="shared" ca="1" si="25"/>
        <v>549</v>
      </c>
      <c r="J543" s="38" t="str">
        <f t="shared" ca="1" si="26"/>
        <v>OK</v>
      </c>
      <c r="K543" s="36" t="s">
        <v>182</v>
      </c>
      <c r="L543" s="39"/>
    </row>
    <row r="544" spans="1:12" x14ac:dyDescent="0.35">
      <c r="A544" s="34" t="str">
        <f t="shared" si="24"/>
        <v>DON-0540</v>
      </c>
      <c r="B544" s="35">
        <v>46024</v>
      </c>
      <c r="C544" s="36" t="s">
        <v>144</v>
      </c>
      <c r="D544" s="36" t="s">
        <v>7</v>
      </c>
      <c r="E544" s="36" t="s">
        <v>8</v>
      </c>
      <c r="F544" s="36" t="s">
        <v>145</v>
      </c>
      <c r="G544" s="37">
        <v>10</v>
      </c>
      <c r="H544" s="66">
        <v>46029</v>
      </c>
      <c r="I544" s="38">
        <f t="shared" ca="1" si="25"/>
        <v>-170</v>
      </c>
      <c r="J544" s="38" t="str">
        <f t="shared" ca="1" si="26"/>
        <v>EXPIRED</v>
      </c>
      <c r="K544" s="36" t="s">
        <v>176</v>
      </c>
      <c r="L544" s="39"/>
    </row>
    <row r="545" spans="1:12" x14ac:dyDescent="0.35">
      <c r="A545" s="34" t="str">
        <f t="shared" si="24"/>
        <v>DON-0541</v>
      </c>
      <c r="B545" s="35">
        <v>46024</v>
      </c>
      <c r="C545" s="36" t="s">
        <v>138</v>
      </c>
      <c r="D545" s="36" t="s">
        <v>139</v>
      </c>
      <c r="E545" s="36" t="s">
        <v>6</v>
      </c>
      <c r="F545" s="36" t="s">
        <v>140</v>
      </c>
      <c r="G545" s="37">
        <v>23</v>
      </c>
      <c r="H545" s="66">
        <v>46038</v>
      </c>
      <c r="I545" s="38">
        <f t="shared" ca="1" si="25"/>
        <v>-161</v>
      </c>
      <c r="J545" s="38" t="str">
        <f t="shared" ca="1" si="26"/>
        <v>EXPIRED</v>
      </c>
      <c r="K545" s="36" t="s">
        <v>176</v>
      </c>
      <c r="L545" s="39"/>
    </row>
    <row r="546" spans="1:12" x14ac:dyDescent="0.35">
      <c r="A546" s="34" t="str">
        <f t="shared" si="24"/>
        <v>DON-0542</v>
      </c>
      <c r="B546" s="35">
        <v>46024</v>
      </c>
      <c r="C546" s="36" t="s">
        <v>100</v>
      </c>
      <c r="D546" s="36" t="s">
        <v>101</v>
      </c>
      <c r="E546" s="36" t="s">
        <v>102</v>
      </c>
      <c r="F546" s="36" t="s">
        <v>103</v>
      </c>
      <c r="G546" s="37">
        <v>43</v>
      </c>
      <c r="H546" s="66">
        <v>47083</v>
      </c>
      <c r="I546" s="38">
        <f t="shared" ca="1" si="25"/>
        <v>884</v>
      </c>
      <c r="J546" s="38" t="str">
        <f t="shared" ca="1" si="26"/>
        <v>OK</v>
      </c>
      <c r="K546" s="36" t="s">
        <v>176</v>
      </c>
      <c r="L546" s="39"/>
    </row>
    <row r="547" spans="1:12" x14ac:dyDescent="0.35">
      <c r="A547" s="34" t="str">
        <f t="shared" si="24"/>
        <v>DON-0543</v>
      </c>
      <c r="B547" s="35">
        <v>46027</v>
      </c>
      <c r="C547" s="36" t="s">
        <v>94</v>
      </c>
      <c r="D547" s="36" t="s">
        <v>95</v>
      </c>
      <c r="E547" s="36" t="s">
        <v>93</v>
      </c>
      <c r="F547" s="36" t="s">
        <v>96</v>
      </c>
      <c r="G547" s="37">
        <v>10</v>
      </c>
      <c r="H547" s="66">
        <v>46241</v>
      </c>
      <c r="I547" s="38">
        <f t="shared" ca="1" si="25"/>
        <v>42</v>
      </c>
      <c r="J547" s="38" t="str">
        <f t="shared" ca="1" si="26"/>
        <v>OK</v>
      </c>
      <c r="K547" s="36" t="s">
        <v>179</v>
      </c>
      <c r="L547" s="39"/>
    </row>
    <row r="548" spans="1:12" x14ac:dyDescent="0.35">
      <c r="A548" s="34" t="str">
        <f t="shared" si="24"/>
        <v>DON-0544</v>
      </c>
      <c r="B548" s="35">
        <v>46027</v>
      </c>
      <c r="C548" s="36" t="s">
        <v>130</v>
      </c>
      <c r="D548" s="36" t="s">
        <v>16</v>
      </c>
      <c r="E548" s="36" t="s">
        <v>10</v>
      </c>
      <c r="F548" s="36" t="s">
        <v>131</v>
      </c>
      <c r="G548" s="37">
        <v>12</v>
      </c>
      <c r="H548" s="66">
        <v>46050</v>
      </c>
      <c r="I548" s="38">
        <f t="shared" ca="1" si="25"/>
        <v>-149</v>
      </c>
      <c r="J548" s="38" t="str">
        <f t="shared" ca="1" si="26"/>
        <v>EXPIRED</v>
      </c>
      <c r="K548" s="36" t="s">
        <v>179</v>
      </c>
      <c r="L548" s="39"/>
    </row>
    <row r="549" spans="1:12" x14ac:dyDescent="0.35">
      <c r="A549" s="34" t="str">
        <f t="shared" si="24"/>
        <v>DON-0545</v>
      </c>
      <c r="B549" s="35">
        <v>46027</v>
      </c>
      <c r="C549" s="36" t="s">
        <v>157</v>
      </c>
      <c r="D549" s="36" t="s">
        <v>158</v>
      </c>
      <c r="E549" s="36" t="s">
        <v>159</v>
      </c>
      <c r="F549" s="36" t="s">
        <v>160</v>
      </c>
      <c r="G549" s="37">
        <v>11</v>
      </c>
      <c r="H549" s="66">
        <v>46177</v>
      </c>
      <c r="I549" s="38">
        <f t="shared" ca="1" si="25"/>
        <v>-22</v>
      </c>
      <c r="J549" s="38" t="str">
        <f t="shared" ca="1" si="26"/>
        <v>EXPIRED</v>
      </c>
      <c r="K549" s="36" t="s">
        <v>179</v>
      </c>
      <c r="L549" s="39"/>
    </row>
    <row r="550" spans="1:12" x14ac:dyDescent="0.35">
      <c r="A550" s="34" t="str">
        <f t="shared" si="24"/>
        <v>DON-0546</v>
      </c>
      <c r="B550" s="35">
        <v>46027</v>
      </c>
      <c r="C550" s="36" t="s">
        <v>43</v>
      </c>
      <c r="D550" s="36" t="s">
        <v>44</v>
      </c>
      <c r="E550" s="36" t="s">
        <v>31</v>
      </c>
      <c r="F550" s="36" t="s">
        <v>42</v>
      </c>
      <c r="G550" s="37">
        <v>17</v>
      </c>
      <c r="H550" s="66">
        <v>46582</v>
      </c>
      <c r="I550" s="38">
        <f t="shared" ca="1" si="25"/>
        <v>383</v>
      </c>
      <c r="J550" s="38" t="str">
        <f t="shared" ca="1" si="26"/>
        <v>OK</v>
      </c>
      <c r="K550" s="36" t="s">
        <v>179</v>
      </c>
      <c r="L550" s="39"/>
    </row>
    <row r="551" spans="1:12" x14ac:dyDescent="0.35">
      <c r="A551" s="34" t="str">
        <f t="shared" si="24"/>
        <v>DON-0547</v>
      </c>
      <c r="B551" s="35">
        <v>46027</v>
      </c>
      <c r="C551" s="36" t="s">
        <v>109</v>
      </c>
      <c r="D551" s="36" t="s">
        <v>110</v>
      </c>
      <c r="E551" s="36" t="s">
        <v>102</v>
      </c>
      <c r="F551" s="36" t="s">
        <v>42</v>
      </c>
      <c r="G551" s="37">
        <v>28</v>
      </c>
      <c r="H551" s="66">
        <v>47057</v>
      </c>
      <c r="I551" s="38">
        <f t="shared" ca="1" si="25"/>
        <v>858</v>
      </c>
      <c r="J551" s="38" t="str">
        <f t="shared" ca="1" si="26"/>
        <v>OK</v>
      </c>
      <c r="K551" s="36" t="s">
        <v>179</v>
      </c>
      <c r="L551" s="39"/>
    </row>
    <row r="552" spans="1:12" x14ac:dyDescent="0.35">
      <c r="A552" s="34" t="str">
        <f t="shared" si="24"/>
        <v>DON-0548</v>
      </c>
      <c r="B552" s="35">
        <v>46028</v>
      </c>
      <c r="C552" s="36" t="s">
        <v>72</v>
      </c>
      <c r="D552" s="36" t="s">
        <v>73</v>
      </c>
      <c r="E552" s="36" t="s">
        <v>74</v>
      </c>
      <c r="F552" s="36" t="s">
        <v>75</v>
      </c>
      <c r="G552" s="37">
        <v>11</v>
      </c>
      <c r="H552" s="66">
        <v>46349</v>
      </c>
      <c r="I552" s="38">
        <f t="shared" ca="1" si="25"/>
        <v>150</v>
      </c>
      <c r="J552" s="38" t="str">
        <f t="shared" ca="1" si="26"/>
        <v>OK</v>
      </c>
      <c r="K552" s="36" t="s">
        <v>179</v>
      </c>
      <c r="L552" s="39"/>
    </row>
    <row r="553" spans="1:12" x14ac:dyDescent="0.35">
      <c r="A553" s="34" t="str">
        <f t="shared" si="24"/>
        <v>DON-0549</v>
      </c>
      <c r="B553" s="35">
        <v>46028</v>
      </c>
      <c r="C553" s="36" t="s">
        <v>54</v>
      </c>
      <c r="D553" s="36" t="s">
        <v>55</v>
      </c>
      <c r="E553" s="36" t="s">
        <v>53</v>
      </c>
      <c r="F553" s="36" t="s">
        <v>56</v>
      </c>
      <c r="G553" s="37">
        <v>59</v>
      </c>
      <c r="H553" s="66">
        <v>46768</v>
      </c>
      <c r="I553" s="38">
        <f t="shared" ca="1" si="25"/>
        <v>569</v>
      </c>
      <c r="J553" s="38" t="str">
        <f t="shared" ca="1" si="26"/>
        <v>OK</v>
      </c>
      <c r="K553" s="36" t="s">
        <v>179</v>
      </c>
      <c r="L553" s="39"/>
    </row>
    <row r="554" spans="1:12" x14ac:dyDescent="0.35">
      <c r="A554" s="34" t="str">
        <f t="shared" si="24"/>
        <v>DON-0550</v>
      </c>
      <c r="B554" s="35">
        <v>46028</v>
      </c>
      <c r="C554" s="36" t="s">
        <v>43</v>
      </c>
      <c r="D554" s="36" t="s">
        <v>44</v>
      </c>
      <c r="E554" s="36" t="s">
        <v>31</v>
      </c>
      <c r="F554" s="36" t="s">
        <v>42</v>
      </c>
      <c r="G554" s="37">
        <v>29</v>
      </c>
      <c r="H554" s="66">
        <v>46973</v>
      </c>
      <c r="I554" s="38">
        <f t="shared" ca="1" si="25"/>
        <v>774</v>
      </c>
      <c r="J554" s="38" t="str">
        <f t="shared" ca="1" si="26"/>
        <v>OK</v>
      </c>
      <c r="K554" s="36" t="s">
        <v>179</v>
      </c>
      <c r="L554" s="39"/>
    </row>
    <row r="555" spans="1:12" x14ac:dyDescent="0.35">
      <c r="A555" s="34" t="str">
        <f t="shared" si="24"/>
        <v>DON-0551</v>
      </c>
      <c r="B555" s="35">
        <v>46031</v>
      </c>
      <c r="C555" s="36" t="s">
        <v>137</v>
      </c>
      <c r="D555" s="36" t="s">
        <v>15</v>
      </c>
      <c r="E555" s="36" t="s">
        <v>6</v>
      </c>
      <c r="F555" s="36" t="s">
        <v>136</v>
      </c>
      <c r="G555" s="37">
        <v>15</v>
      </c>
      <c r="H555" s="66">
        <v>46033</v>
      </c>
      <c r="I555" s="38">
        <f t="shared" ca="1" si="25"/>
        <v>-166</v>
      </c>
      <c r="J555" s="38" t="str">
        <f t="shared" ca="1" si="26"/>
        <v>EXPIRED</v>
      </c>
      <c r="K555" s="36" t="s">
        <v>175</v>
      </c>
      <c r="L555" s="39"/>
    </row>
    <row r="556" spans="1:12" x14ac:dyDescent="0.35">
      <c r="A556" s="34" t="str">
        <f t="shared" si="24"/>
        <v>DON-0552</v>
      </c>
      <c r="B556" s="35">
        <v>46031</v>
      </c>
      <c r="C556" s="36" t="s">
        <v>149</v>
      </c>
      <c r="D556" s="36" t="s">
        <v>150</v>
      </c>
      <c r="E556" s="36" t="s">
        <v>8</v>
      </c>
      <c r="F556" s="36" t="s">
        <v>75</v>
      </c>
      <c r="G556" s="37">
        <v>19</v>
      </c>
      <c r="H556" s="66">
        <v>46073</v>
      </c>
      <c r="I556" s="38">
        <f t="shared" ca="1" si="25"/>
        <v>-126</v>
      </c>
      <c r="J556" s="38" t="str">
        <f t="shared" ca="1" si="26"/>
        <v>EXPIRED</v>
      </c>
      <c r="K556" s="36" t="s">
        <v>175</v>
      </c>
      <c r="L556" s="39"/>
    </row>
    <row r="557" spans="1:12" x14ac:dyDescent="0.35">
      <c r="A557" s="34" t="str">
        <f t="shared" si="24"/>
        <v>DON-0553</v>
      </c>
      <c r="B557" s="35">
        <v>46031</v>
      </c>
      <c r="C557" s="36" t="s">
        <v>117</v>
      </c>
      <c r="D557" s="36" t="s">
        <v>118</v>
      </c>
      <c r="E557" s="36" t="s">
        <v>14</v>
      </c>
      <c r="F557" s="36" t="s">
        <v>119</v>
      </c>
      <c r="G557" s="37">
        <v>10</v>
      </c>
      <c r="H557" s="66">
        <v>46292</v>
      </c>
      <c r="I557" s="38">
        <f t="shared" ca="1" si="25"/>
        <v>93</v>
      </c>
      <c r="J557" s="38" t="str">
        <f t="shared" ca="1" si="26"/>
        <v>OK</v>
      </c>
      <c r="K557" s="36" t="s">
        <v>175</v>
      </c>
      <c r="L557" s="39"/>
    </row>
    <row r="558" spans="1:12" x14ac:dyDescent="0.35">
      <c r="A558" s="34" t="str">
        <f t="shared" si="24"/>
        <v>DON-0554</v>
      </c>
      <c r="B558" s="35">
        <v>46031</v>
      </c>
      <c r="C558" s="36" t="s">
        <v>109</v>
      </c>
      <c r="D558" s="36" t="s">
        <v>110</v>
      </c>
      <c r="E558" s="36" t="s">
        <v>102</v>
      </c>
      <c r="F558" s="36" t="s">
        <v>42</v>
      </c>
      <c r="G558" s="37">
        <v>19</v>
      </c>
      <c r="H558" s="66">
        <v>46471</v>
      </c>
      <c r="I558" s="38">
        <f t="shared" ca="1" si="25"/>
        <v>272</v>
      </c>
      <c r="J558" s="38" t="str">
        <f t="shared" ca="1" si="26"/>
        <v>OK</v>
      </c>
      <c r="K558" s="36" t="s">
        <v>175</v>
      </c>
      <c r="L558" s="39"/>
    </row>
    <row r="559" spans="1:12" x14ac:dyDescent="0.35">
      <c r="A559" s="34" t="str">
        <f t="shared" si="24"/>
        <v>DON-0555</v>
      </c>
      <c r="B559" s="35">
        <v>46031</v>
      </c>
      <c r="C559" s="36" t="s">
        <v>64</v>
      </c>
      <c r="D559" s="36" t="s">
        <v>65</v>
      </c>
      <c r="E559" s="36" t="s">
        <v>66</v>
      </c>
      <c r="F559" s="36" t="s">
        <v>42</v>
      </c>
      <c r="G559" s="37">
        <v>30</v>
      </c>
      <c r="H559" s="66">
        <v>46703</v>
      </c>
      <c r="I559" s="38">
        <f t="shared" ca="1" si="25"/>
        <v>504</v>
      </c>
      <c r="J559" s="38" t="str">
        <f t="shared" ca="1" si="26"/>
        <v>OK</v>
      </c>
      <c r="K559" s="36" t="s">
        <v>175</v>
      </c>
      <c r="L559" s="39"/>
    </row>
    <row r="560" spans="1:12" x14ac:dyDescent="0.35">
      <c r="A560" s="34" t="str">
        <f t="shared" si="24"/>
        <v>DON-0556</v>
      </c>
      <c r="B560" s="35">
        <v>46031</v>
      </c>
      <c r="C560" s="36" t="s">
        <v>81</v>
      </c>
      <c r="D560" s="36" t="s">
        <v>82</v>
      </c>
      <c r="E560" s="36" t="s">
        <v>74</v>
      </c>
      <c r="F560" s="36" t="s">
        <v>80</v>
      </c>
      <c r="G560" s="37">
        <v>30</v>
      </c>
      <c r="H560" s="66">
        <v>46706</v>
      </c>
      <c r="I560" s="38">
        <f t="shared" ca="1" si="25"/>
        <v>507</v>
      </c>
      <c r="J560" s="38" t="str">
        <f t="shared" ca="1" si="26"/>
        <v>OK</v>
      </c>
      <c r="K560" s="36" t="s">
        <v>175</v>
      </c>
      <c r="L560" s="39"/>
    </row>
    <row r="561" spans="1:12" x14ac:dyDescent="0.35">
      <c r="A561" s="34" t="str">
        <f t="shared" si="24"/>
        <v>DON-0557</v>
      </c>
      <c r="B561" s="35">
        <v>46031</v>
      </c>
      <c r="C561" s="36" t="s">
        <v>51</v>
      </c>
      <c r="D561" s="36" t="s">
        <v>52</v>
      </c>
      <c r="E561" s="36" t="s">
        <v>53</v>
      </c>
      <c r="F561" s="36" t="s">
        <v>42</v>
      </c>
      <c r="G561" s="37">
        <v>63</v>
      </c>
      <c r="H561" s="66">
        <v>47124</v>
      </c>
      <c r="I561" s="38">
        <f t="shared" ca="1" si="25"/>
        <v>925</v>
      </c>
      <c r="J561" s="38" t="str">
        <f t="shared" ca="1" si="26"/>
        <v>OK</v>
      </c>
      <c r="K561" s="36" t="s">
        <v>175</v>
      </c>
      <c r="L561" s="39"/>
    </row>
    <row r="562" spans="1:12" x14ac:dyDescent="0.35">
      <c r="A562" s="34" t="str">
        <f t="shared" si="24"/>
        <v>DON-0558</v>
      </c>
      <c r="B562" s="35">
        <v>46031</v>
      </c>
      <c r="C562" s="36" t="s">
        <v>67</v>
      </c>
      <c r="D562" s="36" t="s">
        <v>68</v>
      </c>
      <c r="E562" s="36" t="s">
        <v>66</v>
      </c>
      <c r="F562" s="36" t="s">
        <v>42</v>
      </c>
      <c r="G562" s="37">
        <v>27</v>
      </c>
      <c r="H562" s="66">
        <v>47126</v>
      </c>
      <c r="I562" s="38">
        <f t="shared" ca="1" si="25"/>
        <v>927</v>
      </c>
      <c r="J562" s="38" t="str">
        <f t="shared" ca="1" si="26"/>
        <v>OK</v>
      </c>
      <c r="K562" s="36" t="s">
        <v>175</v>
      </c>
      <c r="L562" s="39"/>
    </row>
    <row r="563" spans="1:12" x14ac:dyDescent="0.35">
      <c r="A563" s="34" t="str">
        <f t="shared" si="24"/>
        <v>DON-0559</v>
      </c>
      <c r="B563" s="35">
        <v>46034</v>
      </c>
      <c r="C563" s="36" t="s">
        <v>120</v>
      </c>
      <c r="D563" s="36" t="s">
        <v>121</v>
      </c>
      <c r="E563" s="36" t="s">
        <v>14</v>
      </c>
      <c r="F563" s="36" t="s">
        <v>119</v>
      </c>
      <c r="G563" s="37">
        <v>6</v>
      </c>
      <c r="H563" s="66">
        <v>46281</v>
      </c>
      <c r="I563" s="38">
        <f t="shared" ca="1" si="25"/>
        <v>82</v>
      </c>
      <c r="J563" s="38" t="str">
        <f t="shared" ca="1" si="26"/>
        <v>OK</v>
      </c>
      <c r="K563" s="36" t="s">
        <v>181</v>
      </c>
      <c r="L563" s="39"/>
    </row>
    <row r="564" spans="1:12" x14ac:dyDescent="0.35">
      <c r="A564" s="34" t="str">
        <f t="shared" si="24"/>
        <v>DON-0560</v>
      </c>
      <c r="B564" s="35">
        <v>46034</v>
      </c>
      <c r="C564" s="36" t="s">
        <v>54</v>
      </c>
      <c r="D564" s="36" t="s">
        <v>55</v>
      </c>
      <c r="E564" s="36" t="s">
        <v>53</v>
      </c>
      <c r="F564" s="36" t="s">
        <v>56</v>
      </c>
      <c r="G564" s="37">
        <v>28</v>
      </c>
      <c r="H564" s="66">
        <v>46487</v>
      </c>
      <c r="I564" s="38">
        <f t="shared" ca="1" si="25"/>
        <v>288</v>
      </c>
      <c r="J564" s="38" t="str">
        <f t="shared" ca="1" si="26"/>
        <v>OK</v>
      </c>
      <c r="K564" s="36" t="s">
        <v>181</v>
      </c>
      <c r="L564" s="39"/>
    </row>
    <row r="565" spans="1:12" x14ac:dyDescent="0.35">
      <c r="A565" s="34" t="str">
        <f t="shared" si="24"/>
        <v>DON-0561</v>
      </c>
      <c r="B565" s="35">
        <v>46034</v>
      </c>
      <c r="C565" s="36" t="s">
        <v>51</v>
      </c>
      <c r="D565" s="36" t="s">
        <v>52</v>
      </c>
      <c r="E565" s="36" t="s">
        <v>53</v>
      </c>
      <c r="F565" s="36" t="s">
        <v>42</v>
      </c>
      <c r="G565" s="37">
        <v>49</v>
      </c>
      <c r="H565" s="66">
        <v>46877</v>
      </c>
      <c r="I565" s="38">
        <f t="shared" ca="1" si="25"/>
        <v>678</v>
      </c>
      <c r="J565" s="38" t="str">
        <f t="shared" ca="1" si="26"/>
        <v>OK</v>
      </c>
      <c r="K565" s="36" t="s">
        <v>181</v>
      </c>
      <c r="L565" s="39"/>
    </row>
    <row r="566" spans="1:12" x14ac:dyDescent="0.35">
      <c r="A566" s="34" t="str">
        <f t="shared" si="24"/>
        <v>DON-0562</v>
      </c>
      <c r="B566" s="35">
        <v>46034</v>
      </c>
      <c r="C566" s="36" t="s">
        <v>64</v>
      </c>
      <c r="D566" s="36" t="s">
        <v>65</v>
      </c>
      <c r="E566" s="36" t="s">
        <v>66</v>
      </c>
      <c r="F566" s="36" t="s">
        <v>42</v>
      </c>
      <c r="G566" s="37">
        <v>38</v>
      </c>
      <c r="H566" s="66">
        <v>46963</v>
      </c>
      <c r="I566" s="38">
        <f t="shared" ca="1" si="25"/>
        <v>764</v>
      </c>
      <c r="J566" s="38" t="str">
        <f t="shared" ca="1" si="26"/>
        <v>OK</v>
      </c>
      <c r="K566" s="36" t="s">
        <v>181</v>
      </c>
      <c r="L566" s="39"/>
    </row>
    <row r="567" spans="1:12" x14ac:dyDescent="0.35">
      <c r="A567" s="34" t="str">
        <f t="shared" si="24"/>
        <v>DON-0563</v>
      </c>
      <c r="B567" s="35">
        <v>46034</v>
      </c>
      <c r="C567" s="36" t="s">
        <v>69</v>
      </c>
      <c r="D567" s="36" t="s">
        <v>70</v>
      </c>
      <c r="E567" s="36" t="s">
        <v>66</v>
      </c>
      <c r="F567" s="36" t="s">
        <v>71</v>
      </c>
      <c r="G567" s="37">
        <v>14</v>
      </c>
      <c r="H567" s="66">
        <v>46966</v>
      </c>
      <c r="I567" s="38">
        <f t="shared" ca="1" si="25"/>
        <v>767</v>
      </c>
      <c r="J567" s="38" t="str">
        <f t="shared" ca="1" si="26"/>
        <v>OK</v>
      </c>
      <c r="K567" s="36" t="s">
        <v>181</v>
      </c>
      <c r="L567" s="39"/>
    </row>
    <row r="568" spans="1:12" x14ac:dyDescent="0.35">
      <c r="A568" s="34" t="str">
        <f t="shared" si="24"/>
        <v>DON-0564</v>
      </c>
      <c r="B568" s="35">
        <v>46037</v>
      </c>
      <c r="C568" s="36" t="s">
        <v>151</v>
      </c>
      <c r="D568" s="36" t="s">
        <v>152</v>
      </c>
      <c r="E568" s="36" t="s">
        <v>8</v>
      </c>
      <c r="F568" s="36" t="s">
        <v>143</v>
      </c>
      <c r="G568" s="37">
        <v>7</v>
      </c>
      <c r="H568" s="66">
        <v>46053</v>
      </c>
      <c r="I568" s="38">
        <f t="shared" ca="1" si="25"/>
        <v>-146</v>
      </c>
      <c r="J568" s="38" t="str">
        <f t="shared" ca="1" si="26"/>
        <v>EXPIRED</v>
      </c>
      <c r="K568" s="36" t="s">
        <v>175</v>
      </c>
      <c r="L568" s="39"/>
    </row>
    <row r="569" spans="1:12" x14ac:dyDescent="0.35">
      <c r="A569" s="34" t="str">
        <f t="shared" si="24"/>
        <v>DON-0565</v>
      </c>
      <c r="B569" s="35">
        <v>46037</v>
      </c>
      <c r="C569" s="36" t="s">
        <v>86</v>
      </c>
      <c r="D569" s="36" t="s">
        <v>87</v>
      </c>
      <c r="E569" s="36" t="s">
        <v>74</v>
      </c>
      <c r="F569" s="36" t="s">
        <v>75</v>
      </c>
      <c r="G569" s="37">
        <v>32</v>
      </c>
      <c r="H569" s="66">
        <v>46374</v>
      </c>
      <c r="I569" s="38">
        <f t="shared" ca="1" si="25"/>
        <v>175</v>
      </c>
      <c r="J569" s="38" t="str">
        <f t="shared" ca="1" si="26"/>
        <v>OK</v>
      </c>
      <c r="K569" s="36" t="s">
        <v>175</v>
      </c>
      <c r="L569" s="39"/>
    </row>
    <row r="570" spans="1:12" x14ac:dyDescent="0.35">
      <c r="A570" s="34" t="str">
        <f t="shared" si="24"/>
        <v>DON-0566</v>
      </c>
      <c r="B570" s="35">
        <v>46037</v>
      </c>
      <c r="C570" s="36" t="s">
        <v>59</v>
      </c>
      <c r="D570" s="36" t="s">
        <v>60</v>
      </c>
      <c r="E570" s="36" t="s">
        <v>53</v>
      </c>
      <c r="F570" s="36" t="s">
        <v>56</v>
      </c>
      <c r="G570" s="37">
        <v>38</v>
      </c>
      <c r="H570" s="66">
        <v>46933</v>
      </c>
      <c r="I570" s="38">
        <f t="shared" ca="1" si="25"/>
        <v>734</v>
      </c>
      <c r="J570" s="38" t="str">
        <f t="shared" ca="1" si="26"/>
        <v>OK</v>
      </c>
      <c r="K570" s="36" t="s">
        <v>175</v>
      </c>
      <c r="L570" s="39"/>
    </row>
    <row r="571" spans="1:12" x14ac:dyDescent="0.35">
      <c r="A571" s="34" t="str">
        <f t="shared" si="24"/>
        <v>DON-0567</v>
      </c>
      <c r="B571" s="35">
        <v>46037</v>
      </c>
      <c r="C571" s="36" t="s">
        <v>69</v>
      </c>
      <c r="D571" s="36" t="s">
        <v>70</v>
      </c>
      <c r="E571" s="36" t="s">
        <v>66</v>
      </c>
      <c r="F571" s="36" t="s">
        <v>71</v>
      </c>
      <c r="G571" s="37">
        <v>32</v>
      </c>
      <c r="H571" s="66">
        <v>46966</v>
      </c>
      <c r="I571" s="38">
        <f t="shared" ca="1" si="25"/>
        <v>767</v>
      </c>
      <c r="J571" s="38" t="str">
        <f t="shared" ca="1" si="26"/>
        <v>OK</v>
      </c>
      <c r="K571" s="36" t="s">
        <v>175</v>
      </c>
      <c r="L571" s="39"/>
    </row>
    <row r="572" spans="1:12" x14ac:dyDescent="0.35">
      <c r="A572" s="34" t="str">
        <f t="shared" si="24"/>
        <v>DON-0568</v>
      </c>
      <c r="B572" s="35">
        <v>46038</v>
      </c>
      <c r="C572" s="36" t="s">
        <v>130</v>
      </c>
      <c r="D572" s="36" t="s">
        <v>16</v>
      </c>
      <c r="E572" s="36" t="s">
        <v>10</v>
      </c>
      <c r="F572" s="36" t="s">
        <v>131</v>
      </c>
      <c r="G572" s="37">
        <v>16</v>
      </c>
      <c r="H572" s="66">
        <v>46053</v>
      </c>
      <c r="I572" s="38">
        <f t="shared" ca="1" si="25"/>
        <v>-146</v>
      </c>
      <c r="J572" s="38" t="str">
        <f t="shared" ca="1" si="26"/>
        <v>EXPIRED</v>
      </c>
      <c r="K572" s="36" t="s">
        <v>177</v>
      </c>
      <c r="L572" s="39"/>
    </row>
    <row r="573" spans="1:12" x14ac:dyDescent="0.35">
      <c r="A573" s="34" t="str">
        <f t="shared" si="24"/>
        <v>DON-0569</v>
      </c>
      <c r="B573" s="35">
        <v>46038</v>
      </c>
      <c r="C573" s="36" t="s">
        <v>114</v>
      </c>
      <c r="D573" s="36" t="s">
        <v>13</v>
      </c>
      <c r="E573" s="36" t="s">
        <v>14</v>
      </c>
      <c r="F573" s="36" t="s">
        <v>115</v>
      </c>
      <c r="G573" s="37">
        <v>5</v>
      </c>
      <c r="H573" s="66">
        <v>46278</v>
      </c>
      <c r="I573" s="38">
        <f t="shared" ca="1" si="25"/>
        <v>79</v>
      </c>
      <c r="J573" s="38" t="str">
        <f t="shared" ca="1" si="26"/>
        <v>OK</v>
      </c>
      <c r="K573" s="36" t="s">
        <v>177</v>
      </c>
      <c r="L573" s="39"/>
    </row>
    <row r="574" spans="1:12" x14ac:dyDescent="0.35">
      <c r="A574" s="34" t="str">
        <f t="shared" si="24"/>
        <v>DON-0570</v>
      </c>
      <c r="B574" s="35">
        <v>46038</v>
      </c>
      <c r="C574" s="36" t="s">
        <v>153</v>
      </c>
      <c r="D574" s="36" t="s">
        <v>154</v>
      </c>
      <c r="E574" s="36" t="s">
        <v>12</v>
      </c>
      <c r="F574" s="36" t="s">
        <v>155</v>
      </c>
      <c r="G574" s="37">
        <v>17</v>
      </c>
      <c r="H574" s="66">
        <v>46323</v>
      </c>
      <c r="I574" s="38">
        <f t="shared" ca="1" si="25"/>
        <v>124</v>
      </c>
      <c r="J574" s="38" t="str">
        <f t="shared" ca="1" si="26"/>
        <v>OK</v>
      </c>
      <c r="K574" s="36" t="s">
        <v>177</v>
      </c>
      <c r="L574" s="39"/>
    </row>
    <row r="575" spans="1:12" x14ac:dyDescent="0.35">
      <c r="A575" s="34" t="str">
        <f t="shared" si="24"/>
        <v>DON-0571</v>
      </c>
      <c r="B575" s="35">
        <v>46038</v>
      </c>
      <c r="C575" s="36" t="s">
        <v>161</v>
      </c>
      <c r="D575" s="36" t="s">
        <v>162</v>
      </c>
      <c r="E575" s="36" t="s">
        <v>159</v>
      </c>
      <c r="F575" s="36" t="s">
        <v>163</v>
      </c>
      <c r="G575" s="37">
        <v>16</v>
      </c>
      <c r="H575" s="66">
        <v>46374</v>
      </c>
      <c r="I575" s="38">
        <f t="shared" ca="1" si="25"/>
        <v>175</v>
      </c>
      <c r="J575" s="38" t="str">
        <f t="shared" ca="1" si="26"/>
        <v>OK</v>
      </c>
      <c r="K575" s="36" t="s">
        <v>177</v>
      </c>
      <c r="L575" s="39"/>
    </row>
    <row r="576" spans="1:12" x14ac:dyDescent="0.35">
      <c r="A576" s="34" t="str">
        <f t="shared" si="24"/>
        <v>DON-0572</v>
      </c>
      <c r="B576" s="35">
        <v>46038</v>
      </c>
      <c r="C576" s="36" t="s">
        <v>43</v>
      </c>
      <c r="D576" s="36" t="s">
        <v>44</v>
      </c>
      <c r="E576" s="36" t="s">
        <v>31</v>
      </c>
      <c r="F576" s="36" t="s">
        <v>42</v>
      </c>
      <c r="G576" s="37">
        <v>32</v>
      </c>
      <c r="H576" s="66">
        <v>46459</v>
      </c>
      <c r="I576" s="38">
        <f t="shared" ca="1" si="25"/>
        <v>260</v>
      </c>
      <c r="J576" s="38" t="str">
        <f t="shared" ca="1" si="26"/>
        <v>OK</v>
      </c>
      <c r="K576" s="36" t="s">
        <v>177</v>
      </c>
      <c r="L576" s="39"/>
    </row>
    <row r="577" spans="1:12" x14ac:dyDescent="0.35">
      <c r="A577" s="34" t="str">
        <f t="shared" si="24"/>
        <v>DON-0573</v>
      </c>
      <c r="B577" s="35">
        <v>46038</v>
      </c>
      <c r="C577" s="36" t="s">
        <v>54</v>
      </c>
      <c r="D577" s="36" t="s">
        <v>55</v>
      </c>
      <c r="E577" s="36" t="s">
        <v>53</v>
      </c>
      <c r="F577" s="36" t="s">
        <v>56</v>
      </c>
      <c r="G577" s="37">
        <v>62</v>
      </c>
      <c r="H577" s="66">
        <v>46933</v>
      </c>
      <c r="I577" s="38">
        <f t="shared" ca="1" si="25"/>
        <v>734</v>
      </c>
      <c r="J577" s="38" t="str">
        <f t="shared" ca="1" si="26"/>
        <v>OK</v>
      </c>
      <c r="K577" s="36" t="s">
        <v>177</v>
      </c>
      <c r="L577" s="39"/>
    </row>
    <row r="578" spans="1:12" x14ac:dyDescent="0.35">
      <c r="A578" s="34" t="str">
        <f t="shared" si="24"/>
        <v>DON-0574</v>
      </c>
      <c r="B578" s="35">
        <v>46038</v>
      </c>
      <c r="C578" s="36" t="s">
        <v>104</v>
      </c>
      <c r="D578" s="36" t="s">
        <v>105</v>
      </c>
      <c r="E578" s="36" t="s">
        <v>102</v>
      </c>
      <c r="F578" s="36" t="s">
        <v>103</v>
      </c>
      <c r="G578" s="37">
        <v>19</v>
      </c>
      <c r="H578" s="66">
        <v>46967</v>
      </c>
      <c r="I578" s="38">
        <f t="shared" ca="1" si="25"/>
        <v>768</v>
      </c>
      <c r="J578" s="38" t="str">
        <f t="shared" ca="1" si="26"/>
        <v>OK</v>
      </c>
      <c r="K578" s="36" t="s">
        <v>177</v>
      </c>
      <c r="L578" s="39"/>
    </row>
    <row r="579" spans="1:12" x14ac:dyDescent="0.35">
      <c r="A579" s="34" t="str">
        <f t="shared" si="24"/>
        <v>DON-0575</v>
      </c>
      <c r="B579" s="35">
        <v>46038</v>
      </c>
      <c r="C579" s="36" t="s">
        <v>122</v>
      </c>
      <c r="D579" s="36" t="s">
        <v>123</v>
      </c>
      <c r="E579" s="36" t="s">
        <v>14</v>
      </c>
      <c r="F579" s="36" t="s">
        <v>124</v>
      </c>
      <c r="G579" s="37">
        <v>10</v>
      </c>
      <c r="H579" s="66">
        <v>47351</v>
      </c>
      <c r="I579" s="38">
        <f t="shared" ca="1" si="25"/>
        <v>1152</v>
      </c>
      <c r="J579" s="38" t="str">
        <f t="shared" ca="1" si="26"/>
        <v>OK</v>
      </c>
      <c r="K579" s="36" t="s">
        <v>177</v>
      </c>
      <c r="L579" s="39"/>
    </row>
    <row r="580" spans="1:12" x14ac:dyDescent="0.35">
      <c r="A580" s="34" t="str">
        <f t="shared" si="24"/>
        <v>DON-0576</v>
      </c>
      <c r="B580" s="35">
        <v>46044</v>
      </c>
      <c r="C580" s="36" t="s">
        <v>141</v>
      </c>
      <c r="D580" s="36" t="s">
        <v>142</v>
      </c>
      <c r="E580" s="36" t="s">
        <v>8</v>
      </c>
      <c r="F580" s="36" t="s">
        <v>143</v>
      </c>
      <c r="G580" s="37">
        <v>6</v>
      </c>
      <c r="H580" s="66">
        <v>46051</v>
      </c>
      <c r="I580" s="38">
        <f t="shared" ca="1" si="25"/>
        <v>-148</v>
      </c>
      <c r="J580" s="38" t="str">
        <f t="shared" ca="1" si="26"/>
        <v>EXPIRED</v>
      </c>
      <c r="K580" s="36" t="s">
        <v>175</v>
      </c>
      <c r="L580" s="39"/>
    </row>
    <row r="581" spans="1:12" x14ac:dyDescent="0.35">
      <c r="A581" s="34" t="str">
        <f t="shared" ref="A581:A644" si="27">IF(G581="","","DON-"&amp;TEXT(ROW()-4,"0000"))</f>
        <v>DON-0577</v>
      </c>
      <c r="B581" s="35">
        <v>46044</v>
      </c>
      <c r="C581" s="36" t="s">
        <v>156</v>
      </c>
      <c r="D581" s="36" t="s">
        <v>11</v>
      </c>
      <c r="E581" s="36" t="s">
        <v>12</v>
      </c>
      <c r="F581" s="36" t="s">
        <v>155</v>
      </c>
      <c r="G581" s="37">
        <v>11</v>
      </c>
      <c r="H581" s="66">
        <v>46058</v>
      </c>
      <c r="I581" s="38">
        <f t="shared" ref="I581:I644" ca="1" si="28">IF(H581="","",H581-TODAY())</f>
        <v>-141</v>
      </c>
      <c r="J581" s="38" t="str">
        <f t="shared" ref="J581:J644" ca="1" si="29">IF(I581="","",IF(I581&lt;=0,"EXPIRED",IF(I581&lt;=3,"CRITICAL",IF(I581&lt;=7,"WARNING",IF(I581&lt;=30,"NOTICE","OK")))))</f>
        <v>EXPIRED</v>
      </c>
      <c r="K581" s="36" t="s">
        <v>181</v>
      </c>
      <c r="L581" s="39"/>
    </row>
    <row r="582" spans="1:12" x14ac:dyDescent="0.35">
      <c r="A582" s="34" t="str">
        <f t="shared" si="27"/>
        <v>DON-0578</v>
      </c>
      <c r="B582" s="35">
        <v>46044</v>
      </c>
      <c r="C582" s="36" t="s">
        <v>132</v>
      </c>
      <c r="D582" s="36" t="s">
        <v>133</v>
      </c>
      <c r="E582" s="36" t="s">
        <v>10</v>
      </c>
      <c r="F582" s="36" t="s">
        <v>134</v>
      </c>
      <c r="G582" s="37">
        <v>9</v>
      </c>
      <c r="H582" s="66">
        <v>46077</v>
      </c>
      <c r="I582" s="38">
        <f t="shared" ca="1" si="28"/>
        <v>-122</v>
      </c>
      <c r="J582" s="38" t="str">
        <f t="shared" ca="1" si="29"/>
        <v>EXPIRED</v>
      </c>
      <c r="K582" s="36" t="s">
        <v>175</v>
      </c>
      <c r="L582" s="39"/>
    </row>
    <row r="583" spans="1:12" x14ac:dyDescent="0.35">
      <c r="A583" s="34" t="str">
        <f t="shared" si="27"/>
        <v>DON-0579</v>
      </c>
      <c r="B583" s="35">
        <v>46044</v>
      </c>
      <c r="C583" s="36" t="s">
        <v>149</v>
      </c>
      <c r="D583" s="36" t="s">
        <v>150</v>
      </c>
      <c r="E583" s="36" t="s">
        <v>8</v>
      </c>
      <c r="F583" s="36" t="s">
        <v>75</v>
      </c>
      <c r="G583" s="37">
        <v>16</v>
      </c>
      <c r="H583" s="66">
        <v>46090</v>
      </c>
      <c r="I583" s="38">
        <f t="shared" ca="1" si="28"/>
        <v>-109</v>
      </c>
      <c r="J583" s="38" t="str">
        <f t="shared" ca="1" si="29"/>
        <v>EXPIRED</v>
      </c>
      <c r="K583" s="36" t="s">
        <v>175</v>
      </c>
      <c r="L583" s="39"/>
    </row>
    <row r="584" spans="1:12" x14ac:dyDescent="0.35">
      <c r="A584" s="34" t="str">
        <f t="shared" si="27"/>
        <v>DON-0580</v>
      </c>
      <c r="B584" s="35">
        <v>46044</v>
      </c>
      <c r="C584" s="36" t="s">
        <v>83</v>
      </c>
      <c r="D584" s="36" t="s">
        <v>84</v>
      </c>
      <c r="E584" s="36" t="s">
        <v>74</v>
      </c>
      <c r="F584" s="36" t="s">
        <v>85</v>
      </c>
      <c r="G584" s="37">
        <v>12</v>
      </c>
      <c r="H584" s="66">
        <v>46237</v>
      </c>
      <c r="I584" s="38">
        <f t="shared" ca="1" si="28"/>
        <v>38</v>
      </c>
      <c r="J584" s="38" t="str">
        <f t="shared" ca="1" si="29"/>
        <v>OK</v>
      </c>
      <c r="K584" s="36" t="s">
        <v>181</v>
      </c>
      <c r="L584" s="39"/>
    </row>
    <row r="585" spans="1:12" x14ac:dyDescent="0.35">
      <c r="A585" s="34" t="str">
        <f t="shared" si="27"/>
        <v>DON-0581</v>
      </c>
      <c r="B585" s="35">
        <v>46044</v>
      </c>
      <c r="C585" s="36" t="s">
        <v>117</v>
      </c>
      <c r="D585" s="36" t="s">
        <v>118</v>
      </c>
      <c r="E585" s="36" t="s">
        <v>14</v>
      </c>
      <c r="F585" s="36" t="s">
        <v>119</v>
      </c>
      <c r="G585" s="37">
        <v>6</v>
      </c>
      <c r="H585" s="66">
        <v>46255</v>
      </c>
      <c r="I585" s="38">
        <f t="shared" ca="1" si="28"/>
        <v>56</v>
      </c>
      <c r="J585" s="38" t="str">
        <f t="shared" ca="1" si="29"/>
        <v>OK</v>
      </c>
      <c r="K585" s="36" t="s">
        <v>181</v>
      </c>
      <c r="L585" s="39"/>
    </row>
    <row r="586" spans="1:12" x14ac:dyDescent="0.35">
      <c r="A586" s="34" t="str">
        <f t="shared" si="27"/>
        <v>DON-0582</v>
      </c>
      <c r="B586" s="35">
        <v>46044</v>
      </c>
      <c r="C586" s="36" t="s">
        <v>120</v>
      </c>
      <c r="D586" s="36" t="s">
        <v>121</v>
      </c>
      <c r="E586" s="36" t="s">
        <v>14</v>
      </c>
      <c r="F586" s="36" t="s">
        <v>119</v>
      </c>
      <c r="G586" s="37">
        <v>5</v>
      </c>
      <c r="H586" s="66">
        <v>46265</v>
      </c>
      <c r="I586" s="38">
        <f t="shared" ca="1" si="28"/>
        <v>66</v>
      </c>
      <c r="J586" s="38" t="str">
        <f t="shared" ca="1" si="29"/>
        <v>OK</v>
      </c>
      <c r="K586" s="36" t="s">
        <v>181</v>
      </c>
      <c r="L586" s="39"/>
    </row>
    <row r="587" spans="1:12" x14ac:dyDescent="0.35">
      <c r="A587" s="34" t="str">
        <f t="shared" si="27"/>
        <v>DON-0583</v>
      </c>
      <c r="B587" s="35">
        <v>46044</v>
      </c>
      <c r="C587" s="36" t="s">
        <v>120</v>
      </c>
      <c r="D587" s="36" t="s">
        <v>121</v>
      </c>
      <c r="E587" s="36" t="s">
        <v>14</v>
      </c>
      <c r="F587" s="36" t="s">
        <v>119</v>
      </c>
      <c r="G587" s="37">
        <v>5</v>
      </c>
      <c r="H587" s="66">
        <v>46386</v>
      </c>
      <c r="I587" s="38">
        <f t="shared" ca="1" si="28"/>
        <v>187</v>
      </c>
      <c r="J587" s="38" t="str">
        <f t="shared" ca="1" si="29"/>
        <v>OK</v>
      </c>
      <c r="K587" s="36" t="s">
        <v>175</v>
      </c>
      <c r="L587" s="39"/>
    </row>
    <row r="588" spans="1:12" x14ac:dyDescent="0.35">
      <c r="A588" s="34" t="str">
        <f t="shared" si="27"/>
        <v>DON-0584</v>
      </c>
      <c r="B588" s="35">
        <v>46044</v>
      </c>
      <c r="C588" s="36" t="s">
        <v>111</v>
      </c>
      <c r="D588" s="36" t="s">
        <v>112</v>
      </c>
      <c r="E588" s="36" t="s">
        <v>102</v>
      </c>
      <c r="F588" s="36" t="s">
        <v>113</v>
      </c>
      <c r="G588" s="37">
        <v>31</v>
      </c>
      <c r="H588" s="66">
        <v>46655</v>
      </c>
      <c r="I588" s="38">
        <f t="shared" ca="1" si="28"/>
        <v>456</v>
      </c>
      <c r="J588" s="38" t="str">
        <f t="shared" ca="1" si="29"/>
        <v>OK</v>
      </c>
      <c r="K588" s="36" t="s">
        <v>181</v>
      </c>
      <c r="L588" s="39"/>
    </row>
    <row r="589" spans="1:12" x14ac:dyDescent="0.35">
      <c r="A589" s="34" t="str">
        <f t="shared" si="27"/>
        <v>DON-0585</v>
      </c>
      <c r="B589" s="35">
        <v>46044</v>
      </c>
      <c r="C589" s="36" t="s">
        <v>34</v>
      </c>
      <c r="D589" s="36" t="s">
        <v>35</v>
      </c>
      <c r="E589" s="36" t="s">
        <v>31</v>
      </c>
      <c r="F589" s="36" t="s">
        <v>36</v>
      </c>
      <c r="G589" s="37">
        <v>40</v>
      </c>
      <c r="H589" s="66">
        <v>46701</v>
      </c>
      <c r="I589" s="38">
        <f t="shared" ca="1" si="28"/>
        <v>502</v>
      </c>
      <c r="J589" s="38" t="str">
        <f t="shared" ca="1" si="29"/>
        <v>OK</v>
      </c>
      <c r="K589" s="36" t="s">
        <v>181</v>
      </c>
      <c r="L589" s="39"/>
    </row>
    <row r="590" spans="1:12" x14ac:dyDescent="0.35">
      <c r="A590" s="34" t="str">
        <f t="shared" si="27"/>
        <v>DON-0586</v>
      </c>
      <c r="B590" s="35">
        <v>46044</v>
      </c>
      <c r="C590" s="36" t="s">
        <v>46</v>
      </c>
      <c r="D590" s="36" t="s">
        <v>47</v>
      </c>
      <c r="E590" s="36" t="s">
        <v>31</v>
      </c>
      <c r="F590" s="36" t="s">
        <v>42</v>
      </c>
      <c r="G590" s="37">
        <v>47</v>
      </c>
      <c r="H590" s="66">
        <v>46986</v>
      </c>
      <c r="I590" s="38">
        <f t="shared" ca="1" si="28"/>
        <v>787</v>
      </c>
      <c r="J590" s="38" t="str">
        <f t="shared" ca="1" si="29"/>
        <v>OK</v>
      </c>
      <c r="K590" s="36" t="s">
        <v>175</v>
      </c>
      <c r="L590" s="39"/>
    </row>
    <row r="591" spans="1:12" x14ac:dyDescent="0.35">
      <c r="A591" s="34" t="str">
        <f t="shared" si="27"/>
        <v>DON-0587</v>
      </c>
      <c r="B591" s="35">
        <v>46044</v>
      </c>
      <c r="C591" s="36" t="s">
        <v>59</v>
      </c>
      <c r="D591" s="36" t="s">
        <v>60</v>
      </c>
      <c r="E591" s="36" t="s">
        <v>53</v>
      </c>
      <c r="F591" s="36" t="s">
        <v>56</v>
      </c>
      <c r="G591" s="37">
        <v>67</v>
      </c>
      <c r="H591" s="66">
        <v>46999</v>
      </c>
      <c r="I591" s="38">
        <f t="shared" ca="1" si="28"/>
        <v>800</v>
      </c>
      <c r="J591" s="38" t="str">
        <f t="shared" ca="1" si="29"/>
        <v>OK</v>
      </c>
      <c r="K591" s="36" t="s">
        <v>175</v>
      </c>
      <c r="L591" s="39"/>
    </row>
    <row r="592" spans="1:12" x14ac:dyDescent="0.35">
      <c r="A592" s="34" t="str">
        <f t="shared" si="27"/>
        <v>DON-0588</v>
      </c>
      <c r="B592" s="35">
        <v>46044</v>
      </c>
      <c r="C592" s="36" t="s">
        <v>125</v>
      </c>
      <c r="D592" s="36" t="s">
        <v>126</v>
      </c>
      <c r="E592" s="36" t="s">
        <v>14</v>
      </c>
      <c r="F592" s="36" t="s">
        <v>127</v>
      </c>
      <c r="G592" s="37">
        <v>5</v>
      </c>
      <c r="H592" s="66">
        <v>47343</v>
      </c>
      <c r="I592" s="38">
        <f t="shared" ca="1" si="28"/>
        <v>1144</v>
      </c>
      <c r="J592" s="38" t="str">
        <f t="shared" ca="1" si="29"/>
        <v>OK</v>
      </c>
      <c r="K592" s="36" t="s">
        <v>175</v>
      </c>
      <c r="L592" s="39"/>
    </row>
    <row r="593" spans="1:12" x14ac:dyDescent="0.35">
      <c r="A593" s="34" t="str">
        <f t="shared" si="27"/>
        <v>DON-0589</v>
      </c>
      <c r="B593" s="35">
        <v>46047</v>
      </c>
      <c r="C593" s="36" t="s">
        <v>141</v>
      </c>
      <c r="D593" s="36" t="s">
        <v>142</v>
      </c>
      <c r="E593" s="36" t="s">
        <v>8</v>
      </c>
      <c r="F593" s="36" t="s">
        <v>143</v>
      </c>
      <c r="G593" s="37">
        <v>11</v>
      </c>
      <c r="H593" s="66">
        <v>46061</v>
      </c>
      <c r="I593" s="38">
        <f t="shared" ca="1" si="28"/>
        <v>-138</v>
      </c>
      <c r="J593" s="38" t="str">
        <f t="shared" ca="1" si="29"/>
        <v>EXPIRED</v>
      </c>
      <c r="K593" s="36" t="s">
        <v>176</v>
      </c>
      <c r="L593" s="39"/>
    </row>
    <row r="594" spans="1:12" x14ac:dyDescent="0.35">
      <c r="A594" s="34" t="str">
        <f t="shared" si="27"/>
        <v>DON-0590</v>
      </c>
      <c r="B594" s="35">
        <v>46047</v>
      </c>
      <c r="C594" s="36" t="s">
        <v>138</v>
      </c>
      <c r="D594" s="36" t="s">
        <v>139</v>
      </c>
      <c r="E594" s="36" t="s">
        <v>6</v>
      </c>
      <c r="F594" s="36" t="s">
        <v>140</v>
      </c>
      <c r="G594" s="37">
        <v>11</v>
      </c>
      <c r="H594" s="66">
        <v>46069</v>
      </c>
      <c r="I594" s="38">
        <f t="shared" ca="1" si="28"/>
        <v>-130</v>
      </c>
      <c r="J594" s="38" t="str">
        <f t="shared" ca="1" si="29"/>
        <v>EXPIRED</v>
      </c>
      <c r="K594" s="36" t="s">
        <v>176</v>
      </c>
      <c r="L594" s="39"/>
    </row>
    <row r="595" spans="1:12" x14ac:dyDescent="0.35">
      <c r="A595" s="34" t="str">
        <f t="shared" si="27"/>
        <v>DON-0591</v>
      </c>
      <c r="B595" s="35">
        <v>46047</v>
      </c>
      <c r="C595" s="36" t="s">
        <v>114</v>
      </c>
      <c r="D595" s="36" t="s">
        <v>13</v>
      </c>
      <c r="E595" s="36" t="s">
        <v>14</v>
      </c>
      <c r="F595" s="36" t="s">
        <v>115</v>
      </c>
      <c r="G595" s="37">
        <v>9</v>
      </c>
      <c r="H595" s="66">
        <v>46248</v>
      </c>
      <c r="I595" s="38">
        <f t="shared" ca="1" si="28"/>
        <v>49</v>
      </c>
      <c r="J595" s="38" t="str">
        <f t="shared" ca="1" si="29"/>
        <v>OK</v>
      </c>
      <c r="K595" s="36" t="s">
        <v>176</v>
      </c>
      <c r="L595" s="39"/>
    </row>
    <row r="596" spans="1:12" x14ac:dyDescent="0.35">
      <c r="A596" s="34" t="str">
        <f t="shared" si="27"/>
        <v>DON-0592</v>
      </c>
      <c r="B596" s="35">
        <v>46047</v>
      </c>
      <c r="C596" s="36" t="s">
        <v>83</v>
      </c>
      <c r="D596" s="36" t="s">
        <v>84</v>
      </c>
      <c r="E596" s="36" t="s">
        <v>74</v>
      </c>
      <c r="F596" s="36" t="s">
        <v>85</v>
      </c>
      <c r="G596" s="37">
        <v>22</v>
      </c>
      <c r="H596" s="66">
        <v>46255</v>
      </c>
      <c r="I596" s="38">
        <f t="shared" ca="1" si="28"/>
        <v>56</v>
      </c>
      <c r="J596" s="38" t="str">
        <f t="shared" ca="1" si="29"/>
        <v>OK</v>
      </c>
      <c r="K596" s="36" t="s">
        <v>176</v>
      </c>
      <c r="L596" s="39"/>
    </row>
    <row r="597" spans="1:12" x14ac:dyDescent="0.35">
      <c r="A597" s="34" t="str">
        <f t="shared" si="27"/>
        <v>DON-0593</v>
      </c>
      <c r="B597" s="35">
        <v>46047</v>
      </c>
      <c r="C597" s="36" t="s">
        <v>81</v>
      </c>
      <c r="D597" s="36" t="s">
        <v>82</v>
      </c>
      <c r="E597" s="36" t="s">
        <v>74</v>
      </c>
      <c r="F597" s="36" t="s">
        <v>80</v>
      </c>
      <c r="G597" s="37">
        <v>27</v>
      </c>
      <c r="H597" s="66">
        <v>46370</v>
      </c>
      <c r="I597" s="38">
        <f t="shared" ca="1" si="28"/>
        <v>171</v>
      </c>
      <c r="J597" s="38" t="str">
        <f t="shared" ca="1" si="29"/>
        <v>OK</v>
      </c>
      <c r="K597" s="36" t="s">
        <v>176</v>
      </c>
      <c r="L597" s="39"/>
    </row>
    <row r="598" spans="1:12" x14ac:dyDescent="0.35">
      <c r="A598" s="34" t="str">
        <f t="shared" si="27"/>
        <v>DON-0594</v>
      </c>
      <c r="B598" s="35">
        <v>46047</v>
      </c>
      <c r="C598" s="36" t="s">
        <v>125</v>
      </c>
      <c r="D598" s="36" t="s">
        <v>126</v>
      </c>
      <c r="E598" s="36" t="s">
        <v>14</v>
      </c>
      <c r="F598" s="36" t="s">
        <v>127</v>
      </c>
      <c r="G598" s="37">
        <v>6</v>
      </c>
      <c r="H598" s="66">
        <v>46804</v>
      </c>
      <c r="I598" s="38">
        <f t="shared" ca="1" si="28"/>
        <v>605</v>
      </c>
      <c r="J598" s="38" t="str">
        <f t="shared" ca="1" si="29"/>
        <v>OK</v>
      </c>
      <c r="K598" s="36" t="s">
        <v>176</v>
      </c>
      <c r="L598" s="39"/>
    </row>
    <row r="599" spans="1:12" x14ac:dyDescent="0.35">
      <c r="A599" s="34" t="str">
        <f t="shared" si="27"/>
        <v>DON-0595</v>
      </c>
      <c r="B599" s="35">
        <v>46049</v>
      </c>
      <c r="C599" s="36" t="s">
        <v>94</v>
      </c>
      <c r="D599" s="36" t="s">
        <v>95</v>
      </c>
      <c r="E599" s="36" t="s">
        <v>93</v>
      </c>
      <c r="F599" s="36" t="s">
        <v>96</v>
      </c>
      <c r="G599" s="37">
        <v>13</v>
      </c>
      <c r="H599" s="66">
        <v>46268</v>
      </c>
      <c r="I599" s="38">
        <f t="shared" ca="1" si="28"/>
        <v>69</v>
      </c>
      <c r="J599" s="38" t="str">
        <f t="shared" ca="1" si="29"/>
        <v>OK</v>
      </c>
      <c r="K599" s="36" t="s">
        <v>178</v>
      </c>
      <c r="L599" s="39"/>
    </row>
    <row r="600" spans="1:12" x14ac:dyDescent="0.35">
      <c r="A600" s="34" t="str">
        <f t="shared" si="27"/>
        <v>DON-0596</v>
      </c>
      <c r="B600" s="35">
        <v>46049</v>
      </c>
      <c r="C600" s="36" t="s">
        <v>128</v>
      </c>
      <c r="D600" s="36" t="s">
        <v>9</v>
      </c>
      <c r="E600" s="36" t="s">
        <v>10</v>
      </c>
      <c r="F600" s="36" t="s">
        <v>129</v>
      </c>
      <c r="G600" s="37">
        <v>9</v>
      </c>
      <c r="H600" s="66">
        <v>46055</v>
      </c>
      <c r="I600" s="38">
        <f t="shared" ca="1" si="28"/>
        <v>-144</v>
      </c>
      <c r="J600" s="38" t="str">
        <f t="shared" ca="1" si="29"/>
        <v>EXPIRED</v>
      </c>
      <c r="K600" s="36" t="s">
        <v>178</v>
      </c>
      <c r="L600" s="39"/>
    </row>
    <row r="601" spans="1:12" x14ac:dyDescent="0.35">
      <c r="A601" s="34" t="str">
        <f t="shared" si="27"/>
        <v>DON-0597</v>
      </c>
      <c r="B601" s="35">
        <v>46049</v>
      </c>
      <c r="C601" s="36" t="s">
        <v>91</v>
      </c>
      <c r="D601" s="36" t="s">
        <v>92</v>
      </c>
      <c r="E601" s="36" t="s">
        <v>93</v>
      </c>
      <c r="F601" s="36" t="s">
        <v>85</v>
      </c>
      <c r="G601" s="37">
        <v>12</v>
      </c>
      <c r="H601" s="66">
        <v>46201</v>
      </c>
      <c r="I601" s="38">
        <f t="shared" ca="1" si="28"/>
        <v>2</v>
      </c>
      <c r="J601" s="38" t="str">
        <f t="shared" ca="1" si="29"/>
        <v>CRITICAL</v>
      </c>
      <c r="K601" s="36" t="s">
        <v>178</v>
      </c>
      <c r="L601" s="39"/>
    </row>
    <row r="602" spans="1:12" x14ac:dyDescent="0.35">
      <c r="A602" s="34" t="str">
        <f t="shared" si="27"/>
        <v>DON-0598</v>
      </c>
      <c r="B602" s="35">
        <v>46049</v>
      </c>
      <c r="C602" s="36" t="s">
        <v>86</v>
      </c>
      <c r="D602" s="36" t="s">
        <v>87</v>
      </c>
      <c r="E602" s="36" t="s">
        <v>74</v>
      </c>
      <c r="F602" s="36" t="s">
        <v>75</v>
      </c>
      <c r="G602" s="37">
        <v>24</v>
      </c>
      <c r="H602" s="66">
        <v>46250</v>
      </c>
      <c r="I602" s="38">
        <f t="shared" ca="1" si="28"/>
        <v>51</v>
      </c>
      <c r="J602" s="38" t="str">
        <f t="shared" ca="1" si="29"/>
        <v>OK</v>
      </c>
      <c r="K602" s="36" t="s">
        <v>178</v>
      </c>
      <c r="L602" s="39"/>
    </row>
    <row r="603" spans="1:12" x14ac:dyDescent="0.35">
      <c r="A603" s="34" t="str">
        <f t="shared" si="27"/>
        <v>DON-0599</v>
      </c>
      <c r="B603" s="35">
        <v>46049</v>
      </c>
      <c r="C603" s="36" t="s">
        <v>120</v>
      </c>
      <c r="D603" s="36" t="s">
        <v>121</v>
      </c>
      <c r="E603" s="36" t="s">
        <v>14</v>
      </c>
      <c r="F603" s="36" t="s">
        <v>119</v>
      </c>
      <c r="G603" s="37">
        <v>11</v>
      </c>
      <c r="H603" s="66">
        <v>46277</v>
      </c>
      <c r="I603" s="38">
        <f t="shared" ca="1" si="28"/>
        <v>78</v>
      </c>
      <c r="J603" s="38" t="str">
        <f t="shared" ca="1" si="29"/>
        <v>OK</v>
      </c>
      <c r="K603" s="36" t="s">
        <v>178</v>
      </c>
      <c r="L603" s="39"/>
    </row>
    <row r="604" spans="1:12" x14ac:dyDescent="0.35">
      <c r="A604" s="34" t="str">
        <f t="shared" si="27"/>
        <v>DON-0600</v>
      </c>
      <c r="B604" s="35">
        <v>46049</v>
      </c>
      <c r="C604" s="36" t="s">
        <v>48</v>
      </c>
      <c r="D604" s="36" t="s">
        <v>49</v>
      </c>
      <c r="E604" s="36" t="s">
        <v>31</v>
      </c>
      <c r="F604" s="36" t="s">
        <v>50</v>
      </c>
      <c r="G604" s="37">
        <v>46</v>
      </c>
      <c r="H604" s="66">
        <v>46409</v>
      </c>
      <c r="I604" s="38">
        <f t="shared" ca="1" si="28"/>
        <v>210</v>
      </c>
      <c r="J604" s="38" t="str">
        <f t="shared" ca="1" si="29"/>
        <v>OK</v>
      </c>
      <c r="K604" s="36" t="s">
        <v>178</v>
      </c>
      <c r="L604" s="39"/>
    </row>
    <row r="605" spans="1:12" x14ac:dyDescent="0.35">
      <c r="A605" s="34" t="str">
        <f t="shared" si="27"/>
        <v>DON-0601</v>
      </c>
      <c r="B605" s="35">
        <v>46049</v>
      </c>
      <c r="C605" s="36" t="s">
        <v>54</v>
      </c>
      <c r="D605" s="36" t="s">
        <v>55</v>
      </c>
      <c r="E605" s="36" t="s">
        <v>53</v>
      </c>
      <c r="F605" s="36" t="s">
        <v>56</v>
      </c>
      <c r="G605" s="37">
        <v>28</v>
      </c>
      <c r="H605" s="66">
        <v>46465</v>
      </c>
      <c r="I605" s="38">
        <f t="shared" ca="1" si="28"/>
        <v>266</v>
      </c>
      <c r="J605" s="38" t="str">
        <f t="shared" ca="1" si="29"/>
        <v>OK</v>
      </c>
      <c r="K605" s="36" t="s">
        <v>178</v>
      </c>
      <c r="L605" s="39"/>
    </row>
    <row r="606" spans="1:12" x14ac:dyDescent="0.35">
      <c r="A606" s="34" t="str">
        <f t="shared" si="27"/>
        <v>DON-0602</v>
      </c>
      <c r="B606" s="35">
        <v>46049</v>
      </c>
      <c r="C606" s="36" t="s">
        <v>100</v>
      </c>
      <c r="D606" s="36" t="s">
        <v>101</v>
      </c>
      <c r="E606" s="36" t="s">
        <v>102</v>
      </c>
      <c r="F606" s="36" t="s">
        <v>103</v>
      </c>
      <c r="G606" s="37">
        <v>24</v>
      </c>
      <c r="H606" s="66">
        <v>46667</v>
      </c>
      <c r="I606" s="38">
        <f t="shared" ca="1" si="28"/>
        <v>468</v>
      </c>
      <c r="J606" s="38" t="str">
        <f t="shared" ca="1" si="29"/>
        <v>OK</v>
      </c>
      <c r="K606" s="36" t="s">
        <v>178</v>
      </c>
      <c r="L606" s="39"/>
    </row>
    <row r="607" spans="1:12" x14ac:dyDescent="0.35">
      <c r="A607" s="34" t="str">
        <f t="shared" si="27"/>
        <v>DON-0603</v>
      </c>
      <c r="B607" s="35">
        <v>46055</v>
      </c>
      <c r="C607" s="36" t="s">
        <v>94</v>
      </c>
      <c r="D607" s="36" t="s">
        <v>95</v>
      </c>
      <c r="E607" s="36" t="s">
        <v>93</v>
      </c>
      <c r="F607" s="36" t="s">
        <v>96</v>
      </c>
      <c r="G607" s="37">
        <v>34</v>
      </c>
      <c r="H607" s="66">
        <v>46278</v>
      </c>
      <c r="I607" s="38">
        <f t="shared" ca="1" si="28"/>
        <v>79</v>
      </c>
      <c r="J607" s="38" t="str">
        <f t="shared" ca="1" si="29"/>
        <v>OK</v>
      </c>
      <c r="K607" s="36" t="s">
        <v>182</v>
      </c>
      <c r="L607" s="39"/>
    </row>
    <row r="608" spans="1:12" x14ac:dyDescent="0.35">
      <c r="A608" s="34" t="str">
        <f t="shared" si="27"/>
        <v>DON-0604</v>
      </c>
      <c r="B608" s="35">
        <v>46055</v>
      </c>
      <c r="C608" s="36" t="s">
        <v>88</v>
      </c>
      <c r="D608" s="36" t="s">
        <v>89</v>
      </c>
      <c r="E608" s="36" t="s">
        <v>74</v>
      </c>
      <c r="F608" s="36" t="s">
        <v>90</v>
      </c>
      <c r="G608" s="37">
        <v>42</v>
      </c>
      <c r="H608" s="66">
        <v>46187</v>
      </c>
      <c r="I608" s="38">
        <f t="shared" ca="1" si="28"/>
        <v>-12</v>
      </c>
      <c r="J608" s="38" t="str">
        <f t="shared" ca="1" si="29"/>
        <v>EXPIRED</v>
      </c>
      <c r="K608" s="36" t="s">
        <v>182</v>
      </c>
      <c r="L608" s="39"/>
    </row>
    <row r="609" spans="1:12" x14ac:dyDescent="0.35">
      <c r="A609" s="34" t="str">
        <f t="shared" si="27"/>
        <v>DON-0605</v>
      </c>
      <c r="B609" s="35">
        <v>46055</v>
      </c>
      <c r="C609" s="36" t="s">
        <v>48</v>
      </c>
      <c r="D609" s="36" t="s">
        <v>49</v>
      </c>
      <c r="E609" s="36" t="s">
        <v>31</v>
      </c>
      <c r="F609" s="36" t="s">
        <v>50</v>
      </c>
      <c r="G609" s="37">
        <v>66</v>
      </c>
      <c r="H609" s="66">
        <v>46269</v>
      </c>
      <c r="I609" s="38">
        <f t="shared" ca="1" si="28"/>
        <v>70</v>
      </c>
      <c r="J609" s="38" t="str">
        <f t="shared" ca="1" si="29"/>
        <v>OK</v>
      </c>
      <c r="K609" s="36" t="s">
        <v>182</v>
      </c>
      <c r="L609" s="39"/>
    </row>
    <row r="610" spans="1:12" x14ac:dyDescent="0.35">
      <c r="A610" s="34" t="str">
        <f t="shared" si="27"/>
        <v>DON-0606</v>
      </c>
      <c r="B610" s="35">
        <v>46055</v>
      </c>
      <c r="C610" s="36" t="s">
        <v>100</v>
      </c>
      <c r="D610" s="36" t="s">
        <v>101</v>
      </c>
      <c r="E610" s="36" t="s">
        <v>102</v>
      </c>
      <c r="F610" s="36" t="s">
        <v>103</v>
      </c>
      <c r="G610" s="37">
        <v>73</v>
      </c>
      <c r="H610" s="66">
        <v>46623</v>
      </c>
      <c r="I610" s="38">
        <f t="shared" ca="1" si="28"/>
        <v>424</v>
      </c>
      <c r="J610" s="38" t="str">
        <f t="shared" ca="1" si="29"/>
        <v>OK</v>
      </c>
      <c r="K610" s="36" t="s">
        <v>182</v>
      </c>
      <c r="L610" s="39"/>
    </row>
    <row r="611" spans="1:12" x14ac:dyDescent="0.35">
      <c r="A611" s="34" t="str">
        <f t="shared" si="27"/>
        <v>DON-0607</v>
      </c>
      <c r="B611" s="35">
        <v>46056</v>
      </c>
      <c r="C611" s="36" t="s">
        <v>156</v>
      </c>
      <c r="D611" s="36" t="s">
        <v>11</v>
      </c>
      <c r="E611" s="36" t="s">
        <v>12</v>
      </c>
      <c r="F611" s="36" t="s">
        <v>155</v>
      </c>
      <c r="G611" s="37">
        <v>16</v>
      </c>
      <c r="H611" s="66">
        <v>46069</v>
      </c>
      <c r="I611" s="38">
        <f t="shared" ca="1" si="28"/>
        <v>-130</v>
      </c>
      <c r="J611" s="38" t="str">
        <f t="shared" ca="1" si="29"/>
        <v>EXPIRED</v>
      </c>
      <c r="K611" s="36" t="s">
        <v>182</v>
      </c>
      <c r="L611" s="39"/>
    </row>
    <row r="612" spans="1:12" x14ac:dyDescent="0.35">
      <c r="A612" s="34" t="str">
        <f t="shared" si="27"/>
        <v>DON-0608</v>
      </c>
      <c r="B612" s="35">
        <v>46056</v>
      </c>
      <c r="C612" s="36" t="s">
        <v>76</v>
      </c>
      <c r="D612" s="36" t="s">
        <v>77</v>
      </c>
      <c r="E612" s="36" t="s">
        <v>74</v>
      </c>
      <c r="F612" s="36" t="s">
        <v>75</v>
      </c>
      <c r="G612" s="37">
        <v>45</v>
      </c>
      <c r="H612" s="66">
        <v>46226</v>
      </c>
      <c r="I612" s="38">
        <f t="shared" ca="1" si="28"/>
        <v>27</v>
      </c>
      <c r="J612" s="38" t="str">
        <f t="shared" ca="1" si="29"/>
        <v>NOTICE</v>
      </c>
      <c r="K612" s="36" t="s">
        <v>182</v>
      </c>
      <c r="L612" s="39"/>
    </row>
    <row r="613" spans="1:12" x14ac:dyDescent="0.35">
      <c r="A613" s="34" t="str">
        <f t="shared" si="27"/>
        <v>DON-0609</v>
      </c>
      <c r="B613" s="35">
        <v>46056</v>
      </c>
      <c r="C613" s="36" t="s">
        <v>153</v>
      </c>
      <c r="D613" s="36" t="s">
        <v>154</v>
      </c>
      <c r="E613" s="36" t="s">
        <v>12</v>
      </c>
      <c r="F613" s="36" t="s">
        <v>155</v>
      </c>
      <c r="G613" s="37">
        <v>17</v>
      </c>
      <c r="H613" s="66">
        <v>46250</v>
      </c>
      <c r="I613" s="38">
        <f t="shared" ca="1" si="28"/>
        <v>51</v>
      </c>
      <c r="J613" s="38" t="str">
        <f t="shared" ca="1" si="29"/>
        <v>OK</v>
      </c>
      <c r="K613" s="36" t="s">
        <v>182</v>
      </c>
      <c r="L613" s="39"/>
    </row>
    <row r="614" spans="1:12" x14ac:dyDescent="0.35">
      <c r="A614" s="34" t="str">
        <f t="shared" si="27"/>
        <v>DON-0610</v>
      </c>
      <c r="B614" s="35">
        <v>46056</v>
      </c>
      <c r="C614" s="36" t="s">
        <v>54</v>
      </c>
      <c r="D614" s="36" t="s">
        <v>55</v>
      </c>
      <c r="E614" s="36" t="s">
        <v>53</v>
      </c>
      <c r="F614" s="36" t="s">
        <v>56</v>
      </c>
      <c r="G614" s="37">
        <v>43</v>
      </c>
      <c r="H614" s="66">
        <v>46473</v>
      </c>
      <c r="I614" s="38">
        <f t="shared" ca="1" si="28"/>
        <v>274</v>
      </c>
      <c r="J614" s="38" t="str">
        <f t="shared" ca="1" si="29"/>
        <v>OK</v>
      </c>
      <c r="K614" s="36" t="s">
        <v>182</v>
      </c>
      <c r="L614" s="39"/>
    </row>
    <row r="615" spans="1:12" x14ac:dyDescent="0.35">
      <c r="A615" s="34" t="str">
        <f t="shared" si="27"/>
        <v>DON-0611</v>
      </c>
      <c r="B615" s="35">
        <v>46056</v>
      </c>
      <c r="C615" s="36" t="s">
        <v>100</v>
      </c>
      <c r="D615" s="36" t="s">
        <v>101</v>
      </c>
      <c r="E615" s="36" t="s">
        <v>102</v>
      </c>
      <c r="F615" s="36" t="s">
        <v>103</v>
      </c>
      <c r="G615" s="37">
        <v>54</v>
      </c>
      <c r="H615" s="66">
        <v>46984</v>
      </c>
      <c r="I615" s="38">
        <f t="shared" ca="1" si="28"/>
        <v>785</v>
      </c>
      <c r="J615" s="38" t="str">
        <f t="shared" ca="1" si="29"/>
        <v>OK</v>
      </c>
      <c r="K615" s="36" t="s">
        <v>182</v>
      </c>
      <c r="L615" s="39"/>
    </row>
    <row r="616" spans="1:12" x14ac:dyDescent="0.35">
      <c r="A616" s="34" t="str">
        <f t="shared" si="27"/>
        <v>DON-0612</v>
      </c>
      <c r="B616" s="35">
        <v>46056</v>
      </c>
      <c r="C616" s="36" t="s">
        <v>94</v>
      </c>
      <c r="D616" s="36" t="s">
        <v>95</v>
      </c>
      <c r="E616" s="36" t="s">
        <v>93</v>
      </c>
      <c r="F616" s="36" t="s">
        <v>96</v>
      </c>
      <c r="G616" s="37">
        <v>17</v>
      </c>
      <c r="H616" s="66">
        <v>46306</v>
      </c>
      <c r="I616" s="38">
        <f t="shared" ca="1" si="28"/>
        <v>107</v>
      </c>
      <c r="J616" s="38" t="str">
        <f t="shared" ca="1" si="29"/>
        <v>OK</v>
      </c>
      <c r="K616" s="36" t="s">
        <v>182</v>
      </c>
      <c r="L616" s="39"/>
    </row>
    <row r="617" spans="1:12" x14ac:dyDescent="0.35">
      <c r="A617" s="34" t="str">
        <f t="shared" si="27"/>
        <v>DON-0613</v>
      </c>
      <c r="B617" s="35">
        <v>46058</v>
      </c>
      <c r="C617" s="36" t="s">
        <v>135</v>
      </c>
      <c r="D617" s="36" t="s">
        <v>5</v>
      </c>
      <c r="E617" s="36" t="s">
        <v>6</v>
      </c>
      <c r="F617" s="36" t="s">
        <v>136</v>
      </c>
      <c r="G617" s="37">
        <v>32</v>
      </c>
      <c r="H617" s="66">
        <v>46064</v>
      </c>
      <c r="I617" s="38">
        <f t="shared" ca="1" si="28"/>
        <v>-135</v>
      </c>
      <c r="J617" s="38" t="str">
        <f t="shared" ca="1" si="29"/>
        <v>EXPIRED</v>
      </c>
      <c r="K617" s="36" t="s">
        <v>178</v>
      </c>
      <c r="L617" s="39"/>
    </row>
    <row r="618" spans="1:12" x14ac:dyDescent="0.35">
      <c r="A618" s="34" t="str">
        <f t="shared" si="27"/>
        <v>DON-0614</v>
      </c>
      <c r="B618" s="35">
        <v>46058</v>
      </c>
      <c r="C618" s="36" t="s">
        <v>120</v>
      </c>
      <c r="D618" s="36" t="s">
        <v>121</v>
      </c>
      <c r="E618" s="36" t="s">
        <v>14</v>
      </c>
      <c r="F618" s="36" t="s">
        <v>119</v>
      </c>
      <c r="G618" s="37">
        <v>21</v>
      </c>
      <c r="H618" s="66">
        <v>46315</v>
      </c>
      <c r="I618" s="38">
        <f t="shared" ca="1" si="28"/>
        <v>116</v>
      </c>
      <c r="J618" s="38" t="str">
        <f t="shared" ca="1" si="29"/>
        <v>OK</v>
      </c>
      <c r="K618" s="36" t="s">
        <v>178</v>
      </c>
      <c r="L618" s="39"/>
    </row>
    <row r="619" spans="1:12" x14ac:dyDescent="0.35">
      <c r="A619" s="34" t="str">
        <f t="shared" si="27"/>
        <v>DON-0615</v>
      </c>
      <c r="B619" s="35">
        <v>46058</v>
      </c>
      <c r="C619" s="36" t="s">
        <v>57</v>
      </c>
      <c r="D619" s="36" t="s">
        <v>58</v>
      </c>
      <c r="E619" s="36" t="s">
        <v>53</v>
      </c>
      <c r="F619" s="36" t="s">
        <v>42</v>
      </c>
      <c r="G619" s="37">
        <v>105</v>
      </c>
      <c r="H619" s="66">
        <v>46729</v>
      </c>
      <c r="I619" s="38">
        <f t="shared" ca="1" si="28"/>
        <v>530</v>
      </c>
      <c r="J619" s="38" t="str">
        <f t="shared" ca="1" si="29"/>
        <v>OK</v>
      </c>
      <c r="K619" s="36" t="s">
        <v>178</v>
      </c>
      <c r="L619" s="39"/>
    </row>
    <row r="620" spans="1:12" x14ac:dyDescent="0.35">
      <c r="A620" s="34" t="str">
        <f t="shared" si="27"/>
        <v>DON-0616</v>
      </c>
      <c r="B620" s="35">
        <v>46058</v>
      </c>
      <c r="C620" s="36" t="s">
        <v>54</v>
      </c>
      <c r="D620" s="36" t="s">
        <v>55</v>
      </c>
      <c r="E620" s="36" t="s">
        <v>53</v>
      </c>
      <c r="F620" s="36" t="s">
        <v>56</v>
      </c>
      <c r="G620" s="37">
        <v>83</v>
      </c>
      <c r="H620" s="66">
        <v>46999</v>
      </c>
      <c r="I620" s="38">
        <f t="shared" ca="1" si="28"/>
        <v>800</v>
      </c>
      <c r="J620" s="38" t="str">
        <f t="shared" ca="1" si="29"/>
        <v>OK</v>
      </c>
      <c r="K620" s="36" t="s">
        <v>178</v>
      </c>
      <c r="L620" s="39"/>
    </row>
    <row r="621" spans="1:12" x14ac:dyDescent="0.35">
      <c r="A621" s="34" t="str">
        <f t="shared" si="27"/>
        <v>DON-0617</v>
      </c>
      <c r="B621" s="35">
        <v>46058</v>
      </c>
      <c r="C621" s="36" t="s">
        <v>111</v>
      </c>
      <c r="D621" s="36" t="s">
        <v>112</v>
      </c>
      <c r="E621" s="36" t="s">
        <v>102</v>
      </c>
      <c r="F621" s="36" t="s">
        <v>113</v>
      </c>
      <c r="G621" s="37">
        <v>37</v>
      </c>
      <c r="H621" s="66">
        <v>47054</v>
      </c>
      <c r="I621" s="38">
        <f t="shared" ca="1" si="28"/>
        <v>855</v>
      </c>
      <c r="J621" s="38" t="str">
        <f t="shared" ca="1" si="29"/>
        <v>OK</v>
      </c>
      <c r="K621" s="36" t="s">
        <v>178</v>
      </c>
      <c r="L621" s="39"/>
    </row>
    <row r="622" spans="1:12" x14ac:dyDescent="0.35">
      <c r="A622" s="34" t="str">
        <f t="shared" si="27"/>
        <v>DON-0618</v>
      </c>
      <c r="B622" s="35">
        <v>46058</v>
      </c>
      <c r="C622" s="36" t="s">
        <v>122</v>
      </c>
      <c r="D622" s="36" t="s">
        <v>123</v>
      </c>
      <c r="E622" s="36" t="s">
        <v>14</v>
      </c>
      <c r="F622" s="36" t="s">
        <v>124</v>
      </c>
      <c r="G622" s="37">
        <v>12</v>
      </c>
      <c r="H622" s="66">
        <v>47318</v>
      </c>
      <c r="I622" s="38">
        <f t="shared" ca="1" si="28"/>
        <v>1119</v>
      </c>
      <c r="J622" s="38" t="str">
        <f t="shared" ca="1" si="29"/>
        <v>OK</v>
      </c>
      <c r="K622" s="36" t="s">
        <v>178</v>
      </c>
      <c r="L622" s="39"/>
    </row>
    <row r="623" spans="1:12" x14ac:dyDescent="0.35">
      <c r="A623" s="34" t="str">
        <f t="shared" si="27"/>
        <v>DON-0619</v>
      </c>
      <c r="B623" s="35">
        <v>46059</v>
      </c>
      <c r="C623" s="36" t="s">
        <v>94</v>
      </c>
      <c r="D623" s="36" t="s">
        <v>95</v>
      </c>
      <c r="E623" s="36" t="s">
        <v>93</v>
      </c>
      <c r="F623" s="36" t="s">
        <v>96</v>
      </c>
      <c r="G623" s="37">
        <v>18</v>
      </c>
      <c r="H623" s="66">
        <v>46286</v>
      </c>
      <c r="I623" s="38">
        <f t="shared" ca="1" si="28"/>
        <v>87</v>
      </c>
      <c r="J623" s="38" t="str">
        <f t="shared" ca="1" si="29"/>
        <v>OK</v>
      </c>
      <c r="K623" s="36" t="s">
        <v>179</v>
      </c>
      <c r="L623" s="39"/>
    </row>
    <row r="624" spans="1:12" x14ac:dyDescent="0.35">
      <c r="A624" s="34" t="str">
        <f t="shared" si="27"/>
        <v>DON-0620</v>
      </c>
      <c r="B624" s="35">
        <v>46059</v>
      </c>
      <c r="C624" s="36" t="s">
        <v>146</v>
      </c>
      <c r="D624" s="36" t="s">
        <v>147</v>
      </c>
      <c r="E624" s="36" t="s">
        <v>8</v>
      </c>
      <c r="F624" s="36" t="s">
        <v>148</v>
      </c>
      <c r="G624" s="37">
        <v>32</v>
      </c>
      <c r="H624" s="66">
        <v>46079</v>
      </c>
      <c r="I624" s="38">
        <f t="shared" ca="1" si="28"/>
        <v>-120</v>
      </c>
      <c r="J624" s="38" t="str">
        <f t="shared" ca="1" si="29"/>
        <v>EXPIRED</v>
      </c>
      <c r="K624" s="36" t="s">
        <v>179</v>
      </c>
      <c r="L624" s="39"/>
    </row>
    <row r="625" spans="1:12" x14ac:dyDescent="0.35">
      <c r="A625" s="34" t="str">
        <f t="shared" si="27"/>
        <v>DON-0621</v>
      </c>
      <c r="B625" s="35">
        <v>46059</v>
      </c>
      <c r="C625" s="36" t="s">
        <v>88</v>
      </c>
      <c r="D625" s="36" t="s">
        <v>89</v>
      </c>
      <c r="E625" s="36" t="s">
        <v>74</v>
      </c>
      <c r="F625" s="36" t="s">
        <v>90</v>
      </c>
      <c r="G625" s="37">
        <v>45</v>
      </c>
      <c r="H625" s="66">
        <v>46383</v>
      </c>
      <c r="I625" s="38">
        <f t="shared" ca="1" si="28"/>
        <v>184</v>
      </c>
      <c r="J625" s="38" t="str">
        <f t="shared" ca="1" si="29"/>
        <v>OK</v>
      </c>
      <c r="K625" s="36" t="s">
        <v>179</v>
      </c>
      <c r="L625" s="39"/>
    </row>
    <row r="626" spans="1:12" x14ac:dyDescent="0.35">
      <c r="A626" s="34" t="str">
        <f t="shared" si="27"/>
        <v>DON-0622</v>
      </c>
      <c r="B626" s="35">
        <v>46065</v>
      </c>
      <c r="C626" s="36" t="s">
        <v>149</v>
      </c>
      <c r="D626" s="36" t="s">
        <v>150</v>
      </c>
      <c r="E626" s="36" t="s">
        <v>8</v>
      </c>
      <c r="F626" s="36" t="s">
        <v>75</v>
      </c>
      <c r="G626" s="37">
        <v>14</v>
      </c>
      <c r="H626" s="66">
        <v>46098</v>
      </c>
      <c r="I626" s="38">
        <f t="shared" ca="1" si="28"/>
        <v>-101</v>
      </c>
      <c r="J626" s="38" t="str">
        <f t="shared" ca="1" si="29"/>
        <v>EXPIRED</v>
      </c>
      <c r="K626" s="36" t="s">
        <v>176</v>
      </c>
      <c r="L626" s="39"/>
    </row>
    <row r="627" spans="1:12" x14ac:dyDescent="0.35">
      <c r="A627" s="34" t="str">
        <f t="shared" si="27"/>
        <v>DON-0623</v>
      </c>
      <c r="B627" s="35">
        <v>46065</v>
      </c>
      <c r="C627" s="36" t="s">
        <v>86</v>
      </c>
      <c r="D627" s="36" t="s">
        <v>87</v>
      </c>
      <c r="E627" s="36" t="s">
        <v>74</v>
      </c>
      <c r="F627" s="36" t="s">
        <v>75</v>
      </c>
      <c r="G627" s="37">
        <v>63</v>
      </c>
      <c r="H627" s="66">
        <v>46308</v>
      </c>
      <c r="I627" s="38">
        <f t="shared" ca="1" si="28"/>
        <v>109</v>
      </c>
      <c r="J627" s="38" t="str">
        <f t="shared" ca="1" si="29"/>
        <v>OK</v>
      </c>
      <c r="K627" s="36" t="s">
        <v>176</v>
      </c>
      <c r="L627" s="39"/>
    </row>
    <row r="628" spans="1:12" x14ac:dyDescent="0.35">
      <c r="A628" s="34" t="str">
        <f t="shared" si="27"/>
        <v>DON-0624</v>
      </c>
      <c r="B628" s="35">
        <v>46065</v>
      </c>
      <c r="C628" s="36" t="s">
        <v>64</v>
      </c>
      <c r="D628" s="36" t="s">
        <v>65</v>
      </c>
      <c r="E628" s="36" t="s">
        <v>66</v>
      </c>
      <c r="F628" s="36" t="s">
        <v>42</v>
      </c>
      <c r="G628" s="37">
        <v>75</v>
      </c>
      <c r="H628" s="66">
        <v>46493</v>
      </c>
      <c r="I628" s="38">
        <f t="shared" ca="1" si="28"/>
        <v>294</v>
      </c>
      <c r="J628" s="38" t="str">
        <f t="shared" ca="1" si="29"/>
        <v>OK</v>
      </c>
      <c r="K628" s="36" t="s">
        <v>176</v>
      </c>
      <c r="L628" s="39"/>
    </row>
    <row r="629" spans="1:12" x14ac:dyDescent="0.35">
      <c r="A629" s="34" t="str">
        <f t="shared" si="27"/>
        <v>DON-0625</v>
      </c>
      <c r="B629" s="35">
        <v>46065</v>
      </c>
      <c r="C629" s="36" t="s">
        <v>104</v>
      </c>
      <c r="D629" s="36" t="s">
        <v>105</v>
      </c>
      <c r="E629" s="36" t="s">
        <v>102</v>
      </c>
      <c r="F629" s="36" t="s">
        <v>103</v>
      </c>
      <c r="G629" s="37">
        <v>59</v>
      </c>
      <c r="H629" s="66">
        <v>46751</v>
      </c>
      <c r="I629" s="38">
        <f t="shared" ca="1" si="28"/>
        <v>552</v>
      </c>
      <c r="J629" s="38" t="str">
        <f t="shared" ca="1" si="29"/>
        <v>OK</v>
      </c>
      <c r="K629" s="36" t="s">
        <v>176</v>
      </c>
      <c r="L629" s="39"/>
    </row>
    <row r="630" spans="1:12" x14ac:dyDescent="0.35">
      <c r="A630" s="34" t="str">
        <f t="shared" si="27"/>
        <v>DON-0626</v>
      </c>
      <c r="B630" s="35">
        <v>46065</v>
      </c>
      <c r="C630" s="36" t="s">
        <v>109</v>
      </c>
      <c r="D630" s="36" t="s">
        <v>110</v>
      </c>
      <c r="E630" s="36" t="s">
        <v>102</v>
      </c>
      <c r="F630" s="36" t="s">
        <v>42</v>
      </c>
      <c r="G630" s="37">
        <v>40</v>
      </c>
      <c r="H630" s="66">
        <v>46762</v>
      </c>
      <c r="I630" s="38">
        <f t="shared" ca="1" si="28"/>
        <v>563</v>
      </c>
      <c r="J630" s="38" t="str">
        <f t="shared" ca="1" si="29"/>
        <v>OK</v>
      </c>
      <c r="K630" s="36" t="s">
        <v>176</v>
      </c>
      <c r="L630" s="39"/>
    </row>
    <row r="631" spans="1:12" x14ac:dyDescent="0.35">
      <c r="A631" s="34" t="str">
        <f t="shared" si="27"/>
        <v>DON-0627</v>
      </c>
      <c r="B631" s="35">
        <v>46065</v>
      </c>
      <c r="C631" s="36" t="s">
        <v>34</v>
      </c>
      <c r="D631" s="36" t="s">
        <v>35</v>
      </c>
      <c r="E631" s="36" t="s">
        <v>31</v>
      </c>
      <c r="F631" s="36" t="s">
        <v>36</v>
      </c>
      <c r="G631" s="37">
        <v>76</v>
      </c>
      <c r="H631" s="66">
        <v>46961</v>
      </c>
      <c r="I631" s="38">
        <f t="shared" ca="1" si="28"/>
        <v>762</v>
      </c>
      <c r="J631" s="38" t="str">
        <f t="shared" ca="1" si="29"/>
        <v>OK</v>
      </c>
      <c r="K631" s="36" t="s">
        <v>176</v>
      </c>
      <c r="L631" s="39"/>
    </row>
    <row r="632" spans="1:12" x14ac:dyDescent="0.35">
      <c r="A632" s="34" t="str">
        <f t="shared" si="27"/>
        <v>DON-0628</v>
      </c>
      <c r="B632" s="35">
        <v>46065</v>
      </c>
      <c r="C632" s="36" t="s">
        <v>51</v>
      </c>
      <c r="D632" s="36" t="s">
        <v>52</v>
      </c>
      <c r="E632" s="36" t="s">
        <v>53</v>
      </c>
      <c r="F632" s="36" t="s">
        <v>42</v>
      </c>
      <c r="G632" s="37">
        <v>76</v>
      </c>
      <c r="H632" s="66">
        <v>47056</v>
      </c>
      <c r="I632" s="38">
        <f t="shared" ca="1" si="28"/>
        <v>857</v>
      </c>
      <c r="J632" s="38" t="str">
        <f t="shared" ca="1" si="29"/>
        <v>OK</v>
      </c>
      <c r="K632" s="36" t="s">
        <v>176</v>
      </c>
      <c r="L632" s="39"/>
    </row>
    <row r="633" spans="1:12" x14ac:dyDescent="0.35">
      <c r="A633" s="34" t="str">
        <f t="shared" si="27"/>
        <v>DON-0629</v>
      </c>
      <c r="B633" s="35">
        <v>46068</v>
      </c>
      <c r="C633" s="36" t="s">
        <v>141</v>
      </c>
      <c r="D633" s="36" t="s">
        <v>142</v>
      </c>
      <c r="E633" s="36" t="s">
        <v>8</v>
      </c>
      <c r="F633" s="36" t="s">
        <v>143</v>
      </c>
      <c r="G633" s="37">
        <v>28</v>
      </c>
      <c r="H633" s="66">
        <v>46084</v>
      </c>
      <c r="I633" s="38">
        <f t="shared" ca="1" si="28"/>
        <v>-115</v>
      </c>
      <c r="J633" s="38" t="str">
        <f t="shared" ca="1" si="29"/>
        <v>EXPIRED</v>
      </c>
      <c r="K633" s="36" t="s">
        <v>179</v>
      </c>
      <c r="L633" s="39"/>
    </row>
    <row r="634" spans="1:12" x14ac:dyDescent="0.35">
      <c r="A634" s="34" t="str">
        <f t="shared" si="27"/>
        <v>DON-0630</v>
      </c>
      <c r="B634" s="35">
        <v>46068</v>
      </c>
      <c r="C634" s="36" t="s">
        <v>130</v>
      </c>
      <c r="D634" s="36" t="s">
        <v>16</v>
      </c>
      <c r="E634" s="36" t="s">
        <v>10</v>
      </c>
      <c r="F634" s="36" t="s">
        <v>131</v>
      </c>
      <c r="G634" s="37">
        <v>29</v>
      </c>
      <c r="H634" s="66">
        <v>46091</v>
      </c>
      <c r="I634" s="38">
        <f t="shared" ca="1" si="28"/>
        <v>-108</v>
      </c>
      <c r="J634" s="38" t="str">
        <f t="shared" ca="1" si="29"/>
        <v>EXPIRED</v>
      </c>
      <c r="K634" s="36" t="s">
        <v>179</v>
      </c>
      <c r="L634" s="39"/>
    </row>
    <row r="635" spans="1:12" x14ac:dyDescent="0.35">
      <c r="A635" s="34" t="str">
        <f t="shared" si="27"/>
        <v>DON-0631</v>
      </c>
      <c r="B635" s="35">
        <v>46068</v>
      </c>
      <c r="C635" s="36" t="s">
        <v>132</v>
      </c>
      <c r="D635" s="36" t="s">
        <v>133</v>
      </c>
      <c r="E635" s="36" t="s">
        <v>10</v>
      </c>
      <c r="F635" s="36" t="s">
        <v>134</v>
      </c>
      <c r="G635" s="37">
        <v>26</v>
      </c>
      <c r="H635" s="66">
        <v>46127</v>
      </c>
      <c r="I635" s="38">
        <f t="shared" ca="1" si="28"/>
        <v>-72</v>
      </c>
      <c r="J635" s="38" t="str">
        <f t="shared" ca="1" si="29"/>
        <v>EXPIRED</v>
      </c>
      <c r="K635" s="36" t="s">
        <v>179</v>
      </c>
      <c r="L635" s="39"/>
    </row>
    <row r="636" spans="1:12" x14ac:dyDescent="0.35">
      <c r="A636" s="34" t="str">
        <f t="shared" si="27"/>
        <v>DON-0632</v>
      </c>
      <c r="B636" s="35">
        <v>46068</v>
      </c>
      <c r="C636" s="36" t="s">
        <v>161</v>
      </c>
      <c r="D636" s="36" t="s">
        <v>162</v>
      </c>
      <c r="E636" s="36" t="s">
        <v>159</v>
      </c>
      <c r="F636" s="36" t="s">
        <v>163</v>
      </c>
      <c r="G636" s="37">
        <v>25</v>
      </c>
      <c r="H636" s="66">
        <v>46579</v>
      </c>
      <c r="I636" s="38">
        <f t="shared" ca="1" si="28"/>
        <v>380</v>
      </c>
      <c r="J636" s="38" t="str">
        <f t="shared" ca="1" si="29"/>
        <v>OK</v>
      </c>
      <c r="K636" s="36" t="s">
        <v>179</v>
      </c>
      <c r="L636" s="39"/>
    </row>
    <row r="637" spans="1:12" x14ac:dyDescent="0.35">
      <c r="A637" s="34" t="str">
        <f t="shared" si="27"/>
        <v>DON-0633</v>
      </c>
      <c r="B637" s="35">
        <v>46068</v>
      </c>
      <c r="C637" s="36" t="s">
        <v>69</v>
      </c>
      <c r="D637" s="36" t="s">
        <v>70</v>
      </c>
      <c r="E637" s="36" t="s">
        <v>66</v>
      </c>
      <c r="F637" s="36" t="s">
        <v>71</v>
      </c>
      <c r="G637" s="37">
        <v>33</v>
      </c>
      <c r="H637" s="66">
        <v>47130</v>
      </c>
      <c r="I637" s="38">
        <f t="shared" ca="1" si="28"/>
        <v>931</v>
      </c>
      <c r="J637" s="38" t="str">
        <f t="shared" ca="1" si="29"/>
        <v>OK</v>
      </c>
      <c r="K637" s="36" t="s">
        <v>179</v>
      </c>
      <c r="L637" s="39"/>
    </row>
    <row r="638" spans="1:12" x14ac:dyDescent="0.35">
      <c r="A638" s="34" t="str">
        <f t="shared" si="27"/>
        <v>DON-0634</v>
      </c>
      <c r="B638" s="35">
        <v>46074</v>
      </c>
      <c r="C638" s="36" t="s">
        <v>146</v>
      </c>
      <c r="D638" s="36" t="s">
        <v>147</v>
      </c>
      <c r="E638" s="36" t="s">
        <v>8</v>
      </c>
      <c r="F638" s="36" t="s">
        <v>148</v>
      </c>
      <c r="G638" s="37">
        <v>34</v>
      </c>
      <c r="H638" s="66">
        <v>46085</v>
      </c>
      <c r="I638" s="38">
        <f t="shared" ca="1" si="28"/>
        <v>-114</v>
      </c>
      <c r="J638" s="38" t="str">
        <f t="shared" ca="1" si="29"/>
        <v>EXPIRED</v>
      </c>
      <c r="K638" s="36" t="s">
        <v>178</v>
      </c>
      <c r="L638" s="39"/>
    </row>
    <row r="639" spans="1:12" x14ac:dyDescent="0.35">
      <c r="A639" s="34" t="str">
        <f t="shared" si="27"/>
        <v>DON-0635</v>
      </c>
      <c r="B639" s="35">
        <v>46074</v>
      </c>
      <c r="C639" s="36" t="s">
        <v>141</v>
      </c>
      <c r="D639" s="36" t="s">
        <v>142</v>
      </c>
      <c r="E639" s="36" t="s">
        <v>8</v>
      </c>
      <c r="F639" s="36" t="s">
        <v>143</v>
      </c>
      <c r="G639" s="37">
        <v>29</v>
      </c>
      <c r="H639" s="66">
        <v>46092</v>
      </c>
      <c r="I639" s="38">
        <f t="shared" ca="1" si="28"/>
        <v>-107</v>
      </c>
      <c r="J639" s="38" t="str">
        <f t="shared" ca="1" si="29"/>
        <v>EXPIRED</v>
      </c>
      <c r="K639" s="36" t="s">
        <v>178</v>
      </c>
      <c r="L639" s="39"/>
    </row>
    <row r="640" spans="1:12" x14ac:dyDescent="0.35">
      <c r="A640" s="34" t="str">
        <f t="shared" si="27"/>
        <v>DON-0636</v>
      </c>
      <c r="B640" s="35">
        <v>46074</v>
      </c>
      <c r="C640" s="36" t="s">
        <v>149</v>
      </c>
      <c r="D640" s="36" t="s">
        <v>150</v>
      </c>
      <c r="E640" s="36" t="s">
        <v>8</v>
      </c>
      <c r="F640" s="36" t="s">
        <v>75</v>
      </c>
      <c r="G640" s="37">
        <v>16</v>
      </c>
      <c r="H640" s="66">
        <v>46125</v>
      </c>
      <c r="I640" s="38">
        <f t="shared" ca="1" si="28"/>
        <v>-74</v>
      </c>
      <c r="J640" s="38" t="str">
        <f t="shared" ca="1" si="29"/>
        <v>EXPIRED</v>
      </c>
      <c r="K640" s="36" t="s">
        <v>178</v>
      </c>
      <c r="L640" s="39"/>
    </row>
    <row r="641" spans="1:12" x14ac:dyDescent="0.35">
      <c r="A641" s="34" t="str">
        <f t="shared" si="27"/>
        <v>DON-0637</v>
      </c>
      <c r="B641" s="35">
        <v>46074</v>
      </c>
      <c r="C641" s="36" t="s">
        <v>91</v>
      </c>
      <c r="D641" s="36" t="s">
        <v>92</v>
      </c>
      <c r="E641" s="36" t="s">
        <v>93</v>
      </c>
      <c r="F641" s="36" t="s">
        <v>85</v>
      </c>
      <c r="G641" s="37">
        <v>35</v>
      </c>
      <c r="H641" s="66">
        <v>46244</v>
      </c>
      <c r="I641" s="38">
        <f t="shared" ca="1" si="28"/>
        <v>45</v>
      </c>
      <c r="J641" s="38" t="str">
        <f t="shared" ca="1" si="29"/>
        <v>OK</v>
      </c>
      <c r="K641" s="36" t="s">
        <v>178</v>
      </c>
      <c r="L641" s="39"/>
    </row>
    <row r="642" spans="1:12" x14ac:dyDescent="0.35">
      <c r="A642" s="34" t="str">
        <f t="shared" si="27"/>
        <v>DON-0638</v>
      </c>
      <c r="B642" s="35">
        <v>46074</v>
      </c>
      <c r="C642" s="36" t="s">
        <v>153</v>
      </c>
      <c r="D642" s="36" t="s">
        <v>154</v>
      </c>
      <c r="E642" s="36" t="s">
        <v>12</v>
      </c>
      <c r="F642" s="36" t="s">
        <v>155</v>
      </c>
      <c r="G642" s="37">
        <v>22</v>
      </c>
      <c r="H642" s="66">
        <v>46252</v>
      </c>
      <c r="I642" s="38">
        <f t="shared" ca="1" si="28"/>
        <v>53</v>
      </c>
      <c r="J642" s="38" t="str">
        <f t="shared" ca="1" si="29"/>
        <v>OK</v>
      </c>
      <c r="K642" s="36" t="s">
        <v>178</v>
      </c>
      <c r="L642" s="39"/>
    </row>
    <row r="643" spans="1:12" x14ac:dyDescent="0.35">
      <c r="A643" s="34" t="str">
        <f t="shared" si="27"/>
        <v>DON-0639</v>
      </c>
      <c r="B643" s="35">
        <v>46074</v>
      </c>
      <c r="C643" s="36" t="s">
        <v>157</v>
      </c>
      <c r="D643" s="36" t="s">
        <v>158</v>
      </c>
      <c r="E643" s="36" t="s">
        <v>159</v>
      </c>
      <c r="F643" s="36" t="s">
        <v>160</v>
      </c>
      <c r="G643" s="37">
        <v>38</v>
      </c>
      <c r="H643" s="66">
        <v>46271</v>
      </c>
      <c r="I643" s="38">
        <f t="shared" ca="1" si="28"/>
        <v>72</v>
      </c>
      <c r="J643" s="38" t="str">
        <f t="shared" ca="1" si="29"/>
        <v>OK</v>
      </c>
      <c r="K643" s="36" t="s">
        <v>178</v>
      </c>
      <c r="L643" s="39"/>
    </row>
    <row r="644" spans="1:12" x14ac:dyDescent="0.35">
      <c r="A644" s="34" t="str">
        <f t="shared" si="27"/>
        <v>DON-0640</v>
      </c>
      <c r="B644" s="35">
        <v>46074</v>
      </c>
      <c r="C644" s="36" t="s">
        <v>76</v>
      </c>
      <c r="D644" s="36" t="s">
        <v>77</v>
      </c>
      <c r="E644" s="36" t="s">
        <v>74</v>
      </c>
      <c r="F644" s="36" t="s">
        <v>75</v>
      </c>
      <c r="G644" s="37">
        <v>33</v>
      </c>
      <c r="H644" s="66">
        <v>46284</v>
      </c>
      <c r="I644" s="38">
        <f t="shared" ca="1" si="28"/>
        <v>85</v>
      </c>
      <c r="J644" s="38" t="str">
        <f t="shared" ca="1" si="29"/>
        <v>OK</v>
      </c>
      <c r="K644" s="36" t="s">
        <v>178</v>
      </c>
      <c r="L644" s="39"/>
    </row>
    <row r="645" spans="1:12" x14ac:dyDescent="0.35">
      <c r="A645" s="34" t="str">
        <f t="shared" ref="A645:A708" si="30">IF(G645="","","DON-"&amp;TEXT(ROW()-4,"0000"))</f>
        <v>DON-0641</v>
      </c>
      <c r="B645" s="35">
        <v>46075</v>
      </c>
      <c r="C645" s="36" t="s">
        <v>146</v>
      </c>
      <c r="D645" s="36" t="s">
        <v>147</v>
      </c>
      <c r="E645" s="36" t="s">
        <v>8</v>
      </c>
      <c r="F645" s="36" t="s">
        <v>148</v>
      </c>
      <c r="G645" s="37">
        <v>30</v>
      </c>
      <c r="H645" s="66">
        <v>46086</v>
      </c>
      <c r="I645" s="38">
        <f t="shared" ref="I645:I708" ca="1" si="31">IF(H645="","",H645-TODAY())</f>
        <v>-113</v>
      </c>
      <c r="J645" s="38" t="str">
        <f t="shared" ref="J645:J708" ca="1" si="32">IF(I645="","",IF(I645&lt;=0,"EXPIRED",IF(I645&lt;=3,"CRITICAL",IF(I645&lt;=7,"WARNING",IF(I645&lt;=30,"NOTICE","OK")))))</f>
        <v>EXPIRED</v>
      </c>
      <c r="K645" s="36" t="s">
        <v>175</v>
      </c>
      <c r="L645" s="39"/>
    </row>
    <row r="646" spans="1:12" x14ac:dyDescent="0.35">
      <c r="A646" s="34" t="str">
        <f t="shared" si="30"/>
        <v>DON-0642</v>
      </c>
      <c r="B646" s="35">
        <v>46075</v>
      </c>
      <c r="C646" s="36" t="s">
        <v>130</v>
      </c>
      <c r="D646" s="36" t="s">
        <v>16</v>
      </c>
      <c r="E646" s="36" t="s">
        <v>10</v>
      </c>
      <c r="F646" s="36" t="s">
        <v>131</v>
      </c>
      <c r="G646" s="37">
        <v>30</v>
      </c>
      <c r="H646" s="66">
        <v>46110</v>
      </c>
      <c r="I646" s="38">
        <f t="shared" ca="1" si="31"/>
        <v>-89</v>
      </c>
      <c r="J646" s="38" t="str">
        <f t="shared" ca="1" si="32"/>
        <v>EXPIRED</v>
      </c>
      <c r="K646" s="36" t="s">
        <v>175</v>
      </c>
      <c r="L646" s="39"/>
    </row>
    <row r="647" spans="1:12" x14ac:dyDescent="0.35">
      <c r="A647" s="34" t="str">
        <f t="shared" si="30"/>
        <v>DON-0643</v>
      </c>
      <c r="B647" s="35">
        <v>46075</v>
      </c>
      <c r="C647" s="36" t="s">
        <v>97</v>
      </c>
      <c r="D647" s="36" t="s">
        <v>98</v>
      </c>
      <c r="E647" s="36" t="s">
        <v>93</v>
      </c>
      <c r="F647" s="36" t="s">
        <v>99</v>
      </c>
      <c r="G647" s="37">
        <v>26</v>
      </c>
      <c r="H647" s="66">
        <v>46191</v>
      </c>
      <c r="I647" s="38">
        <f t="shared" ca="1" si="31"/>
        <v>-8</v>
      </c>
      <c r="J647" s="38" t="str">
        <f t="shared" ca="1" si="32"/>
        <v>EXPIRED</v>
      </c>
      <c r="K647" s="36" t="s">
        <v>175</v>
      </c>
      <c r="L647" s="39"/>
    </row>
    <row r="648" spans="1:12" x14ac:dyDescent="0.35">
      <c r="A648" s="34" t="str">
        <f t="shared" si="30"/>
        <v>DON-0644</v>
      </c>
      <c r="B648" s="35">
        <v>46075</v>
      </c>
      <c r="C648" s="36" t="s">
        <v>51</v>
      </c>
      <c r="D648" s="36" t="s">
        <v>52</v>
      </c>
      <c r="E648" s="36" t="s">
        <v>53</v>
      </c>
      <c r="F648" s="36" t="s">
        <v>42</v>
      </c>
      <c r="G648" s="37">
        <v>118</v>
      </c>
      <c r="H648" s="66">
        <v>46844</v>
      </c>
      <c r="I648" s="38">
        <f t="shared" ca="1" si="31"/>
        <v>645</v>
      </c>
      <c r="J648" s="38" t="str">
        <f t="shared" ca="1" si="32"/>
        <v>OK</v>
      </c>
      <c r="K648" s="36" t="s">
        <v>175</v>
      </c>
      <c r="L648" s="39"/>
    </row>
    <row r="649" spans="1:12" x14ac:dyDescent="0.35">
      <c r="A649" s="34" t="str">
        <f t="shared" si="30"/>
        <v>DON-0645</v>
      </c>
      <c r="B649" s="35">
        <v>46075</v>
      </c>
      <c r="C649" s="36" t="s">
        <v>125</v>
      </c>
      <c r="D649" s="36" t="s">
        <v>126</v>
      </c>
      <c r="E649" s="36" t="s">
        <v>14</v>
      </c>
      <c r="F649" s="36" t="s">
        <v>127</v>
      </c>
      <c r="G649" s="37">
        <v>8</v>
      </c>
      <c r="H649" s="66">
        <v>46844</v>
      </c>
      <c r="I649" s="38">
        <f t="shared" ca="1" si="31"/>
        <v>645</v>
      </c>
      <c r="J649" s="38" t="str">
        <f t="shared" ca="1" si="32"/>
        <v>OK</v>
      </c>
      <c r="K649" s="36" t="s">
        <v>175</v>
      </c>
      <c r="L649" s="39"/>
    </row>
    <row r="650" spans="1:12" x14ac:dyDescent="0.35">
      <c r="A650" s="34" t="str">
        <f t="shared" si="30"/>
        <v>DON-0646</v>
      </c>
      <c r="B650" s="35">
        <v>46076</v>
      </c>
      <c r="C650" s="36" t="s">
        <v>128</v>
      </c>
      <c r="D650" s="36" t="s">
        <v>9</v>
      </c>
      <c r="E650" s="36" t="s">
        <v>10</v>
      </c>
      <c r="F650" s="36" t="s">
        <v>129</v>
      </c>
      <c r="G650" s="37">
        <v>18</v>
      </c>
      <c r="H650" s="66">
        <v>46087</v>
      </c>
      <c r="I650" s="38">
        <f t="shared" ca="1" si="31"/>
        <v>-112</v>
      </c>
      <c r="J650" s="38" t="str">
        <f t="shared" ca="1" si="32"/>
        <v>EXPIRED</v>
      </c>
      <c r="K650" s="36" t="s">
        <v>175</v>
      </c>
      <c r="L650" s="39"/>
    </row>
    <row r="651" spans="1:12" x14ac:dyDescent="0.35">
      <c r="A651" s="34" t="str">
        <f t="shared" si="30"/>
        <v>DON-0647</v>
      </c>
      <c r="B651" s="35">
        <v>46076</v>
      </c>
      <c r="C651" s="36" t="s">
        <v>151</v>
      </c>
      <c r="D651" s="36" t="s">
        <v>152</v>
      </c>
      <c r="E651" s="36" t="s">
        <v>8</v>
      </c>
      <c r="F651" s="36" t="s">
        <v>143</v>
      </c>
      <c r="G651" s="37">
        <v>13</v>
      </c>
      <c r="H651" s="66">
        <v>46090</v>
      </c>
      <c r="I651" s="38">
        <f t="shared" ca="1" si="31"/>
        <v>-109</v>
      </c>
      <c r="J651" s="38" t="str">
        <f t="shared" ca="1" si="32"/>
        <v>EXPIRED</v>
      </c>
      <c r="K651" s="36" t="s">
        <v>175</v>
      </c>
      <c r="L651" s="39"/>
    </row>
    <row r="652" spans="1:12" x14ac:dyDescent="0.35">
      <c r="A652" s="34" t="str">
        <f t="shared" si="30"/>
        <v>DON-0648</v>
      </c>
      <c r="B652" s="35">
        <v>46076</v>
      </c>
      <c r="C652" s="36" t="s">
        <v>114</v>
      </c>
      <c r="D652" s="36" t="s">
        <v>13</v>
      </c>
      <c r="E652" s="36" t="s">
        <v>14</v>
      </c>
      <c r="F652" s="36" t="s">
        <v>115</v>
      </c>
      <c r="G652" s="37">
        <v>9</v>
      </c>
      <c r="H652" s="66">
        <v>46386</v>
      </c>
      <c r="I652" s="38">
        <f t="shared" ca="1" si="31"/>
        <v>187</v>
      </c>
      <c r="J652" s="38" t="str">
        <f t="shared" ca="1" si="32"/>
        <v>OK</v>
      </c>
      <c r="K652" s="36" t="s">
        <v>175</v>
      </c>
      <c r="L652" s="39"/>
    </row>
    <row r="653" spans="1:12" x14ac:dyDescent="0.35">
      <c r="A653" s="34" t="str">
        <f t="shared" si="30"/>
        <v>DON-0649</v>
      </c>
      <c r="B653" s="35">
        <v>46076</v>
      </c>
      <c r="C653" s="36" t="s">
        <v>78</v>
      </c>
      <c r="D653" s="36" t="s">
        <v>79</v>
      </c>
      <c r="E653" s="36" t="s">
        <v>74</v>
      </c>
      <c r="F653" s="36" t="s">
        <v>80</v>
      </c>
      <c r="G653" s="37">
        <v>22</v>
      </c>
      <c r="H653" s="66">
        <v>46530</v>
      </c>
      <c r="I653" s="38">
        <f t="shared" ca="1" si="31"/>
        <v>331</v>
      </c>
      <c r="J653" s="38" t="str">
        <f t="shared" ca="1" si="32"/>
        <v>OK</v>
      </c>
      <c r="K653" s="36" t="s">
        <v>175</v>
      </c>
      <c r="L653" s="39"/>
    </row>
    <row r="654" spans="1:12" x14ac:dyDescent="0.35">
      <c r="A654" s="34" t="str">
        <f t="shared" si="30"/>
        <v>DON-0650</v>
      </c>
      <c r="B654" s="35">
        <v>46076</v>
      </c>
      <c r="C654" s="36" t="s">
        <v>67</v>
      </c>
      <c r="D654" s="36" t="s">
        <v>68</v>
      </c>
      <c r="E654" s="36" t="s">
        <v>66</v>
      </c>
      <c r="F654" s="36" t="s">
        <v>42</v>
      </c>
      <c r="G654" s="37">
        <v>57</v>
      </c>
      <c r="H654" s="66">
        <v>46689</v>
      </c>
      <c r="I654" s="38">
        <f t="shared" ca="1" si="31"/>
        <v>490</v>
      </c>
      <c r="J654" s="38" t="str">
        <f t="shared" ca="1" si="32"/>
        <v>OK</v>
      </c>
      <c r="K654" s="36" t="s">
        <v>175</v>
      </c>
      <c r="L654" s="39"/>
    </row>
    <row r="655" spans="1:12" x14ac:dyDescent="0.35">
      <c r="A655" s="34" t="str">
        <f t="shared" si="30"/>
        <v>DON-0651</v>
      </c>
      <c r="B655" s="35">
        <v>46076</v>
      </c>
      <c r="C655" s="36" t="s">
        <v>64</v>
      </c>
      <c r="D655" s="36" t="s">
        <v>65</v>
      </c>
      <c r="E655" s="36" t="s">
        <v>66</v>
      </c>
      <c r="F655" s="36" t="s">
        <v>42</v>
      </c>
      <c r="G655" s="37">
        <v>27</v>
      </c>
      <c r="H655" s="66">
        <v>46984</v>
      </c>
      <c r="I655" s="38">
        <f t="shared" ca="1" si="31"/>
        <v>785</v>
      </c>
      <c r="J655" s="38" t="str">
        <f t="shared" ca="1" si="32"/>
        <v>OK</v>
      </c>
      <c r="K655" s="36" t="s">
        <v>175</v>
      </c>
      <c r="L655" s="39"/>
    </row>
    <row r="656" spans="1:12" x14ac:dyDescent="0.35">
      <c r="A656" s="34" t="str">
        <f t="shared" si="30"/>
        <v>DON-0652</v>
      </c>
      <c r="B656" s="35">
        <v>46076</v>
      </c>
      <c r="C656" s="36" t="s">
        <v>54</v>
      </c>
      <c r="D656" s="36" t="s">
        <v>55</v>
      </c>
      <c r="E656" s="36" t="s">
        <v>53</v>
      </c>
      <c r="F656" s="36" t="s">
        <v>56</v>
      </c>
      <c r="G656" s="37">
        <v>40</v>
      </c>
      <c r="H656" s="66">
        <v>47004</v>
      </c>
      <c r="I656" s="38">
        <f t="shared" ca="1" si="31"/>
        <v>805</v>
      </c>
      <c r="J656" s="38" t="str">
        <f t="shared" ca="1" si="32"/>
        <v>OK</v>
      </c>
      <c r="K656" s="36" t="s">
        <v>175</v>
      </c>
      <c r="L656" s="39"/>
    </row>
    <row r="657" spans="1:12" x14ac:dyDescent="0.35">
      <c r="A657" s="34" t="str">
        <f t="shared" si="30"/>
        <v>DON-0653</v>
      </c>
      <c r="B657" s="35">
        <v>46076</v>
      </c>
      <c r="C657" s="36" t="s">
        <v>125</v>
      </c>
      <c r="D657" s="36" t="s">
        <v>126</v>
      </c>
      <c r="E657" s="36" t="s">
        <v>14</v>
      </c>
      <c r="F657" s="36" t="s">
        <v>127</v>
      </c>
      <c r="G657" s="37">
        <v>11</v>
      </c>
      <c r="H657" s="66">
        <v>47160</v>
      </c>
      <c r="I657" s="38">
        <f t="shared" ca="1" si="31"/>
        <v>961</v>
      </c>
      <c r="J657" s="38" t="str">
        <f t="shared" ca="1" si="32"/>
        <v>OK</v>
      </c>
      <c r="K657" s="36" t="s">
        <v>175</v>
      </c>
      <c r="L657" s="39"/>
    </row>
    <row r="658" spans="1:12" x14ac:dyDescent="0.35">
      <c r="A658" s="34" t="str">
        <f t="shared" si="30"/>
        <v>DON-0654</v>
      </c>
      <c r="B658" s="35">
        <v>46079</v>
      </c>
      <c r="C658" s="36" t="s">
        <v>156</v>
      </c>
      <c r="D658" s="36" t="s">
        <v>11</v>
      </c>
      <c r="E658" s="36" t="s">
        <v>12</v>
      </c>
      <c r="F658" s="36" t="s">
        <v>155</v>
      </c>
      <c r="G658" s="37">
        <v>16</v>
      </c>
      <c r="H658" s="66">
        <v>46093</v>
      </c>
      <c r="I658" s="38">
        <f t="shared" ca="1" si="31"/>
        <v>-106</v>
      </c>
      <c r="J658" s="38" t="str">
        <f t="shared" ca="1" si="32"/>
        <v>EXPIRED</v>
      </c>
      <c r="K658" s="36" t="s">
        <v>176</v>
      </c>
      <c r="L658" s="39"/>
    </row>
    <row r="659" spans="1:12" x14ac:dyDescent="0.35">
      <c r="A659" s="34" t="str">
        <f t="shared" si="30"/>
        <v>DON-0655</v>
      </c>
      <c r="B659" s="35">
        <v>46079</v>
      </c>
      <c r="C659" s="36" t="s">
        <v>117</v>
      </c>
      <c r="D659" s="36" t="s">
        <v>118</v>
      </c>
      <c r="E659" s="36" t="s">
        <v>14</v>
      </c>
      <c r="F659" s="36" t="s">
        <v>119</v>
      </c>
      <c r="G659" s="37">
        <v>12</v>
      </c>
      <c r="H659" s="66">
        <v>46354</v>
      </c>
      <c r="I659" s="38">
        <f t="shared" ca="1" si="31"/>
        <v>155</v>
      </c>
      <c r="J659" s="38" t="str">
        <f t="shared" ca="1" si="32"/>
        <v>OK</v>
      </c>
      <c r="K659" s="36" t="s">
        <v>176</v>
      </c>
      <c r="L659" s="39"/>
    </row>
    <row r="660" spans="1:12" x14ac:dyDescent="0.35">
      <c r="A660" s="34" t="str">
        <f t="shared" si="30"/>
        <v>DON-0656</v>
      </c>
      <c r="B660" s="35">
        <v>46079</v>
      </c>
      <c r="C660" s="36" t="s">
        <v>81</v>
      </c>
      <c r="D660" s="36" t="s">
        <v>82</v>
      </c>
      <c r="E660" s="36" t="s">
        <v>74</v>
      </c>
      <c r="F660" s="36" t="s">
        <v>80</v>
      </c>
      <c r="G660" s="37">
        <v>43</v>
      </c>
      <c r="H660" s="66">
        <v>46574</v>
      </c>
      <c r="I660" s="38">
        <f t="shared" ca="1" si="31"/>
        <v>375</v>
      </c>
      <c r="J660" s="38" t="str">
        <f t="shared" ca="1" si="32"/>
        <v>OK</v>
      </c>
      <c r="K660" s="36" t="s">
        <v>176</v>
      </c>
      <c r="L660" s="39"/>
    </row>
    <row r="661" spans="1:12" x14ac:dyDescent="0.35">
      <c r="A661" s="34" t="str">
        <f t="shared" si="30"/>
        <v>DON-0657</v>
      </c>
      <c r="B661" s="35">
        <v>46079</v>
      </c>
      <c r="C661" s="36" t="s">
        <v>37</v>
      </c>
      <c r="D661" s="36" t="s">
        <v>38</v>
      </c>
      <c r="E661" s="36" t="s">
        <v>31</v>
      </c>
      <c r="F661" s="36" t="s">
        <v>39</v>
      </c>
      <c r="G661" s="37">
        <v>88</v>
      </c>
      <c r="H661" s="66">
        <v>46581</v>
      </c>
      <c r="I661" s="38">
        <f t="shared" ca="1" si="31"/>
        <v>382</v>
      </c>
      <c r="J661" s="38" t="str">
        <f t="shared" ca="1" si="32"/>
        <v>OK</v>
      </c>
      <c r="K661" s="36" t="s">
        <v>176</v>
      </c>
      <c r="L661" s="39"/>
    </row>
    <row r="662" spans="1:12" x14ac:dyDescent="0.35">
      <c r="A662" s="34" t="str">
        <f t="shared" si="30"/>
        <v>DON-0658</v>
      </c>
      <c r="B662" s="35">
        <v>46079</v>
      </c>
      <c r="C662" s="36" t="s">
        <v>61</v>
      </c>
      <c r="D662" s="36" t="s">
        <v>62</v>
      </c>
      <c r="E662" s="36" t="s">
        <v>53</v>
      </c>
      <c r="F662" s="36" t="s">
        <v>42</v>
      </c>
      <c r="G662" s="37">
        <v>49</v>
      </c>
      <c r="H662" s="66">
        <v>46787</v>
      </c>
      <c r="I662" s="38">
        <f t="shared" ca="1" si="31"/>
        <v>588</v>
      </c>
      <c r="J662" s="38" t="str">
        <f t="shared" ca="1" si="32"/>
        <v>OK</v>
      </c>
      <c r="K662" s="36" t="s">
        <v>176</v>
      </c>
      <c r="L662" s="39"/>
    </row>
    <row r="663" spans="1:12" x14ac:dyDescent="0.35">
      <c r="A663" s="34" t="str">
        <f t="shared" si="30"/>
        <v>DON-0659</v>
      </c>
      <c r="B663" s="35">
        <v>46079</v>
      </c>
      <c r="C663" s="36" t="s">
        <v>29</v>
      </c>
      <c r="D663" s="36" t="s">
        <v>30</v>
      </c>
      <c r="E663" s="36" t="s">
        <v>31</v>
      </c>
      <c r="F663" s="36" t="s">
        <v>32</v>
      </c>
      <c r="G663" s="37">
        <v>86</v>
      </c>
      <c r="H663" s="66">
        <v>46923</v>
      </c>
      <c r="I663" s="38">
        <f t="shared" ca="1" si="31"/>
        <v>724</v>
      </c>
      <c r="J663" s="38" t="str">
        <f t="shared" ca="1" si="32"/>
        <v>OK</v>
      </c>
      <c r="K663" s="36" t="s">
        <v>176</v>
      </c>
      <c r="L663" s="39"/>
    </row>
    <row r="664" spans="1:12" x14ac:dyDescent="0.35">
      <c r="A664" s="34" t="str">
        <f t="shared" si="30"/>
        <v>DON-0660</v>
      </c>
      <c r="B664" s="35">
        <v>46080</v>
      </c>
      <c r="C664" s="36" t="s">
        <v>88</v>
      </c>
      <c r="D664" s="36" t="s">
        <v>89</v>
      </c>
      <c r="E664" s="36" t="s">
        <v>74</v>
      </c>
      <c r="F664" s="36" t="s">
        <v>90</v>
      </c>
      <c r="G664" s="37">
        <v>40</v>
      </c>
      <c r="H664" s="66">
        <v>46266</v>
      </c>
      <c r="I664" s="38">
        <f t="shared" ca="1" si="31"/>
        <v>67</v>
      </c>
      <c r="J664" s="38" t="str">
        <f t="shared" ca="1" si="32"/>
        <v>OK</v>
      </c>
      <c r="K664" s="36" t="s">
        <v>180</v>
      </c>
      <c r="L664" s="39"/>
    </row>
    <row r="665" spans="1:12" x14ac:dyDescent="0.35">
      <c r="A665" s="34" t="str">
        <f t="shared" si="30"/>
        <v>DON-0661</v>
      </c>
      <c r="B665" s="35">
        <v>46080</v>
      </c>
      <c r="C665" s="36" t="s">
        <v>153</v>
      </c>
      <c r="D665" s="36" t="s">
        <v>154</v>
      </c>
      <c r="E665" s="36" t="s">
        <v>12</v>
      </c>
      <c r="F665" s="36" t="s">
        <v>155</v>
      </c>
      <c r="G665" s="37">
        <v>26</v>
      </c>
      <c r="H665" s="66">
        <v>46403</v>
      </c>
      <c r="I665" s="38">
        <f t="shared" ca="1" si="31"/>
        <v>204</v>
      </c>
      <c r="J665" s="38" t="str">
        <f t="shared" ca="1" si="32"/>
        <v>OK</v>
      </c>
      <c r="K665" s="36" t="s">
        <v>180</v>
      </c>
      <c r="L665" s="39"/>
    </row>
    <row r="666" spans="1:12" x14ac:dyDescent="0.35">
      <c r="A666" s="34" t="str">
        <f t="shared" si="30"/>
        <v>DON-0662</v>
      </c>
      <c r="B666" s="35">
        <v>46080</v>
      </c>
      <c r="C666" s="36" t="s">
        <v>59</v>
      </c>
      <c r="D666" s="36" t="s">
        <v>60</v>
      </c>
      <c r="E666" s="36" t="s">
        <v>53</v>
      </c>
      <c r="F666" s="36" t="s">
        <v>56</v>
      </c>
      <c r="G666" s="37">
        <v>103</v>
      </c>
      <c r="H666" s="66">
        <v>46459</v>
      </c>
      <c r="I666" s="38">
        <f t="shared" ca="1" si="31"/>
        <v>260</v>
      </c>
      <c r="J666" s="38" t="str">
        <f t="shared" ca="1" si="32"/>
        <v>OK</v>
      </c>
      <c r="K666" s="36" t="s">
        <v>180</v>
      </c>
      <c r="L666" s="39"/>
    </row>
    <row r="667" spans="1:12" x14ac:dyDescent="0.35">
      <c r="A667" s="34" t="str">
        <f t="shared" si="30"/>
        <v>DON-0663</v>
      </c>
      <c r="B667" s="35">
        <v>46081</v>
      </c>
      <c r="C667" s="36" t="s">
        <v>156</v>
      </c>
      <c r="D667" s="36" t="s">
        <v>11</v>
      </c>
      <c r="E667" s="36" t="s">
        <v>12</v>
      </c>
      <c r="F667" s="36" t="s">
        <v>155</v>
      </c>
      <c r="G667" s="37">
        <v>10</v>
      </c>
      <c r="H667" s="66">
        <v>46087</v>
      </c>
      <c r="I667" s="38">
        <f t="shared" ca="1" si="31"/>
        <v>-112</v>
      </c>
      <c r="J667" s="38" t="str">
        <f t="shared" ca="1" si="32"/>
        <v>EXPIRED</v>
      </c>
      <c r="K667" s="36" t="s">
        <v>179</v>
      </c>
      <c r="L667" s="39"/>
    </row>
    <row r="668" spans="1:12" x14ac:dyDescent="0.35">
      <c r="A668" s="34" t="str">
        <f t="shared" si="30"/>
        <v>DON-0664</v>
      </c>
      <c r="B668" s="35">
        <v>46081</v>
      </c>
      <c r="C668" s="36" t="s">
        <v>141</v>
      </c>
      <c r="D668" s="36" t="s">
        <v>142</v>
      </c>
      <c r="E668" s="36" t="s">
        <v>8</v>
      </c>
      <c r="F668" s="36" t="s">
        <v>143</v>
      </c>
      <c r="G668" s="37">
        <v>12</v>
      </c>
      <c r="H668" s="66">
        <v>46100</v>
      </c>
      <c r="I668" s="38">
        <f t="shared" ca="1" si="31"/>
        <v>-99</v>
      </c>
      <c r="J668" s="38" t="str">
        <f t="shared" ca="1" si="32"/>
        <v>EXPIRED</v>
      </c>
      <c r="K668" s="36" t="s">
        <v>179</v>
      </c>
      <c r="L668" s="39"/>
    </row>
    <row r="669" spans="1:12" x14ac:dyDescent="0.35">
      <c r="A669" s="34" t="str">
        <f t="shared" si="30"/>
        <v>DON-0665</v>
      </c>
      <c r="B669" s="35">
        <v>46081</v>
      </c>
      <c r="C669" s="36" t="s">
        <v>86</v>
      </c>
      <c r="D669" s="36" t="s">
        <v>87</v>
      </c>
      <c r="E669" s="36" t="s">
        <v>74</v>
      </c>
      <c r="F669" s="36" t="s">
        <v>75</v>
      </c>
      <c r="G669" s="37">
        <v>51</v>
      </c>
      <c r="H669" s="66">
        <v>46441</v>
      </c>
      <c r="I669" s="38">
        <f t="shared" ca="1" si="31"/>
        <v>242</v>
      </c>
      <c r="J669" s="38" t="str">
        <f t="shared" ca="1" si="32"/>
        <v>OK</v>
      </c>
      <c r="K669" s="36" t="s">
        <v>179</v>
      </c>
      <c r="L669" s="39"/>
    </row>
    <row r="670" spans="1:12" x14ac:dyDescent="0.35">
      <c r="A670" s="34" t="str">
        <f t="shared" si="30"/>
        <v>DON-0666</v>
      </c>
      <c r="B670" s="35">
        <v>46081</v>
      </c>
      <c r="C670" s="36" t="s">
        <v>81</v>
      </c>
      <c r="D670" s="36" t="s">
        <v>82</v>
      </c>
      <c r="E670" s="36" t="s">
        <v>74</v>
      </c>
      <c r="F670" s="36" t="s">
        <v>80</v>
      </c>
      <c r="G670" s="37">
        <v>30</v>
      </c>
      <c r="H670" s="66">
        <v>46702</v>
      </c>
      <c r="I670" s="38">
        <f t="shared" ca="1" si="31"/>
        <v>503</v>
      </c>
      <c r="J670" s="38" t="str">
        <f t="shared" ca="1" si="32"/>
        <v>OK</v>
      </c>
      <c r="K670" s="36" t="s">
        <v>179</v>
      </c>
      <c r="L670" s="39"/>
    </row>
    <row r="671" spans="1:12" x14ac:dyDescent="0.35">
      <c r="A671" s="34" t="str">
        <f t="shared" si="30"/>
        <v>DON-0667</v>
      </c>
      <c r="B671" s="35">
        <v>46081</v>
      </c>
      <c r="C671" s="36" t="s">
        <v>161</v>
      </c>
      <c r="D671" s="36" t="s">
        <v>162</v>
      </c>
      <c r="E671" s="36" t="s">
        <v>159</v>
      </c>
      <c r="F671" s="36" t="s">
        <v>163</v>
      </c>
      <c r="G671" s="37">
        <v>23</v>
      </c>
      <c r="H671" s="66">
        <v>46752</v>
      </c>
      <c r="I671" s="38">
        <f t="shared" ca="1" si="31"/>
        <v>553</v>
      </c>
      <c r="J671" s="38" t="str">
        <f t="shared" ca="1" si="32"/>
        <v>OK</v>
      </c>
      <c r="K671" s="36" t="s">
        <v>179</v>
      </c>
      <c r="L671" s="39"/>
    </row>
    <row r="672" spans="1:12" x14ac:dyDescent="0.35">
      <c r="A672" s="34" t="str">
        <f t="shared" si="30"/>
        <v>DON-0668</v>
      </c>
      <c r="B672" s="35">
        <v>46081</v>
      </c>
      <c r="C672" s="36" t="s">
        <v>64</v>
      </c>
      <c r="D672" s="36" t="s">
        <v>65</v>
      </c>
      <c r="E672" s="36" t="s">
        <v>66</v>
      </c>
      <c r="F672" s="36" t="s">
        <v>42</v>
      </c>
      <c r="G672" s="37">
        <v>29</v>
      </c>
      <c r="H672" s="66">
        <v>47033</v>
      </c>
      <c r="I672" s="38">
        <f t="shared" ca="1" si="31"/>
        <v>834</v>
      </c>
      <c r="J672" s="38" t="str">
        <f t="shared" ca="1" si="32"/>
        <v>OK</v>
      </c>
      <c r="K672" s="36" t="s">
        <v>179</v>
      </c>
      <c r="L672" s="39"/>
    </row>
    <row r="673" spans="1:12" x14ac:dyDescent="0.35">
      <c r="A673" s="34" t="str">
        <f t="shared" si="30"/>
        <v>DON-0669</v>
      </c>
      <c r="B673" s="35">
        <v>46085</v>
      </c>
      <c r="C673" s="36" t="s">
        <v>132</v>
      </c>
      <c r="D673" s="36" t="s">
        <v>133</v>
      </c>
      <c r="E673" s="36" t="s">
        <v>10</v>
      </c>
      <c r="F673" s="36" t="s">
        <v>134</v>
      </c>
      <c r="G673" s="37">
        <v>34</v>
      </c>
      <c r="H673" s="66">
        <v>46124</v>
      </c>
      <c r="I673" s="38">
        <f t="shared" ca="1" si="31"/>
        <v>-75</v>
      </c>
      <c r="J673" s="38" t="str">
        <f t="shared" ca="1" si="32"/>
        <v>EXPIRED</v>
      </c>
      <c r="K673" s="36" t="s">
        <v>175</v>
      </c>
      <c r="L673" s="39"/>
    </row>
    <row r="674" spans="1:12" x14ac:dyDescent="0.35">
      <c r="A674" s="34" t="str">
        <f t="shared" si="30"/>
        <v>DON-0670</v>
      </c>
      <c r="B674" s="35">
        <v>46085</v>
      </c>
      <c r="C674" s="36" t="s">
        <v>83</v>
      </c>
      <c r="D674" s="36" t="s">
        <v>84</v>
      </c>
      <c r="E674" s="36" t="s">
        <v>74</v>
      </c>
      <c r="F674" s="36" t="s">
        <v>85</v>
      </c>
      <c r="G674" s="37">
        <v>41</v>
      </c>
      <c r="H674" s="66">
        <v>46309</v>
      </c>
      <c r="I674" s="38">
        <f t="shared" ca="1" si="31"/>
        <v>110</v>
      </c>
      <c r="J674" s="38" t="str">
        <f t="shared" ca="1" si="32"/>
        <v>OK</v>
      </c>
      <c r="K674" s="36" t="s">
        <v>175</v>
      </c>
      <c r="L674" s="39"/>
    </row>
    <row r="675" spans="1:12" x14ac:dyDescent="0.35">
      <c r="A675" s="34" t="str">
        <f t="shared" si="30"/>
        <v>DON-0671</v>
      </c>
      <c r="B675" s="35">
        <v>46085</v>
      </c>
      <c r="C675" s="36" t="s">
        <v>88</v>
      </c>
      <c r="D675" s="36" t="s">
        <v>89</v>
      </c>
      <c r="E675" s="36" t="s">
        <v>74</v>
      </c>
      <c r="F675" s="36" t="s">
        <v>90</v>
      </c>
      <c r="G675" s="37">
        <v>61</v>
      </c>
      <c r="H675" s="66">
        <v>46325</v>
      </c>
      <c r="I675" s="38">
        <f t="shared" ca="1" si="31"/>
        <v>126</v>
      </c>
      <c r="J675" s="38" t="str">
        <f t="shared" ca="1" si="32"/>
        <v>OK</v>
      </c>
      <c r="K675" s="36" t="s">
        <v>175</v>
      </c>
      <c r="L675" s="39"/>
    </row>
    <row r="676" spans="1:12" x14ac:dyDescent="0.35">
      <c r="A676" s="34" t="str">
        <f t="shared" si="30"/>
        <v>DON-0672</v>
      </c>
      <c r="B676" s="35">
        <v>46085</v>
      </c>
      <c r="C676" s="36" t="s">
        <v>72</v>
      </c>
      <c r="D676" s="36" t="s">
        <v>73</v>
      </c>
      <c r="E676" s="36" t="s">
        <v>74</v>
      </c>
      <c r="F676" s="36" t="s">
        <v>75</v>
      </c>
      <c r="G676" s="37">
        <v>64</v>
      </c>
      <c r="H676" s="66">
        <v>46333</v>
      </c>
      <c r="I676" s="38">
        <f t="shared" ca="1" si="31"/>
        <v>134</v>
      </c>
      <c r="J676" s="38" t="str">
        <f t="shared" ca="1" si="32"/>
        <v>OK</v>
      </c>
      <c r="K676" s="36" t="s">
        <v>175</v>
      </c>
      <c r="L676" s="39"/>
    </row>
    <row r="677" spans="1:12" x14ac:dyDescent="0.35">
      <c r="A677" s="34" t="str">
        <f t="shared" si="30"/>
        <v>DON-0673</v>
      </c>
      <c r="B677" s="35">
        <v>46085</v>
      </c>
      <c r="C677" s="36" t="s">
        <v>78</v>
      </c>
      <c r="D677" s="36" t="s">
        <v>79</v>
      </c>
      <c r="E677" s="36" t="s">
        <v>74</v>
      </c>
      <c r="F677" s="36" t="s">
        <v>80</v>
      </c>
      <c r="G677" s="37">
        <v>63</v>
      </c>
      <c r="H677" s="66">
        <v>46359</v>
      </c>
      <c r="I677" s="38">
        <f t="shared" ca="1" si="31"/>
        <v>160</v>
      </c>
      <c r="J677" s="38" t="str">
        <f t="shared" ca="1" si="32"/>
        <v>OK</v>
      </c>
      <c r="K677" s="36" t="s">
        <v>175</v>
      </c>
      <c r="L677" s="39"/>
    </row>
    <row r="678" spans="1:12" x14ac:dyDescent="0.35">
      <c r="A678" s="34" t="str">
        <f t="shared" si="30"/>
        <v>DON-0674</v>
      </c>
      <c r="B678" s="35">
        <v>46085</v>
      </c>
      <c r="C678" s="36" t="s">
        <v>109</v>
      </c>
      <c r="D678" s="36" t="s">
        <v>110</v>
      </c>
      <c r="E678" s="36" t="s">
        <v>102</v>
      </c>
      <c r="F678" s="36" t="s">
        <v>42</v>
      </c>
      <c r="G678" s="37">
        <v>54</v>
      </c>
      <c r="H678" s="66">
        <v>46818</v>
      </c>
      <c r="I678" s="38">
        <f t="shared" ca="1" si="31"/>
        <v>619</v>
      </c>
      <c r="J678" s="38" t="str">
        <f t="shared" ca="1" si="32"/>
        <v>OK</v>
      </c>
      <c r="K678" s="36" t="s">
        <v>175</v>
      </c>
      <c r="L678" s="39"/>
    </row>
    <row r="679" spans="1:12" x14ac:dyDescent="0.35">
      <c r="A679" s="34" t="str">
        <f t="shared" si="30"/>
        <v>DON-0675</v>
      </c>
      <c r="B679" s="35">
        <v>46089</v>
      </c>
      <c r="C679" s="36" t="s">
        <v>137</v>
      </c>
      <c r="D679" s="36" t="s">
        <v>15</v>
      </c>
      <c r="E679" s="36" t="s">
        <v>6</v>
      </c>
      <c r="F679" s="36" t="s">
        <v>136</v>
      </c>
      <c r="G679" s="37">
        <v>37</v>
      </c>
      <c r="H679" s="66">
        <v>46091</v>
      </c>
      <c r="I679" s="38">
        <f t="shared" ca="1" si="31"/>
        <v>-108</v>
      </c>
      <c r="J679" s="38" t="str">
        <f t="shared" ca="1" si="32"/>
        <v>EXPIRED</v>
      </c>
      <c r="K679" s="36" t="s">
        <v>180</v>
      </c>
      <c r="L679" s="39"/>
    </row>
    <row r="680" spans="1:12" x14ac:dyDescent="0.35">
      <c r="A680" s="34" t="str">
        <f t="shared" si="30"/>
        <v>DON-0676</v>
      </c>
      <c r="B680" s="35">
        <v>46089</v>
      </c>
      <c r="C680" s="36" t="s">
        <v>138</v>
      </c>
      <c r="D680" s="36" t="s">
        <v>139</v>
      </c>
      <c r="E680" s="36" t="s">
        <v>6</v>
      </c>
      <c r="F680" s="36" t="s">
        <v>140</v>
      </c>
      <c r="G680" s="37">
        <v>32</v>
      </c>
      <c r="H680" s="66">
        <v>46102</v>
      </c>
      <c r="I680" s="38">
        <f t="shared" ca="1" si="31"/>
        <v>-97</v>
      </c>
      <c r="J680" s="38" t="str">
        <f t="shared" ca="1" si="32"/>
        <v>EXPIRED</v>
      </c>
      <c r="K680" s="36" t="s">
        <v>180</v>
      </c>
      <c r="L680" s="39"/>
    </row>
    <row r="681" spans="1:12" x14ac:dyDescent="0.35">
      <c r="A681" s="34" t="str">
        <f t="shared" si="30"/>
        <v>DON-0677</v>
      </c>
      <c r="B681" s="35">
        <v>46089</v>
      </c>
      <c r="C681" s="36" t="s">
        <v>100</v>
      </c>
      <c r="D681" s="36" t="s">
        <v>101</v>
      </c>
      <c r="E681" s="36" t="s">
        <v>102</v>
      </c>
      <c r="F681" s="36" t="s">
        <v>103</v>
      </c>
      <c r="G681" s="37">
        <v>48</v>
      </c>
      <c r="H681" s="66">
        <v>46597</v>
      </c>
      <c r="I681" s="38">
        <f t="shared" ca="1" si="31"/>
        <v>398</v>
      </c>
      <c r="J681" s="38" t="str">
        <f t="shared" ca="1" si="32"/>
        <v>OK</v>
      </c>
      <c r="K681" s="36" t="s">
        <v>180</v>
      </c>
      <c r="L681" s="39"/>
    </row>
    <row r="682" spans="1:12" x14ac:dyDescent="0.35">
      <c r="A682" s="34" t="str">
        <f t="shared" si="30"/>
        <v>DON-0678</v>
      </c>
      <c r="B682" s="35">
        <v>46089</v>
      </c>
      <c r="C682" s="36" t="s">
        <v>106</v>
      </c>
      <c r="D682" s="36" t="s">
        <v>107</v>
      </c>
      <c r="E682" s="36" t="s">
        <v>102</v>
      </c>
      <c r="F682" s="36" t="s">
        <v>108</v>
      </c>
      <c r="G682" s="37">
        <v>70</v>
      </c>
      <c r="H682" s="66">
        <v>46708</v>
      </c>
      <c r="I682" s="38">
        <f t="shared" ca="1" si="31"/>
        <v>509</v>
      </c>
      <c r="J682" s="38" t="str">
        <f t="shared" ca="1" si="32"/>
        <v>OK</v>
      </c>
      <c r="K682" s="36" t="s">
        <v>180</v>
      </c>
      <c r="L682" s="39"/>
    </row>
    <row r="683" spans="1:12" x14ac:dyDescent="0.35">
      <c r="A683" s="34" t="str">
        <f t="shared" si="30"/>
        <v>DON-0679</v>
      </c>
      <c r="B683" s="35">
        <v>46090</v>
      </c>
      <c r="C683" s="36" t="s">
        <v>137</v>
      </c>
      <c r="D683" s="36" t="s">
        <v>15</v>
      </c>
      <c r="E683" s="36" t="s">
        <v>6</v>
      </c>
      <c r="F683" s="36" t="s">
        <v>136</v>
      </c>
      <c r="G683" s="37">
        <v>38</v>
      </c>
      <c r="H683" s="66">
        <v>46095</v>
      </c>
      <c r="I683" s="38">
        <f t="shared" ca="1" si="31"/>
        <v>-104</v>
      </c>
      <c r="J683" s="38" t="str">
        <f t="shared" ca="1" si="32"/>
        <v>EXPIRED</v>
      </c>
      <c r="K683" s="36" t="s">
        <v>182</v>
      </c>
      <c r="L683" s="39"/>
    </row>
    <row r="684" spans="1:12" x14ac:dyDescent="0.35">
      <c r="A684" s="34" t="str">
        <f t="shared" si="30"/>
        <v>DON-0680</v>
      </c>
      <c r="B684" s="35">
        <v>46090</v>
      </c>
      <c r="C684" s="36" t="s">
        <v>130</v>
      </c>
      <c r="D684" s="36" t="s">
        <v>16</v>
      </c>
      <c r="E684" s="36" t="s">
        <v>10</v>
      </c>
      <c r="F684" s="36" t="s">
        <v>131</v>
      </c>
      <c r="G684" s="37">
        <v>38</v>
      </c>
      <c r="H684" s="66">
        <v>46117</v>
      </c>
      <c r="I684" s="38">
        <f t="shared" ca="1" si="31"/>
        <v>-82</v>
      </c>
      <c r="J684" s="38" t="str">
        <f t="shared" ca="1" si="32"/>
        <v>EXPIRED</v>
      </c>
      <c r="K684" s="36" t="s">
        <v>178</v>
      </c>
      <c r="L684" s="39"/>
    </row>
    <row r="685" spans="1:12" x14ac:dyDescent="0.35">
      <c r="A685" s="34" t="str">
        <f t="shared" si="30"/>
        <v>DON-0681</v>
      </c>
      <c r="B685" s="35">
        <v>46090</v>
      </c>
      <c r="C685" s="36" t="s">
        <v>114</v>
      </c>
      <c r="D685" s="36" t="s">
        <v>13</v>
      </c>
      <c r="E685" s="36" t="s">
        <v>14</v>
      </c>
      <c r="F685" s="36" t="s">
        <v>115</v>
      </c>
      <c r="G685" s="37">
        <v>27</v>
      </c>
      <c r="H685" s="66">
        <v>46231</v>
      </c>
      <c r="I685" s="38">
        <f t="shared" ca="1" si="31"/>
        <v>32</v>
      </c>
      <c r="J685" s="38" t="str">
        <f t="shared" ca="1" si="32"/>
        <v>OK</v>
      </c>
      <c r="K685" s="36" t="s">
        <v>182</v>
      </c>
      <c r="L685" s="39"/>
    </row>
    <row r="686" spans="1:12" x14ac:dyDescent="0.35">
      <c r="A686" s="34" t="str">
        <f t="shared" si="30"/>
        <v>DON-0682</v>
      </c>
      <c r="B686" s="35">
        <v>46090</v>
      </c>
      <c r="C686" s="36" t="s">
        <v>153</v>
      </c>
      <c r="D686" s="36" t="s">
        <v>154</v>
      </c>
      <c r="E686" s="36" t="s">
        <v>12</v>
      </c>
      <c r="F686" s="36" t="s">
        <v>155</v>
      </c>
      <c r="G686" s="37">
        <v>35</v>
      </c>
      <c r="H686" s="66">
        <v>46406</v>
      </c>
      <c r="I686" s="38">
        <f t="shared" ca="1" si="31"/>
        <v>207</v>
      </c>
      <c r="J686" s="38" t="str">
        <f t="shared" ca="1" si="32"/>
        <v>OK</v>
      </c>
      <c r="K686" s="36" t="s">
        <v>182</v>
      </c>
      <c r="L686" s="39"/>
    </row>
    <row r="687" spans="1:12" x14ac:dyDescent="0.35">
      <c r="A687" s="34" t="str">
        <f t="shared" si="30"/>
        <v>DON-0683</v>
      </c>
      <c r="B687" s="35">
        <v>46090</v>
      </c>
      <c r="C687" s="36" t="s">
        <v>81</v>
      </c>
      <c r="D687" s="36" t="s">
        <v>82</v>
      </c>
      <c r="E687" s="36" t="s">
        <v>74</v>
      </c>
      <c r="F687" s="36" t="s">
        <v>80</v>
      </c>
      <c r="G687" s="37">
        <v>50</v>
      </c>
      <c r="H687" s="66">
        <v>46643</v>
      </c>
      <c r="I687" s="38">
        <f t="shared" ca="1" si="31"/>
        <v>444</v>
      </c>
      <c r="J687" s="38" t="str">
        <f t="shared" ca="1" si="32"/>
        <v>OK</v>
      </c>
      <c r="K687" s="36" t="s">
        <v>182</v>
      </c>
      <c r="L687" s="39"/>
    </row>
    <row r="688" spans="1:12" x14ac:dyDescent="0.35">
      <c r="A688" s="34" t="str">
        <f t="shared" si="30"/>
        <v>DON-0684</v>
      </c>
      <c r="B688" s="35">
        <v>46090</v>
      </c>
      <c r="C688" s="36" t="s">
        <v>40</v>
      </c>
      <c r="D688" s="36" t="s">
        <v>41</v>
      </c>
      <c r="E688" s="36" t="s">
        <v>31</v>
      </c>
      <c r="F688" s="36" t="s">
        <v>42</v>
      </c>
      <c r="G688" s="37">
        <v>49</v>
      </c>
      <c r="H688" s="66">
        <v>46790</v>
      </c>
      <c r="I688" s="38">
        <f t="shared" ca="1" si="31"/>
        <v>591</v>
      </c>
      <c r="J688" s="38" t="str">
        <f t="shared" ca="1" si="32"/>
        <v>OK</v>
      </c>
      <c r="K688" s="36" t="s">
        <v>178</v>
      </c>
      <c r="L688" s="39"/>
    </row>
    <row r="689" spans="1:12" x14ac:dyDescent="0.35">
      <c r="A689" s="34" t="str">
        <f t="shared" si="30"/>
        <v>DON-0685</v>
      </c>
      <c r="B689" s="35">
        <v>46090</v>
      </c>
      <c r="C689" s="36" t="s">
        <v>57</v>
      </c>
      <c r="D689" s="36" t="s">
        <v>58</v>
      </c>
      <c r="E689" s="36" t="s">
        <v>53</v>
      </c>
      <c r="F689" s="36" t="s">
        <v>42</v>
      </c>
      <c r="G689" s="37">
        <v>107</v>
      </c>
      <c r="H689" s="66">
        <v>46995</v>
      </c>
      <c r="I689" s="38">
        <f t="shared" ca="1" si="31"/>
        <v>796</v>
      </c>
      <c r="J689" s="38" t="str">
        <f t="shared" ca="1" si="32"/>
        <v>OK</v>
      </c>
      <c r="K689" s="36" t="s">
        <v>182</v>
      </c>
      <c r="L689" s="39"/>
    </row>
    <row r="690" spans="1:12" x14ac:dyDescent="0.35">
      <c r="A690" s="34" t="str">
        <f t="shared" si="30"/>
        <v>DON-0686</v>
      </c>
      <c r="B690" s="35">
        <v>46090</v>
      </c>
      <c r="C690" s="36" t="s">
        <v>51</v>
      </c>
      <c r="D690" s="36" t="s">
        <v>52</v>
      </c>
      <c r="E690" s="36" t="s">
        <v>53</v>
      </c>
      <c r="F690" s="36" t="s">
        <v>42</v>
      </c>
      <c r="G690" s="37">
        <v>72</v>
      </c>
      <c r="H690" s="66">
        <v>47004</v>
      </c>
      <c r="I690" s="38">
        <f t="shared" ca="1" si="31"/>
        <v>805</v>
      </c>
      <c r="J690" s="38" t="str">
        <f t="shared" ca="1" si="32"/>
        <v>OK</v>
      </c>
      <c r="K690" s="36" t="s">
        <v>178</v>
      </c>
      <c r="L690" s="39"/>
    </row>
    <row r="691" spans="1:12" x14ac:dyDescent="0.35">
      <c r="A691" s="34" t="str">
        <f t="shared" si="30"/>
        <v>DON-0687</v>
      </c>
      <c r="B691" s="35">
        <v>46090</v>
      </c>
      <c r="C691" s="36" t="s">
        <v>54</v>
      </c>
      <c r="D691" s="36" t="s">
        <v>55</v>
      </c>
      <c r="E691" s="36" t="s">
        <v>53</v>
      </c>
      <c r="F691" s="36" t="s">
        <v>56</v>
      </c>
      <c r="G691" s="37">
        <v>77</v>
      </c>
      <c r="H691" s="66">
        <v>47065</v>
      </c>
      <c r="I691" s="38">
        <f t="shared" ca="1" si="31"/>
        <v>866</v>
      </c>
      <c r="J691" s="38" t="str">
        <f t="shared" ca="1" si="32"/>
        <v>OK</v>
      </c>
      <c r="K691" s="36" t="s">
        <v>182</v>
      </c>
      <c r="L691" s="39"/>
    </row>
    <row r="692" spans="1:12" x14ac:dyDescent="0.35">
      <c r="A692" s="34" t="str">
        <f t="shared" si="30"/>
        <v>DON-0688</v>
      </c>
      <c r="B692" s="35">
        <v>46090</v>
      </c>
      <c r="C692" s="36" t="s">
        <v>69</v>
      </c>
      <c r="D692" s="36" t="s">
        <v>70</v>
      </c>
      <c r="E692" s="36" t="s">
        <v>66</v>
      </c>
      <c r="F692" s="36" t="s">
        <v>71</v>
      </c>
      <c r="G692" s="37">
        <v>83</v>
      </c>
      <c r="H692" s="66">
        <v>47135</v>
      </c>
      <c r="I692" s="38">
        <f t="shared" ca="1" si="31"/>
        <v>936</v>
      </c>
      <c r="J692" s="38" t="str">
        <f t="shared" ca="1" si="32"/>
        <v>OK</v>
      </c>
      <c r="K692" s="36" t="s">
        <v>182</v>
      </c>
      <c r="L692" s="39"/>
    </row>
    <row r="693" spans="1:12" x14ac:dyDescent="0.35">
      <c r="A693" s="34" t="str">
        <f t="shared" si="30"/>
        <v>DON-0689</v>
      </c>
      <c r="B693" s="35">
        <v>46090</v>
      </c>
      <c r="C693" s="36" t="s">
        <v>94</v>
      </c>
      <c r="D693" s="36" t="s">
        <v>95</v>
      </c>
      <c r="E693" s="36" t="s">
        <v>93</v>
      </c>
      <c r="F693" s="36" t="s">
        <v>96</v>
      </c>
      <c r="G693" s="37">
        <v>34</v>
      </c>
      <c r="H693" s="66">
        <v>46390</v>
      </c>
      <c r="I693" s="38">
        <f t="shared" ca="1" si="31"/>
        <v>191</v>
      </c>
      <c r="J693" s="38" t="str">
        <f t="shared" ca="1" si="32"/>
        <v>OK</v>
      </c>
      <c r="K693" s="36" t="s">
        <v>182</v>
      </c>
      <c r="L693" s="39"/>
    </row>
    <row r="694" spans="1:12" x14ac:dyDescent="0.35">
      <c r="A694" s="34" t="str">
        <f t="shared" si="30"/>
        <v>DON-0690</v>
      </c>
      <c r="B694" s="35">
        <v>46092</v>
      </c>
      <c r="C694" s="36" t="s">
        <v>132</v>
      </c>
      <c r="D694" s="36" t="s">
        <v>133</v>
      </c>
      <c r="E694" s="36" t="s">
        <v>10</v>
      </c>
      <c r="F694" s="36" t="s">
        <v>134</v>
      </c>
      <c r="G694" s="37">
        <v>29</v>
      </c>
      <c r="H694" s="66">
        <v>46141</v>
      </c>
      <c r="I694" s="38">
        <f t="shared" ca="1" si="31"/>
        <v>-58</v>
      </c>
      <c r="J694" s="38" t="str">
        <f t="shared" ca="1" si="32"/>
        <v>EXPIRED</v>
      </c>
      <c r="K694" s="36" t="s">
        <v>180</v>
      </c>
      <c r="L694" s="39"/>
    </row>
    <row r="695" spans="1:12" x14ac:dyDescent="0.35">
      <c r="A695" s="34" t="str">
        <f t="shared" si="30"/>
        <v>DON-0691</v>
      </c>
      <c r="B695" s="35">
        <v>46092</v>
      </c>
      <c r="C695" s="36" t="s">
        <v>120</v>
      </c>
      <c r="D695" s="36" t="s">
        <v>121</v>
      </c>
      <c r="E695" s="36" t="s">
        <v>14</v>
      </c>
      <c r="F695" s="36" t="s">
        <v>119</v>
      </c>
      <c r="G695" s="37">
        <v>24</v>
      </c>
      <c r="H695" s="66">
        <v>46314</v>
      </c>
      <c r="I695" s="38">
        <f t="shared" ca="1" si="31"/>
        <v>115</v>
      </c>
      <c r="J695" s="38" t="str">
        <f t="shared" ca="1" si="32"/>
        <v>OK</v>
      </c>
      <c r="K695" s="36" t="s">
        <v>180</v>
      </c>
      <c r="L695" s="39"/>
    </row>
    <row r="696" spans="1:12" x14ac:dyDescent="0.35">
      <c r="A696" s="34" t="str">
        <f t="shared" si="30"/>
        <v>DON-0692</v>
      </c>
      <c r="B696" s="35">
        <v>46092</v>
      </c>
      <c r="C696" s="36" t="s">
        <v>117</v>
      </c>
      <c r="D696" s="36" t="s">
        <v>118</v>
      </c>
      <c r="E696" s="36" t="s">
        <v>14</v>
      </c>
      <c r="F696" s="36" t="s">
        <v>119</v>
      </c>
      <c r="G696" s="37">
        <v>21</v>
      </c>
      <c r="H696" s="66">
        <v>46356</v>
      </c>
      <c r="I696" s="38">
        <f t="shared" ca="1" si="31"/>
        <v>157</v>
      </c>
      <c r="J696" s="38" t="str">
        <f t="shared" ca="1" si="32"/>
        <v>OK</v>
      </c>
      <c r="K696" s="36" t="s">
        <v>180</v>
      </c>
      <c r="L696" s="39"/>
    </row>
    <row r="697" spans="1:12" x14ac:dyDescent="0.35">
      <c r="A697" s="34" t="str">
        <f t="shared" si="30"/>
        <v>DON-0693</v>
      </c>
      <c r="B697" s="35">
        <v>46092</v>
      </c>
      <c r="C697" s="36" t="s">
        <v>109</v>
      </c>
      <c r="D697" s="36" t="s">
        <v>110</v>
      </c>
      <c r="E697" s="36" t="s">
        <v>102</v>
      </c>
      <c r="F697" s="36" t="s">
        <v>42</v>
      </c>
      <c r="G697" s="37">
        <v>53</v>
      </c>
      <c r="H697" s="66">
        <v>46460</v>
      </c>
      <c r="I697" s="38">
        <f t="shared" ca="1" si="31"/>
        <v>261</v>
      </c>
      <c r="J697" s="38" t="str">
        <f t="shared" ca="1" si="32"/>
        <v>OK</v>
      </c>
      <c r="K697" s="36" t="s">
        <v>180</v>
      </c>
      <c r="L697" s="39"/>
    </row>
    <row r="698" spans="1:12" x14ac:dyDescent="0.35">
      <c r="A698" s="34" t="str">
        <f t="shared" si="30"/>
        <v>DON-0694</v>
      </c>
      <c r="B698" s="35">
        <v>46092</v>
      </c>
      <c r="C698" s="36" t="s">
        <v>54</v>
      </c>
      <c r="D698" s="36" t="s">
        <v>55</v>
      </c>
      <c r="E698" s="36" t="s">
        <v>53</v>
      </c>
      <c r="F698" s="36" t="s">
        <v>56</v>
      </c>
      <c r="G698" s="37">
        <v>87</v>
      </c>
      <c r="H698" s="66">
        <v>46522</v>
      </c>
      <c r="I698" s="38">
        <f t="shared" ca="1" si="31"/>
        <v>323</v>
      </c>
      <c r="J698" s="38" t="str">
        <f t="shared" ca="1" si="32"/>
        <v>OK</v>
      </c>
      <c r="K698" s="36" t="s">
        <v>180</v>
      </c>
      <c r="L698" s="39"/>
    </row>
    <row r="699" spans="1:12" x14ac:dyDescent="0.35">
      <c r="A699" s="34" t="str">
        <f t="shared" si="30"/>
        <v>DON-0695</v>
      </c>
      <c r="B699" s="35">
        <v>46092</v>
      </c>
      <c r="C699" s="36" t="s">
        <v>46</v>
      </c>
      <c r="D699" s="36" t="s">
        <v>47</v>
      </c>
      <c r="E699" s="36" t="s">
        <v>31</v>
      </c>
      <c r="F699" s="36" t="s">
        <v>42</v>
      </c>
      <c r="G699" s="37">
        <v>75</v>
      </c>
      <c r="H699" s="66">
        <v>46772</v>
      </c>
      <c r="I699" s="38">
        <f t="shared" ca="1" si="31"/>
        <v>573</v>
      </c>
      <c r="J699" s="38" t="str">
        <f t="shared" ca="1" si="32"/>
        <v>OK</v>
      </c>
      <c r="K699" s="36" t="s">
        <v>180</v>
      </c>
      <c r="L699" s="39"/>
    </row>
    <row r="700" spans="1:12" x14ac:dyDescent="0.35">
      <c r="A700" s="34" t="str">
        <f t="shared" si="30"/>
        <v>DON-0696</v>
      </c>
      <c r="B700" s="35">
        <v>46092</v>
      </c>
      <c r="C700" s="36" t="s">
        <v>111</v>
      </c>
      <c r="D700" s="36" t="s">
        <v>112</v>
      </c>
      <c r="E700" s="36" t="s">
        <v>102</v>
      </c>
      <c r="F700" s="36" t="s">
        <v>113</v>
      </c>
      <c r="G700" s="37">
        <v>39</v>
      </c>
      <c r="H700" s="66">
        <v>46890</v>
      </c>
      <c r="I700" s="38">
        <f t="shared" ca="1" si="31"/>
        <v>691</v>
      </c>
      <c r="J700" s="38" t="str">
        <f t="shared" ca="1" si="32"/>
        <v>OK</v>
      </c>
      <c r="K700" s="36" t="s">
        <v>180</v>
      </c>
      <c r="L700" s="39"/>
    </row>
    <row r="701" spans="1:12" x14ac:dyDescent="0.35">
      <c r="A701" s="34" t="str">
        <f t="shared" si="30"/>
        <v>DON-0697</v>
      </c>
      <c r="B701" s="35">
        <v>46092</v>
      </c>
      <c r="C701" s="36" t="s">
        <v>40</v>
      </c>
      <c r="D701" s="36" t="s">
        <v>41</v>
      </c>
      <c r="E701" s="36" t="s">
        <v>31</v>
      </c>
      <c r="F701" s="36" t="s">
        <v>42</v>
      </c>
      <c r="G701" s="37">
        <v>99</v>
      </c>
      <c r="H701" s="66">
        <v>47049</v>
      </c>
      <c r="I701" s="38">
        <f t="shared" ca="1" si="31"/>
        <v>850</v>
      </c>
      <c r="J701" s="38" t="str">
        <f t="shared" ca="1" si="32"/>
        <v>OK</v>
      </c>
      <c r="K701" s="36" t="s">
        <v>180</v>
      </c>
      <c r="L701" s="39"/>
    </row>
    <row r="702" spans="1:12" x14ac:dyDescent="0.35">
      <c r="A702" s="34" t="str">
        <f t="shared" si="30"/>
        <v>DON-0698</v>
      </c>
      <c r="B702" s="35">
        <v>46094</v>
      </c>
      <c r="C702" s="36" t="s">
        <v>97</v>
      </c>
      <c r="D702" s="36" t="s">
        <v>98</v>
      </c>
      <c r="E702" s="36" t="s">
        <v>93</v>
      </c>
      <c r="F702" s="36" t="s">
        <v>99</v>
      </c>
      <c r="G702" s="37">
        <v>57</v>
      </c>
      <c r="H702" s="66">
        <v>46267</v>
      </c>
      <c r="I702" s="38">
        <f t="shared" ca="1" si="31"/>
        <v>68</v>
      </c>
      <c r="J702" s="38" t="str">
        <f t="shared" ca="1" si="32"/>
        <v>OK</v>
      </c>
      <c r="K702" s="36" t="s">
        <v>179</v>
      </c>
      <c r="L702" s="39"/>
    </row>
    <row r="703" spans="1:12" x14ac:dyDescent="0.35">
      <c r="A703" s="34" t="str">
        <f t="shared" si="30"/>
        <v>DON-0699</v>
      </c>
      <c r="B703" s="35">
        <v>46094</v>
      </c>
      <c r="C703" s="36" t="s">
        <v>153</v>
      </c>
      <c r="D703" s="36" t="s">
        <v>154</v>
      </c>
      <c r="E703" s="36" t="s">
        <v>12</v>
      </c>
      <c r="F703" s="36" t="s">
        <v>155</v>
      </c>
      <c r="G703" s="37">
        <v>22</v>
      </c>
      <c r="H703" s="66">
        <v>46285</v>
      </c>
      <c r="I703" s="38">
        <f t="shared" ca="1" si="31"/>
        <v>86</v>
      </c>
      <c r="J703" s="38" t="str">
        <f t="shared" ca="1" si="32"/>
        <v>OK</v>
      </c>
      <c r="K703" s="36" t="s">
        <v>179</v>
      </c>
      <c r="L703" s="39"/>
    </row>
    <row r="704" spans="1:12" x14ac:dyDescent="0.35">
      <c r="A704" s="34" t="str">
        <f t="shared" si="30"/>
        <v>DON-0700</v>
      </c>
      <c r="B704" s="35">
        <v>46094</v>
      </c>
      <c r="C704" s="36" t="s">
        <v>157</v>
      </c>
      <c r="D704" s="36" t="s">
        <v>158</v>
      </c>
      <c r="E704" s="36" t="s">
        <v>159</v>
      </c>
      <c r="F704" s="36" t="s">
        <v>160</v>
      </c>
      <c r="G704" s="37">
        <v>30</v>
      </c>
      <c r="H704" s="66">
        <v>46411</v>
      </c>
      <c r="I704" s="38">
        <f t="shared" ca="1" si="31"/>
        <v>212</v>
      </c>
      <c r="J704" s="38" t="str">
        <f t="shared" ca="1" si="32"/>
        <v>OK</v>
      </c>
      <c r="K704" s="36" t="s">
        <v>179</v>
      </c>
      <c r="L704" s="39"/>
    </row>
    <row r="705" spans="1:12" x14ac:dyDescent="0.35">
      <c r="A705" s="34" t="str">
        <f t="shared" si="30"/>
        <v>DON-0701</v>
      </c>
      <c r="B705" s="35">
        <v>46094</v>
      </c>
      <c r="C705" s="36" t="s">
        <v>72</v>
      </c>
      <c r="D705" s="36" t="s">
        <v>73</v>
      </c>
      <c r="E705" s="36" t="s">
        <v>74</v>
      </c>
      <c r="F705" s="36" t="s">
        <v>75</v>
      </c>
      <c r="G705" s="37">
        <v>28</v>
      </c>
      <c r="H705" s="66">
        <v>46641</v>
      </c>
      <c r="I705" s="38">
        <f t="shared" ca="1" si="31"/>
        <v>442</v>
      </c>
      <c r="J705" s="38" t="str">
        <f t="shared" ca="1" si="32"/>
        <v>OK</v>
      </c>
      <c r="K705" s="36" t="s">
        <v>179</v>
      </c>
      <c r="L705" s="39"/>
    </row>
    <row r="706" spans="1:12" x14ac:dyDescent="0.35">
      <c r="A706" s="34" t="str">
        <f t="shared" si="30"/>
        <v>DON-0702</v>
      </c>
      <c r="B706" s="35">
        <v>46094</v>
      </c>
      <c r="C706" s="36" t="s">
        <v>69</v>
      </c>
      <c r="D706" s="36" t="s">
        <v>70</v>
      </c>
      <c r="E706" s="36" t="s">
        <v>66</v>
      </c>
      <c r="F706" s="36" t="s">
        <v>71</v>
      </c>
      <c r="G706" s="37">
        <v>32</v>
      </c>
      <c r="H706" s="66">
        <v>46670</v>
      </c>
      <c r="I706" s="38">
        <f t="shared" ca="1" si="31"/>
        <v>471</v>
      </c>
      <c r="J706" s="38" t="str">
        <f t="shared" ca="1" si="32"/>
        <v>OK</v>
      </c>
      <c r="K706" s="36" t="s">
        <v>179</v>
      </c>
      <c r="L706" s="39"/>
    </row>
    <row r="707" spans="1:12" x14ac:dyDescent="0.35">
      <c r="A707" s="34" t="str">
        <f t="shared" si="30"/>
        <v>DON-0703</v>
      </c>
      <c r="B707" s="35">
        <v>46094</v>
      </c>
      <c r="C707" s="36" t="s">
        <v>125</v>
      </c>
      <c r="D707" s="36" t="s">
        <v>126</v>
      </c>
      <c r="E707" s="36" t="s">
        <v>14</v>
      </c>
      <c r="F707" s="36" t="s">
        <v>127</v>
      </c>
      <c r="G707" s="37">
        <v>13</v>
      </c>
      <c r="H707" s="66">
        <v>46933</v>
      </c>
      <c r="I707" s="38">
        <f t="shared" ca="1" si="31"/>
        <v>734</v>
      </c>
      <c r="J707" s="38" t="str">
        <f t="shared" ca="1" si="32"/>
        <v>OK</v>
      </c>
      <c r="K707" s="36" t="s">
        <v>179</v>
      </c>
      <c r="L707" s="39"/>
    </row>
    <row r="708" spans="1:12" x14ac:dyDescent="0.35">
      <c r="A708" s="34" t="str">
        <f t="shared" si="30"/>
        <v>DON-0704</v>
      </c>
      <c r="B708" s="35">
        <v>46094</v>
      </c>
      <c r="C708" s="36" t="s">
        <v>111</v>
      </c>
      <c r="D708" s="36" t="s">
        <v>112</v>
      </c>
      <c r="E708" s="36" t="s">
        <v>102</v>
      </c>
      <c r="F708" s="36" t="s">
        <v>113</v>
      </c>
      <c r="G708" s="37">
        <v>36</v>
      </c>
      <c r="H708" s="66">
        <v>47071</v>
      </c>
      <c r="I708" s="38">
        <f t="shared" ca="1" si="31"/>
        <v>872</v>
      </c>
      <c r="J708" s="38" t="str">
        <f t="shared" ca="1" si="32"/>
        <v>OK</v>
      </c>
      <c r="K708" s="36" t="s">
        <v>179</v>
      </c>
      <c r="L708" s="39"/>
    </row>
    <row r="709" spans="1:12" x14ac:dyDescent="0.35">
      <c r="A709" s="34" t="str">
        <f t="shared" ref="A709:A772" si="33">IF(G709="","","DON-"&amp;TEXT(ROW()-4,"0000"))</f>
        <v>DON-0705</v>
      </c>
      <c r="B709" s="35">
        <v>46094</v>
      </c>
      <c r="C709" s="36" t="s">
        <v>106</v>
      </c>
      <c r="D709" s="36" t="s">
        <v>107</v>
      </c>
      <c r="E709" s="36" t="s">
        <v>102</v>
      </c>
      <c r="F709" s="36" t="s">
        <v>108</v>
      </c>
      <c r="G709" s="37">
        <v>36</v>
      </c>
      <c r="H709" s="66">
        <v>47135</v>
      </c>
      <c r="I709" s="38">
        <f t="shared" ref="I709:I772" ca="1" si="34">IF(H709="","",H709-TODAY())</f>
        <v>936</v>
      </c>
      <c r="J709" s="38" t="str">
        <f t="shared" ref="J709:J772" ca="1" si="35">IF(I709="","",IF(I709&lt;=0,"EXPIRED",IF(I709&lt;=3,"CRITICAL",IF(I709&lt;=7,"WARNING",IF(I709&lt;=30,"NOTICE","OK")))))</f>
        <v>OK</v>
      </c>
      <c r="K709" s="36" t="s">
        <v>179</v>
      </c>
      <c r="L709" s="39"/>
    </row>
    <row r="710" spans="1:12" x14ac:dyDescent="0.35">
      <c r="A710" s="34" t="str">
        <f t="shared" si="33"/>
        <v>DON-0706</v>
      </c>
      <c r="B710" s="35">
        <v>46095</v>
      </c>
      <c r="C710" s="36" t="s">
        <v>144</v>
      </c>
      <c r="D710" s="36" t="s">
        <v>7</v>
      </c>
      <c r="E710" s="36" t="s">
        <v>8</v>
      </c>
      <c r="F710" s="36" t="s">
        <v>145</v>
      </c>
      <c r="G710" s="37">
        <v>39</v>
      </c>
      <c r="H710" s="66">
        <v>46098</v>
      </c>
      <c r="I710" s="38">
        <f t="shared" ca="1" si="34"/>
        <v>-101</v>
      </c>
      <c r="J710" s="38" t="str">
        <f t="shared" ca="1" si="35"/>
        <v>EXPIRED</v>
      </c>
      <c r="K710" s="36" t="s">
        <v>178</v>
      </c>
      <c r="L710" s="39"/>
    </row>
    <row r="711" spans="1:12" x14ac:dyDescent="0.35">
      <c r="A711" s="34" t="str">
        <f t="shared" si="33"/>
        <v>DON-0707</v>
      </c>
      <c r="B711" s="35">
        <v>46095</v>
      </c>
      <c r="C711" s="36" t="s">
        <v>146</v>
      </c>
      <c r="D711" s="36" t="s">
        <v>147</v>
      </c>
      <c r="E711" s="36" t="s">
        <v>8</v>
      </c>
      <c r="F711" s="36" t="s">
        <v>148</v>
      </c>
      <c r="G711" s="37">
        <v>35</v>
      </c>
      <c r="H711" s="66">
        <v>46105</v>
      </c>
      <c r="I711" s="38">
        <f t="shared" ca="1" si="34"/>
        <v>-94</v>
      </c>
      <c r="J711" s="38" t="str">
        <f t="shared" ca="1" si="35"/>
        <v>EXPIRED</v>
      </c>
      <c r="K711" s="36" t="s">
        <v>178</v>
      </c>
      <c r="L711" s="39"/>
    </row>
    <row r="712" spans="1:12" x14ac:dyDescent="0.35">
      <c r="A712" s="34" t="str">
        <f t="shared" si="33"/>
        <v>DON-0708</v>
      </c>
      <c r="B712" s="35">
        <v>46095</v>
      </c>
      <c r="C712" s="36" t="s">
        <v>97</v>
      </c>
      <c r="D712" s="36" t="s">
        <v>98</v>
      </c>
      <c r="E712" s="36" t="s">
        <v>93</v>
      </c>
      <c r="F712" s="36" t="s">
        <v>99</v>
      </c>
      <c r="G712" s="37">
        <v>45</v>
      </c>
      <c r="H712" s="66">
        <v>46199</v>
      </c>
      <c r="I712" s="38">
        <f t="shared" ca="1" si="34"/>
        <v>0</v>
      </c>
      <c r="J712" s="38" t="str">
        <f t="shared" ca="1" si="35"/>
        <v>EXPIRED</v>
      </c>
      <c r="K712" s="36" t="s">
        <v>178</v>
      </c>
      <c r="L712" s="39"/>
    </row>
    <row r="713" spans="1:12" x14ac:dyDescent="0.35">
      <c r="A713" s="34" t="str">
        <f t="shared" si="33"/>
        <v>DON-0709</v>
      </c>
      <c r="B713" s="35">
        <v>46095</v>
      </c>
      <c r="C713" s="36" t="s">
        <v>157</v>
      </c>
      <c r="D713" s="36" t="s">
        <v>158</v>
      </c>
      <c r="E713" s="36" t="s">
        <v>159</v>
      </c>
      <c r="F713" s="36" t="s">
        <v>160</v>
      </c>
      <c r="G713" s="37">
        <v>19</v>
      </c>
      <c r="H713" s="66">
        <v>46353</v>
      </c>
      <c r="I713" s="38">
        <f t="shared" ca="1" si="34"/>
        <v>154</v>
      </c>
      <c r="J713" s="38" t="str">
        <f t="shared" ca="1" si="35"/>
        <v>OK</v>
      </c>
      <c r="K713" s="36" t="s">
        <v>178</v>
      </c>
      <c r="L713" s="39"/>
    </row>
    <row r="714" spans="1:12" x14ac:dyDescent="0.35">
      <c r="A714" s="34" t="str">
        <f t="shared" si="33"/>
        <v>DON-0710</v>
      </c>
      <c r="B714" s="35">
        <v>46095</v>
      </c>
      <c r="C714" s="36" t="s">
        <v>46</v>
      </c>
      <c r="D714" s="36" t="s">
        <v>47</v>
      </c>
      <c r="E714" s="36" t="s">
        <v>31</v>
      </c>
      <c r="F714" s="36" t="s">
        <v>42</v>
      </c>
      <c r="G714" s="37">
        <v>69</v>
      </c>
      <c r="H714" s="66">
        <v>46590</v>
      </c>
      <c r="I714" s="38">
        <f t="shared" ca="1" si="34"/>
        <v>391</v>
      </c>
      <c r="J714" s="38" t="str">
        <f t="shared" ca="1" si="35"/>
        <v>OK</v>
      </c>
      <c r="K714" s="36" t="s">
        <v>178</v>
      </c>
      <c r="L714" s="39"/>
    </row>
    <row r="715" spans="1:12" x14ac:dyDescent="0.35">
      <c r="A715" s="34" t="str">
        <f t="shared" si="33"/>
        <v>DON-0711</v>
      </c>
      <c r="B715" s="35">
        <v>46095</v>
      </c>
      <c r="C715" s="36" t="s">
        <v>109</v>
      </c>
      <c r="D715" s="36" t="s">
        <v>110</v>
      </c>
      <c r="E715" s="36" t="s">
        <v>102</v>
      </c>
      <c r="F715" s="36" t="s">
        <v>42</v>
      </c>
      <c r="G715" s="37">
        <v>100</v>
      </c>
      <c r="H715" s="66">
        <v>46596</v>
      </c>
      <c r="I715" s="38">
        <f t="shared" ca="1" si="34"/>
        <v>397</v>
      </c>
      <c r="J715" s="38" t="str">
        <f t="shared" ca="1" si="35"/>
        <v>OK</v>
      </c>
      <c r="K715" s="36" t="s">
        <v>178</v>
      </c>
      <c r="L715" s="39"/>
    </row>
    <row r="716" spans="1:12" x14ac:dyDescent="0.35">
      <c r="A716" s="34" t="str">
        <f t="shared" si="33"/>
        <v>DON-0712</v>
      </c>
      <c r="B716" s="35">
        <v>46096</v>
      </c>
      <c r="C716" s="36" t="s">
        <v>114</v>
      </c>
      <c r="D716" s="36" t="s">
        <v>13</v>
      </c>
      <c r="E716" s="36" t="s">
        <v>14</v>
      </c>
      <c r="F716" s="36" t="s">
        <v>115</v>
      </c>
      <c r="G716" s="37">
        <v>17</v>
      </c>
      <c r="H716" s="66">
        <v>46413</v>
      </c>
      <c r="I716" s="38">
        <f t="shared" ca="1" si="34"/>
        <v>214</v>
      </c>
      <c r="J716" s="38" t="str">
        <f t="shared" ca="1" si="35"/>
        <v>OK</v>
      </c>
      <c r="K716" s="36" t="s">
        <v>176</v>
      </c>
      <c r="L716" s="39"/>
    </row>
    <row r="717" spans="1:12" x14ac:dyDescent="0.35">
      <c r="A717" s="34" t="str">
        <f t="shared" si="33"/>
        <v>DON-0713</v>
      </c>
      <c r="B717" s="35">
        <v>46096</v>
      </c>
      <c r="C717" s="36" t="s">
        <v>81</v>
      </c>
      <c r="D717" s="36" t="s">
        <v>82</v>
      </c>
      <c r="E717" s="36" t="s">
        <v>74</v>
      </c>
      <c r="F717" s="36" t="s">
        <v>80</v>
      </c>
      <c r="G717" s="37">
        <v>78</v>
      </c>
      <c r="H717" s="66">
        <v>46669</v>
      </c>
      <c r="I717" s="38">
        <f t="shared" ca="1" si="34"/>
        <v>470</v>
      </c>
      <c r="J717" s="38" t="str">
        <f t="shared" ca="1" si="35"/>
        <v>OK</v>
      </c>
      <c r="K717" s="36" t="s">
        <v>176</v>
      </c>
      <c r="L717" s="39"/>
    </row>
    <row r="718" spans="1:12" x14ac:dyDescent="0.35">
      <c r="A718" s="34" t="str">
        <f t="shared" si="33"/>
        <v>DON-0714</v>
      </c>
      <c r="B718" s="35">
        <v>46096</v>
      </c>
      <c r="C718" s="36" t="s">
        <v>37</v>
      </c>
      <c r="D718" s="36" t="s">
        <v>38</v>
      </c>
      <c r="E718" s="36" t="s">
        <v>31</v>
      </c>
      <c r="F718" s="36" t="s">
        <v>39</v>
      </c>
      <c r="G718" s="37">
        <v>48</v>
      </c>
      <c r="H718" s="66">
        <v>47117</v>
      </c>
      <c r="I718" s="38">
        <f t="shared" ca="1" si="34"/>
        <v>918</v>
      </c>
      <c r="J718" s="38" t="str">
        <f t="shared" ca="1" si="35"/>
        <v>OK</v>
      </c>
      <c r="K718" s="36" t="s">
        <v>176</v>
      </c>
      <c r="L718" s="39"/>
    </row>
    <row r="719" spans="1:12" x14ac:dyDescent="0.35">
      <c r="A719" s="34" t="str">
        <f t="shared" si="33"/>
        <v>DON-0715</v>
      </c>
      <c r="B719" s="35">
        <v>46097</v>
      </c>
      <c r="C719" s="36" t="s">
        <v>156</v>
      </c>
      <c r="D719" s="36" t="s">
        <v>11</v>
      </c>
      <c r="E719" s="36" t="s">
        <v>12</v>
      </c>
      <c r="F719" s="36" t="s">
        <v>155</v>
      </c>
      <c r="G719" s="37">
        <v>18</v>
      </c>
      <c r="H719" s="66">
        <v>46104</v>
      </c>
      <c r="I719" s="38">
        <f t="shared" ca="1" si="34"/>
        <v>-95</v>
      </c>
      <c r="J719" s="38" t="str">
        <f t="shared" ca="1" si="35"/>
        <v>EXPIRED</v>
      </c>
      <c r="K719" s="36" t="s">
        <v>176</v>
      </c>
      <c r="L719" s="39"/>
    </row>
    <row r="720" spans="1:12" x14ac:dyDescent="0.35">
      <c r="A720" s="34" t="str">
        <f t="shared" si="33"/>
        <v>DON-0716</v>
      </c>
      <c r="B720" s="35">
        <v>46097</v>
      </c>
      <c r="C720" s="36" t="s">
        <v>37</v>
      </c>
      <c r="D720" s="36" t="s">
        <v>38</v>
      </c>
      <c r="E720" s="36" t="s">
        <v>31</v>
      </c>
      <c r="F720" s="36" t="s">
        <v>39</v>
      </c>
      <c r="G720" s="37">
        <v>99</v>
      </c>
      <c r="H720" s="66">
        <v>46519</v>
      </c>
      <c r="I720" s="38">
        <f t="shared" ca="1" si="34"/>
        <v>320</v>
      </c>
      <c r="J720" s="38" t="str">
        <f t="shared" ca="1" si="35"/>
        <v>OK</v>
      </c>
      <c r="K720" s="36" t="s">
        <v>176</v>
      </c>
      <c r="L720" s="39"/>
    </row>
    <row r="721" spans="1:12" x14ac:dyDescent="0.35">
      <c r="A721" s="34" t="str">
        <f t="shared" si="33"/>
        <v>DON-0717</v>
      </c>
      <c r="B721" s="35">
        <v>46097</v>
      </c>
      <c r="C721" s="36" t="s">
        <v>100</v>
      </c>
      <c r="D721" s="36" t="s">
        <v>101</v>
      </c>
      <c r="E721" s="36" t="s">
        <v>102</v>
      </c>
      <c r="F721" s="36" t="s">
        <v>103</v>
      </c>
      <c r="G721" s="37">
        <v>44</v>
      </c>
      <c r="H721" s="66">
        <v>46758</v>
      </c>
      <c r="I721" s="38">
        <f t="shared" ca="1" si="34"/>
        <v>559</v>
      </c>
      <c r="J721" s="38" t="str">
        <f t="shared" ca="1" si="35"/>
        <v>OK</v>
      </c>
      <c r="K721" s="36" t="s">
        <v>176</v>
      </c>
      <c r="L721" s="39"/>
    </row>
    <row r="722" spans="1:12" x14ac:dyDescent="0.35">
      <c r="A722" s="34" t="str">
        <f t="shared" si="33"/>
        <v>DON-0718</v>
      </c>
      <c r="B722" s="35">
        <v>46097</v>
      </c>
      <c r="C722" s="36" t="s">
        <v>109</v>
      </c>
      <c r="D722" s="36" t="s">
        <v>110</v>
      </c>
      <c r="E722" s="36" t="s">
        <v>102</v>
      </c>
      <c r="F722" s="36" t="s">
        <v>42</v>
      </c>
      <c r="G722" s="37">
        <v>52</v>
      </c>
      <c r="H722" s="66">
        <v>47051</v>
      </c>
      <c r="I722" s="38">
        <f t="shared" ca="1" si="34"/>
        <v>852</v>
      </c>
      <c r="J722" s="38" t="str">
        <f t="shared" ca="1" si="35"/>
        <v>OK</v>
      </c>
      <c r="K722" s="36" t="s">
        <v>176</v>
      </c>
      <c r="L722" s="39"/>
    </row>
    <row r="723" spans="1:12" x14ac:dyDescent="0.35">
      <c r="A723" s="34" t="str">
        <f t="shared" si="33"/>
        <v>DON-0719</v>
      </c>
      <c r="B723" s="35">
        <v>46102</v>
      </c>
      <c r="C723" s="36" t="s">
        <v>151</v>
      </c>
      <c r="D723" s="36" t="s">
        <v>152</v>
      </c>
      <c r="E723" s="36" t="s">
        <v>8</v>
      </c>
      <c r="F723" s="36" t="s">
        <v>143</v>
      </c>
      <c r="G723" s="37">
        <v>19</v>
      </c>
      <c r="H723" s="66">
        <v>46132</v>
      </c>
      <c r="I723" s="38">
        <f t="shared" ca="1" si="34"/>
        <v>-67</v>
      </c>
      <c r="J723" s="38" t="str">
        <f t="shared" ca="1" si="35"/>
        <v>EXPIRED</v>
      </c>
      <c r="K723" s="36" t="s">
        <v>181</v>
      </c>
      <c r="L723" s="39"/>
    </row>
    <row r="724" spans="1:12" x14ac:dyDescent="0.35">
      <c r="A724" s="34" t="str">
        <f t="shared" si="33"/>
        <v>DON-0720</v>
      </c>
      <c r="B724" s="35">
        <v>46102</v>
      </c>
      <c r="C724" s="36" t="s">
        <v>83</v>
      </c>
      <c r="D724" s="36" t="s">
        <v>84</v>
      </c>
      <c r="E724" s="36" t="s">
        <v>74</v>
      </c>
      <c r="F724" s="36" t="s">
        <v>85</v>
      </c>
      <c r="G724" s="37">
        <v>46</v>
      </c>
      <c r="H724" s="66">
        <v>46288</v>
      </c>
      <c r="I724" s="38">
        <f t="shared" ca="1" si="34"/>
        <v>89</v>
      </c>
      <c r="J724" s="38" t="str">
        <f t="shared" ca="1" si="35"/>
        <v>OK</v>
      </c>
      <c r="K724" s="36" t="s">
        <v>181</v>
      </c>
      <c r="L724" s="39"/>
    </row>
    <row r="725" spans="1:12" x14ac:dyDescent="0.35">
      <c r="A725" s="34" t="str">
        <f t="shared" si="33"/>
        <v>DON-0721</v>
      </c>
      <c r="B725" s="35">
        <v>46102</v>
      </c>
      <c r="C725" s="36" t="s">
        <v>114</v>
      </c>
      <c r="D725" s="36" t="s">
        <v>13</v>
      </c>
      <c r="E725" s="36" t="s">
        <v>14</v>
      </c>
      <c r="F725" s="36" t="s">
        <v>115</v>
      </c>
      <c r="G725" s="37">
        <v>28</v>
      </c>
      <c r="H725" s="66">
        <v>46366</v>
      </c>
      <c r="I725" s="38">
        <f t="shared" ca="1" si="34"/>
        <v>167</v>
      </c>
      <c r="J725" s="38" t="str">
        <f t="shared" ca="1" si="35"/>
        <v>OK</v>
      </c>
      <c r="K725" s="36" t="s">
        <v>181</v>
      </c>
      <c r="L725" s="39"/>
    </row>
    <row r="726" spans="1:12" x14ac:dyDescent="0.35">
      <c r="A726" s="34" t="str">
        <f t="shared" si="33"/>
        <v>DON-0722</v>
      </c>
      <c r="B726" s="35">
        <v>46102</v>
      </c>
      <c r="C726" s="36" t="s">
        <v>72</v>
      </c>
      <c r="D726" s="36" t="s">
        <v>73</v>
      </c>
      <c r="E726" s="36" t="s">
        <v>74</v>
      </c>
      <c r="F726" s="36" t="s">
        <v>75</v>
      </c>
      <c r="G726" s="37">
        <v>47</v>
      </c>
      <c r="H726" s="66">
        <v>46558</v>
      </c>
      <c r="I726" s="38">
        <f t="shared" ca="1" si="34"/>
        <v>359</v>
      </c>
      <c r="J726" s="38" t="str">
        <f t="shared" ca="1" si="35"/>
        <v>OK</v>
      </c>
      <c r="K726" s="36" t="s">
        <v>181</v>
      </c>
      <c r="L726" s="39"/>
    </row>
    <row r="727" spans="1:12" x14ac:dyDescent="0.35">
      <c r="A727" s="34" t="str">
        <f t="shared" si="33"/>
        <v>DON-0723</v>
      </c>
      <c r="B727" s="35">
        <v>46102</v>
      </c>
      <c r="C727" s="36" t="s">
        <v>111</v>
      </c>
      <c r="D727" s="36" t="s">
        <v>112</v>
      </c>
      <c r="E727" s="36" t="s">
        <v>102</v>
      </c>
      <c r="F727" s="36" t="s">
        <v>113</v>
      </c>
      <c r="G727" s="37">
        <v>98</v>
      </c>
      <c r="H727" s="66">
        <v>46561</v>
      </c>
      <c r="I727" s="38">
        <f t="shared" ca="1" si="34"/>
        <v>362</v>
      </c>
      <c r="J727" s="38" t="str">
        <f t="shared" ca="1" si="35"/>
        <v>OK</v>
      </c>
      <c r="K727" s="36" t="s">
        <v>181</v>
      </c>
      <c r="L727" s="39"/>
    </row>
    <row r="728" spans="1:12" x14ac:dyDescent="0.35">
      <c r="A728" s="34" t="str">
        <f t="shared" si="33"/>
        <v>DON-0724</v>
      </c>
      <c r="B728" s="35">
        <v>46102</v>
      </c>
      <c r="C728" s="36" t="s">
        <v>69</v>
      </c>
      <c r="D728" s="36" t="s">
        <v>70</v>
      </c>
      <c r="E728" s="36" t="s">
        <v>66</v>
      </c>
      <c r="F728" s="36" t="s">
        <v>71</v>
      </c>
      <c r="G728" s="37">
        <v>69</v>
      </c>
      <c r="H728" s="66">
        <v>46604</v>
      </c>
      <c r="I728" s="38">
        <f t="shared" ca="1" si="34"/>
        <v>405</v>
      </c>
      <c r="J728" s="38" t="str">
        <f t="shared" ca="1" si="35"/>
        <v>OK</v>
      </c>
      <c r="K728" s="36" t="s">
        <v>181</v>
      </c>
      <c r="L728" s="39"/>
    </row>
    <row r="729" spans="1:12" x14ac:dyDescent="0.35">
      <c r="A729" s="34" t="str">
        <f t="shared" si="33"/>
        <v>DON-0725</v>
      </c>
      <c r="B729" s="35">
        <v>46102</v>
      </c>
      <c r="C729" s="36" t="s">
        <v>57</v>
      </c>
      <c r="D729" s="36" t="s">
        <v>58</v>
      </c>
      <c r="E729" s="36" t="s">
        <v>53</v>
      </c>
      <c r="F729" s="36" t="s">
        <v>42</v>
      </c>
      <c r="G729" s="37">
        <v>58</v>
      </c>
      <c r="H729" s="66">
        <v>46927</v>
      </c>
      <c r="I729" s="38">
        <f t="shared" ca="1" si="34"/>
        <v>728</v>
      </c>
      <c r="J729" s="38" t="str">
        <f t="shared" ca="1" si="35"/>
        <v>OK</v>
      </c>
      <c r="K729" s="36" t="s">
        <v>181</v>
      </c>
      <c r="L729" s="39"/>
    </row>
    <row r="730" spans="1:12" x14ac:dyDescent="0.35">
      <c r="A730" s="34" t="str">
        <f t="shared" si="33"/>
        <v>DON-0726</v>
      </c>
      <c r="B730" s="35">
        <v>46103</v>
      </c>
      <c r="C730" s="36" t="s">
        <v>144</v>
      </c>
      <c r="D730" s="36" t="s">
        <v>7</v>
      </c>
      <c r="E730" s="36" t="s">
        <v>8</v>
      </c>
      <c r="F730" s="36" t="s">
        <v>145</v>
      </c>
      <c r="G730" s="37">
        <v>42</v>
      </c>
      <c r="H730" s="66">
        <v>46108</v>
      </c>
      <c r="I730" s="38">
        <f t="shared" ca="1" si="34"/>
        <v>-91</v>
      </c>
      <c r="J730" s="38" t="str">
        <f t="shared" ca="1" si="35"/>
        <v>EXPIRED</v>
      </c>
      <c r="K730" s="36" t="s">
        <v>178</v>
      </c>
      <c r="L730" s="39"/>
    </row>
    <row r="731" spans="1:12" x14ac:dyDescent="0.35">
      <c r="A731" s="34" t="str">
        <f t="shared" si="33"/>
        <v>DON-0727</v>
      </c>
      <c r="B731" s="35">
        <v>46103</v>
      </c>
      <c r="C731" s="36" t="s">
        <v>144</v>
      </c>
      <c r="D731" s="36" t="s">
        <v>7</v>
      </c>
      <c r="E731" s="36" t="s">
        <v>8</v>
      </c>
      <c r="F731" s="36" t="s">
        <v>145</v>
      </c>
      <c r="G731" s="37">
        <v>26</v>
      </c>
      <c r="H731" s="66">
        <v>46110</v>
      </c>
      <c r="I731" s="38">
        <f t="shared" ca="1" si="34"/>
        <v>-89</v>
      </c>
      <c r="J731" s="38" t="str">
        <f t="shared" ca="1" si="35"/>
        <v>EXPIRED</v>
      </c>
      <c r="K731" s="36" t="s">
        <v>179</v>
      </c>
      <c r="L731" s="39"/>
    </row>
    <row r="732" spans="1:12" x14ac:dyDescent="0.35">
      <c r="A732" s="34" t="str">
        <f t="shared" si="33"/>
        <v>DON-0728</v>
      </c>
      <c r="B732" s="35">
        <v>46103</v>
      </c>
      <c r="C732" s="36" t="s">
        <v>141</v>
      </c>
      <c r="D732" s="36" t="s">
        <v>142</v>
      </c>
      <c r="E732" s="36" t="s">
        <v>8</v>
      </c>
      <c r="F732" s="36" t="s">
        <v>143</v>
      </c>
      <c r="G732" s="37">
        <v>23</v>
      </c>
      <c r="H732" s="66">
        <v>46116</v>
      </c>
      <c r="I732" s="38">
        <f t="shared" ca="1" si="34"/>
        <v>-83</v>
      </c>
      <c r="J732" s="38" t="str">
        <f t="shared" ca="1" si="35"/>
        <v>EXPIRED</v>
      </c>
      <c r="K732" s="36" t="s">
        <v>179</v>
      </c>
      <c r="L732" s="39"/>
    </row>
    <row r="733" spans="1:12" x14ac:dyDescent="0.35">
      <c r="A733" s="34" t="str">
        <f t="shared" si="33"/>
        <v>DON-0729</v>
      </c>
      <c r="B733" s="35">
        <v>46103</v>
      </c>
      <c r="C733" s="36" t="s">
        <v>146</v>
      </c>
      <c r="D733" s="36" t="s">
        <v>147</v>
      </c>
      <c r="E733" s="36" t="s">
        <v>8</v>
      </c>
      <c r="F733" s="36" t="s">
        <v>148</v>
      </c>
      <c r="G733" s="37">
        <v>38</v>
      </c>
      <c r="H733" s="66">
        <v>46119</v>
      </c>
      <c r="I733" s="38">
        <f t="shared" ca="1" si="34"/>
        <v>-80</v>
      </c>
      <c r="J733" s="38" t="str">
        <f t="shared" ca="1" si="35"/>
        <v>EXPIRED</v>
      </c>
      <c r="K733" s="36" t="s">
        <v>180</v>
      </c>
      <c r="L733" s="39"/>
    </row>
    <row r="734" spans="1:12" x14ac:dyDescent="0.35">
      <c r="A734" s="34" t="str">
        <f t="shared" si="33"/>
        <v>DON-0730</v>
      </c>
      <c r="B734" s="35">
        <v>46103</v>
      </c>
      <c r="C734" s="36" t="s">
        <v>97</v>
      </c>
      <c r="D734" s="36" t="s">
        <v>98</v>
      </c>
      <c r="E734" s="36" t="s">
        <v>93</v>
      </c>
      <c r="F734" s="36" t="s">
        <v>99</v>
      </c>
      <c r="G734" s="37">
        <v>54</v>
      </c>
      <c r="H734" s="66">
        <v>46187</v>
      </c>
      <c r="I734" s="38">
        <f t="shared" ca="1" si="34"/>
        <v>-12</v>
      </c>
      <c r="J734" s="38" t="str">
        <f t="shared" ca="1" si="35"/>
        <v>EXPIRED</v>
      </c>
      <c r="K734" s="36" t="s">
        <v>180</v>
      </c>
      <c r="L734" s="39"/>
    </row>
    <row r="735" spans="1:12" x14ac:dyDescent="0.35">
      <c r="A735" s="34" t="str">
        <f t="shared" si="33"/>
        <v>DON-0731</v>
      </c>
      <c r="B735" s="35">
        <v>46103</v>
      </c>
      <c r="C735" s="36" t="s">
        <v>83</v>
      </c>
      <c r="D735" s="36" t="s">
        <v>84</v>
      </c>
      <c r="E735" s="36" t="s">
        <v>74</v>
      </c>
      <c r="F735" s="36" t="s">
        <v>85</v>
      </c>
      <c r="G735" s="37">
        <v>37</v>
      </c>
      <c r="H735" s="66">
        <v>46300</v>
      </c>
      <c r="I735" s="38">
        <f t="shared" ca="1" si="34"/>
        <v>101</v>
      </c>
      <c r="J735" s="38" t="str">
        <f t="shared" ca="1" si="35"/>
        <v>OK</v>
      </c>
      <c r="K735" s="36" t="s">
        <v>178</v>
      </c>
      <c r="L735" s="39"/>
    </row>
    <row r="736" spans="1:12" x14ac:dyDescent="0.35">
      <c r="A736" s="34" t="str">
        <f t="shared" si="33"/>
        <v>DON-0732</v>
      </c>
      <c r="B736" s="35">
        <v>46103</v>
      </c>
      <c r="C736" s="36" t="s">
        <v>91</v>
      </c>
      <c r="D736" s="36" t="s">
        <v>92</v>
      </c>
      <c r="E736" s="36" t="s">
        <v>93</v>
      </c>
      <c r="F736" s="36" t="s">
        <v>85</v>
      </c>
      <c r="G736" s="37">
        <v>34</v>
      </c>
      <c r="H736" s="66">
        <v>46358</v>
      </c>
      <c r="I736" s="38">
        <f t="shared" ca="1" si="34"/>
        <v>159</v>
      </c>
      <c r="J736" s="38" t="str">
        <f t="shared" ca="1" si="35"/>
        <v>OK</v>
      </c>
      <c r="K736" s="36" t="s">
        <v>179</v>
      </c>
      <c r="L736" s="39"/>
    </row>
    <row r="737" spans="1:12" x14ac:dyDescent="0.35">
      <c r="A737" s="34" t="str">
        <f t="shared" si="33"/>
        <v>DON-0733</v>
      </c>
      <c r="B737" s="35">
        <v>46103</v>
      </c>
      <c r="C737" s="36" t="s">
        <v>78</v>
      </c>
      <c r="D737" s="36" t="s">
        <v>79</v>
      </c>
      <c r="E737" s="36" t="s">
        <v>74</v>
      </c>
      <c r="F737" s="36" t="s">
        <v>80</v>
      </c>
      <c r="G737" s="37">
        <v>58</v>
      </c>
      <c r="H737" s="66">
        <v>46366</v>
      </c>
      <c r="I737" s="38">
        <f t="shared" ca="1" si="34"/>
        <v>167</v>
      </c>
      <c r="J737" s="38" t="str">
        <f t="shared" ca="1" si="35"/>
        <v>OK</v>
      </c>
      <c r="K737" s="36" t="s">
        <v>180</v>
      </c>
      <c r="L737" s="39"/>
    </row>
    <row r="738" spans="1:12" x14ac:dyDescent="0.35">
      <c r="A738" s="34" t="str">
        <f t="shared" si="33"/>
        <v>DON-0734</v>
      </c>
      <c r="B738" s="35">
        <v>46103</v>
      </c>
      <c r="C738" s="36" t="s">
        <v>57</v>
      </c>
      <c r="D738" s="36" t="s">
        <v>58</v>
      </c>
      <c r="E738" s="36" t="s">
        <v>53</v>
      </c>
      <c r="F738" s="36" t="s">
        <v>42</v>
      </c>
      <c r="G738" s="37">
        <v>80</v>
      </c>
      <c r="H738" s="66">
        <v>47038</v>
      </c>
      <c r="I738" s="38">
        <f t="shared" ca="1" si="34"/>
        <v>839</v>
      </c>
      <c r="J738" s="38" t="str">
        <f t="shared" ca="1" si="35"/>
        <v>OK</v>
      </c>
      <c r="K738" s="36" t="s">
        <v>178</v>
      </c>
      <c r="L738" s="39"/>
    </row>
    <row r="739" spans="1:12" x14ac:dyDescent="0.35">
      <c r="A739" s="34" t="str">
        <f t="shared" si="33"/>
        <v>DON-0735</v>
      </c>
      <c r="B739" s="35">
        <v>46103</v>
      </c>
      <c r="C739" s="36" t="s">
        <v>122</v>
      </c>
      <c r="D739" s="36" t="s">
        <v>123</v>
      </c>
      <c r="E739" s="36" t="s">
        <v>14</v>
      </c>
      <c r="F739" s="36" t="s">
        <v>124</v>
      </c>
      <c r="G739" s="37">
        <v>22</v>
      </c>
      <c r="H739" s="66">
        <v>47585</v>
      </c>
      <c r="I739" s="38">
        <f t="shared" ca="1" si="34"/>
        <v>1386</v>
      </c>
      <c r="J739" s="38" t="str">
        <f t="shared" ca="1" si="35"/>
        <v>OK</v>
      </c>
      <c r="K739" s="36" t="s">
        <v>178</v>
      </c>
      <c r="L739" s="39"/>
    </row>
    <row r="740" spans="1:12" x14ac:dyDescent="0.35">
      <c r="A740" s="34" t="str">
        <f t="shared" si="33"/>
        <v>DON-0736</v>
      </c>
      <c r="B740" s="35">
        <v>46108</v>
      </c>
      <c r="C740" s="36" t="s">
        <v>97</v>
      </c>
      <c r="D740" s="36" t="s">
        <v>98</v>
      </c>
      <c r="E740" s="36" t="s">
        <v>93</v>
      </c>
      <c r="F740" s="36" t="s">
        <v>99</v>
      </c>
      <c r="G740" s="37">
        <v>58</v>
      </c>
      <c r="H740" s="66">
        <v>46250</v>
      </c>
      <c r="I740" s="38">
        <f t="shared" ca="1" si="34"/>
        <v>51</v>
      </c>
      <c r="J740" s="38" t="str">
        <f t="shared" ca="1" si="35"/>
        <v>OK</v>
      </c>
      <c r="K740" s="36" t="s">
        <v>177</v>
      </c>
      <c r="L740" s="39"/>
    </row>
    <row r="741" spans="1:12" x14ac:dyDescent="0.35">
      <c r="A741" s="34" t="str">
        <f t="shared" si="33"/>
        <v>DON-0737</v>
      </c>
      <c r="B741" s="35">
        <v>46108</v>
      </c>
      <c r="C741" s="36" t="s">
        <v>88</v>
      </c>
      <c r="D741" s="36" t="s">
        <v>89</v>
      </c>
      <c r="E741" s="36" t="s">
        <v>74</v>
      </c>
      <c r="F741" s="36" t="s">
        <v>90</v>
      </c>
      <c r="G741" s="37">
        <v>76</v>
      </c>
      <c r="H741" s="66">
        <v>46315</v>
      </c>
      <c r="I741" s="38">
        <f t="shared" ca="1" si="34"/>
        <v>116</v>
      </c>
      <c r="J741" s="38" t="str">
        <f t="shared" ca="1" si="35"/>
        <v>OK</v>
      </c>
      <c r="K741" s="36" t="s">
        <v>177</v>
      </c>
      <c r="L741" s="39"/>
    </row>
    <row r="742" spans="1:12" x14ac:dyDescent="0.35">
      <c r="A742" s="34" t="str">
        <f t="shared" si="33"/>
        <v>DON-0738</v>
      </c>
      <c r="B742" s="35">
        <v>46108</v>
      </c>
      <c r="C742" s="36" t="s">
        <v>57</v>
      </c>
      <c r="D742" s="36" t="s">
        <v>58</v>
      </c>
      <c r="E742" s="36" t="s">
        <v>53</v>
      </c>
      <c r="F742" s="36" t="s">
        <v>42</v>
      </c>
      <c r="G742" s="37">
        <v>112</v>
      </c>
      <c r="H742" s="66">
        <v>46724</v>
      </c>
      <c r="I742" s="38">
        <f t="shared" ca="1" si="34"/>
        <v>525</v>
      </c>
      <c r="J742" s="38" t="str">
        <f t="shared" ca="1" si="35"/>
        <v>OK</v>
      </c>
      <c r="K742" s="36" t="s">
        <v>177</v>
      </c>
      <c r="L742" s="39"/>
    </row>
    <row r="743" spans="1:12" x14ac:dyDescent="0.35">
      <c r="A743" s="34" t="str">
        <f t="shared" si="33"/>
        <v>DON-0739</v>
      </c>
      <c r="B743" s="35">
        <v>46108</v>
      </c>
      <c r="C743" s="36" t="s">
        <v>69</v>
      </c>
      <c r="D743" s="36" t="s">
        <v>70</v>
      </c>
      <c r="E743" s="36" t="s">
        <v>66</v>
      </c>
      <c r="F743" s="36" t="s">
        <v>71</v>
      </c>
      <c r="G743" s="37">
        <v>48</v>
      </c>
      <c r="H743" s="66">
        <v>46973</v>
      </c>
      <c r="I743" s="38">
        <f t="shared" ca="1" si="34"/>
        <v>774</v>
      </c>
      <c r="J743" s="38" t="str">
        <f t="shared" ca="1" si="35"/>
        <v>OK</v>
      </c>
      <c r="K743" s="36" t="s">
        <v>177</v>
      </c>
      <c r="L743" s="39"/>
    </row>
    <row r="744" spans="1:12" x14ac:dyDescent="0.35">
      <c r="A744" s="34" t="str">
        <f t="shared" si="33"/>
        <v>DON-0740</v>
      </c>
      <c r="B744" s="35">
        <v>46108</v>
      </c>
      <c r="C744" s="36" t="s">
        <v>64</v>
      </c>
      <c r="D744" s="36" t="s">
        <v>65</v>
      </c>
      <c r="E744" s="36" t="s">
        <v>66</v>
      </c>
      <c r="F744" s="36" t="s">
        <v>42</v>
      </c>
      <c r="G744" s="37">
        <v>65</v>
      </c>
      <c r="H744" s="66">
        <v>47143</v>
      </c>
      <c r="I744" s="38">
        <f t="shared" ca="1" si="34"/>
        <v>944</v>
      </c>
      <c r="J744" s="38" t="str">
        <f t="shared" ca="1" si="35"/>
        <v>OK</v>
      </c>
      <c r="K744" s="36" t="s">
        <v>177</v>
      </c>
      <c r="L744" s="39"/>
    </row>
    <row r="745" spans="1:12" x14ac:dyDescent="0.35">
      <c r="A745" s="34" t="str">
        <f t="shared" si="33"/>
        <v>DON-0741</v>
      </c>
      <c r="B745" s="35">
        <v>46109</v>
      </c>
      <c r="C745" s="36" t="s">
        <v>94</v>
      </c>
      <c r="D745" s="36" t="s">
        <v>95</v>
      </c>
      <c r="E745" s="36" t="s">
        <v>93</v>
      </c>
      <c r="F745" s="36" t="s">
        <v>96</v>
      </c>
      <c r="G745" s="37">
        <v>31</v>
      </c>
      <c r="H745" s="66">
        <v>46241</v>
      </c>
      <c r="I745" s="38">
        <f t="shared" ca="1" si="34"/>
        <v>42</v>
      </c>
      <c r="J745" s="38" t="str">
        <f t="shared" ca="1" si="35"/>
        <v>OK</v>
      </c>
      <c r="K745" s="36" t="s">
        <v>179</v>
      </c>
      <c r="L745" s="39"/>
    </row>
    <row r="746" spans="1:12" x14ac:dyDescent="0.35">
      <c r="A746" s="34" t="str">
        <f t="shared" si="33"/>
        <v>DON-0742</v>
      </c>
      <c r="B746" s="35">
        <v>46109</v>
      </c>
      <c r="C746" s="36" t="s">
        <v>156</v>
      </c>
      <c r="D746" s="36" t="s">
        <v>11</v>
      </c>
      <c r="E746" s="36" t="s">
        <v>12</v>
      </c>
      <c r="F746" s="36" t="s">
        <v>155</v>
      </c>
      <c r="G746" s="37">
        <v>27</v>
      </c>
      <c r="H746" s="66">
        <v>46117</v>
      </c>
      <c r="I746" s="38">
        <f t="shared" ca="1" si="34"/>
        <v>-82</v>
      </c>
      <c r="J746" s="38" t="str">
        <f t="shared" ca="1" si="35"/>
        <v>EXPIRED</v>
      </c>
      <c r="K746" s="36" t="s">
        <v>180</v>
      </c>
      <c r="L746" s="39"/>
    </row>
    <row r="747" spans="1:12" x14ac:dyDescent="0.35">
      <c r="A747" s="34" t="str">
        <f t="shared" si="33"/>
        <v>DON-0743</v>
      </c>
      <c r="B747" s="35">
        <v>46109</v>
      </c>
      <c r="C747" s="36" t="s">
        <v>141</v>
      </c>
      <c r="D747" s="36" t="s">
        <v>142</v>
      </c>
      <c r="E747" s="36" t="s">
        <v>8</v>
      </c>
      <c r="F747" s="36" t="s">
        <v>143</v>
      </c>
      <c r="G747" s="37">
        <v>27</v>
      </c>
      <c r="H747" s="66">
        <v>46128</v>
      </c>
      <c r="I747" s="38">
        <f t="shared" ca="1" si="34"/>
        <v>-71</v>
      </c>
      <c r="J747" s="38" t="str">
        <f t="shared" ca="1" si="35"/>
        <v>EXPIRED</v>
      </c>
      <c r="K747" s="36" t="s">
        <v>179</v>
      </c>
      <c r="L747" s="39"/>
    </row>
    <row r="748" spans="1:12" x14ac:dyDescent="0.35">
      <c r="A748" s="34" t="str">
        <f t="shared" si="33"/>
        <v>DON-0744</v>
      </c>
      <c r="B748" s="35">
        <v>46109</v>
      </c>
      <c r="C748" s="36" t="s">
        <v>117</v>
      </c>
      <c r="D748" s="36" t="s">
        <v>118</v>
      </c>
      <c r="E748" s="36" t="s">
        <v>14</v>
      </c>
      <c r="F748" s="36" t="s">
        <v>119</v>
      </c>
      <c r="G748" s="37">
        <v>24</v>
      </c>
      <c r="H748" s="66">
        <v>46234</v>
      </c>
      <c r="I748" s="38">
        <f t="shared" ca="1" si="34"/>
        <v>35</v>
      </c>
      <c r="J748" s="38" t="str">
        <f t="shared" ca="1" si="35"/>
        <v>OK</v>
      </c>
      <c r="K748" s="36" t="s">
        <v>179</v>
      </c>
      <c r="L748" s="39"/>
    </row>
    <row r="749" spans="1:12" x14ac:dyDescent="0.35">
      <c r="A749" s="34" t="str">
        <f t="shared" si="33"/>
        <v>DON-0745</v>
      </c>
      <c r="B749" s="35">
        <v>46109</v>
      </c>
      <c r="C749" s="36" t="s">
        <v>120</v>
      </c>
      <c r="D749" s="36" t="s">
        <v>121</v>
      </c>
      <c r="E749" s="36" t="s">
        <v>14</v>
      </c>
      <c r="F749" s="36" t="s">
        <v>119</v>
      </c>
      <c r="G749" s="37">
        <v>20</v>
      </c>
      <c r="H749" s="66">
        <v>46286</v>
      </c>
      <c r="I749" s="38">
        <f t="shared" ca="1" si="34"/>
        <v>87</v>
      </c>
      <c r="J749" s="38" t="str">
        <f t="shared" ca="1" si="35"/>
        <v>OK</v>
      </c>
      <c r="K749" s="36" t="s">
        <v>179</v>
      </c>
      <c r="L749" s="39"/>
    </row>
    <row r="750" spans="1:12" x14ac:dyDescent="0.35">
      <c r="A750" s="34" t="str">
        <f t="shared" si="33"/>
        <v>DON-0746</v>
      </c>
      <c r="B750" s="35">
        <v>46109</v>
      </c>
      <c r="C750" s="36" t="s">
        <v>83</v>
      </c>
      <c r="D750" s="36" t="s">
        <v>84</v>
      </c>
      <c r="E750" s="36" t="s">
        <v>74</v>
      </c>
      <c r="F750" s="36" t="s">
        <v>85</v>
      </c>
      <c r="G750" s="37">
        <v>66</v>
      </c>
      <c r="H750" s="66">
        <v>46311</v>
      </c>
      <c r="I750" s="38">
        <f t="shared" ca="1" si="34"/>
        <v>112</v>
      </c>
      <c r="J750" s="38" t="str">
        <f t="shared" ca="1" si="35"/>
        <v>OK</v>
      </c>
      <c r="K750" s="36" t="s">
        <v>179</v>
      </c>
      <c r="L750" s="39"/>
    </row>
    <row r="751" spans="1:12" x14ac:dyDescent="0.35">
      <c r="A751" s="34" t="str">
        <f t="shared" si="33"/>
        <v>DON-0747</v>
      </c>
      <c r="B751" s="35">
        <v>46109</v>
      </c>
      <c r="C751" s="36" t="s">
        <v>76</v>
      </c>
      <c r="D751" s="36" t="s">
        <v>77</v>
      </c>
      <c r="E751" s="36" t="s">
        <v>74</v>
      </c>
      <c r="F751" s="36" t="s">
        <v>75</v>
      </c>
      <c r="G751" s="37">
        <v>75</v>
      </c>
      <c r="H751" s="66">
        <v>46324</v>
      </c>
      <c r="I751" s="38">
        <f t="shared" ca="1" si="34"/>
        <v>125</v>
      </c>
      <c r="J751" s="38" t="str">
        <f t="shared" ca="1" si="35"/>
        <v>OK</v>
      </c>
      <c r="K751" s="36" t="s">
        <v>179</v>
      </c>
      <c r="L751" s="39"/>
    </row>
    <row r="752" spans="1:12" x14ac:dyDescent="0.35">
      <c r="A752" s="34" t="str">
        <f t="shared" si="33"/>
        <v>DON-0748</v>
      </c>
      <c r="B752" s="35">
        <v>46109</v>
      </c>
      <c r="C752" s="36" t="s">
        <v>91</v>
      </c>
      <c r="D752" s="36" t="s">
        <v>92</v>
      </c>
      <c r="E752" s="36" t="s">
        <v>93</v>
      </c>
      <c r="F752" s="36" t="s">
        <v>85</v>
      </c>
      <c r="G752" s="37">
        <v>59</v>
      </c>
      <c r="H752" s="66">
        <v>46350</v>
      </c>
      <c r="I752" s="38">
        <f t="shared" ca="1" si="34"/>
        <v>151</v>
      </c>
      <c r="J752" s="38" t="str">
        <f t="shared" ca="1" si="35"/>
        <v>OK</v>
      </c>
      <c r="K752" s="36" t="s">
        <v>179</v>
      </c>
      <c r="L752" s="39"/>
    </row>
    <row r="753" spans="1:12" x14ac:dyDescent="0.35">
      <c r="A753" s="34" t="str">
        <f t="shared" si="33"/>
        <v>DON-0749</v>
      </c>
      <c r="B753" s="35">
        <v>46109</v>
      </c>
      <c r="C753" s="36" t="s">
        <v>83</v>
      </c>
      <c r="D753" s="36" t="s">
        <v>84</v>
      </c>
      <c r="E753" s="36" t="s">
        <v>74</v>
      </c>
      <c r="F753" s="36" t="s">
        <v>85</v>
      </c>
      <c r="G753" s="37">
        <v>31</v>
      </c>
      <c r="H753" s="66">
        <v>46423</v>
      </c>
      <c r="I753" s="38">
        <f t="shared" ca="1" si="34"/>
        <v>224</v>
      </c>
      <c r="J753" s="38" t="str">
        <f t="shared" ca="1" si="35"/>
        <v>OK</v>
      </c>
      <c r="K753" s="36" t="s">
        <v>180</v>
      </c>
      <c r="L753" s="39"/>
    </row>
    <row r="754" spans="1:12" x14ac:dyDescent="0.35">
      <c r="A754" s="34" t="str">
        <f t="shared" si="33"/>
        <v>DON-0750</v>
      </c>
      <c r="B754" s="35">
        <v>46109</v>
      </c>
      <c r="C754" s="36" t="s">
        <v>64</v>
      </c>
      <c r="D754" s="36" t="s">
        <v>65</v>
      </c>
      <c r="E754" s="36" t="s">
        <v>66</v>
      </c>
      <c r="F754" s="36" t="s">
        <v>42</v>
      </c>
      <c r="G754" s="37">
        <v>45</v>
      </c>
      <c r="H754" s="66">
        <v>46719</v>
      </c>
      <c r="I754" s="38">
        <f t="shared" ca="1" si="34"/>
        <v>520</v>
      </c>
      <c r="J754" s="38" t="str">
        <f t="shared" ca="1" si="35"/>
        <v>OK</v>
      </c>
      <c r="K754" s="36" t="s">
        <v>180</v>
      </c>
      <c r="L754" s="39"/>
    </row>
    <row r="755" spans="1:12" x14ac:dyDescent="0.35">
      <c r="A755" s="34" t="str">
        <f t="shared" si="33"/>
        <v>DON-0751</v>
      </c>
      <c r="B755" s="35">
        <v>46109</v>
      </c>
      <c r="C755" s="36" t="s">
        <v>29</v>
      </c>
      <c r="D755" s="36" t="s">
        <v>30</v>
      </c>
      <c r="E755" s="36" t="s">
        <v>31</v>
      </c>
      <c r="F755" s="36" t="s">
        <v>32</v>
      </c>
      <c r="G755" s="37">
        <v>77</v>
      </c>
      <c r="H755" s="66">
        <v>46722</v>
      </c>
      <c r="I755" s="38">
        <f t="shared" ca="1" si="34"/>
        <v>523</v>
      </c>
      <c r="J755" s="38" t="str">
        <f t="shared" ca="1" si="35"/>
        <v>OK</v>
      </c>
      <c r="K755" s="36" t="s">
        <v>180</v>
      </c>
      <c r="L755" s="39"/>
    </row>
    <row r="756" spans="1:12" x14ac:dyDescent="0.35">
      <c r="A756" s="34" t="str">
        <f t="shared" si="33"/>
        <v>DON-0752</v>
      </c>
      <c r="B756" s="35">
        <v>46109</v>
      </c>
      <c r="C756" s="36" t="s">
        <v>67</v>
      </c>
      <c r="D756" s="36" t="s">
        <v>68</v>
      </c>
      <c r="E756" s="36" t="s">
        <v>66</v>
      </c>
      <c r="F756" s="36" t="s">
        <v>42</v>
      </c>
      <c r="G756" s="37">
        <v>79</v>
      </c>
      <c r="H756" s="66">
        <v>47194</v>
      </c>
      <c r="I756" s="38">
        <f t="shared" ca="1" si="34"/>
        <v>995</v>
      </c>
      <c r="J756" s="38" t="str">
        <f t="shared" ca="1" si="35"/>
        <v>OK</v>
      </c>
      <c r="K756" s="36" t="s">
        <v>180</v>
      </c>
      <c r="L756" s="39"/>
    </row>
    <row r="757" spans="1:12" x14ac:dyDescent="0.35">
      <c r="A757" s="34" t="str">
        <f t="shared" si="33"/>
        <v>DON-0753</v>
      </c>
      <c r="B757" s="35">
        <v>46115</v>
      </c>
      <c r="C757" s="36" t="s">
        <v>111</v>
      </c>
      <c r="D757" s="36" t="s">
        <v>112</v>
      </c>
      <c r="E757" s="36" t="s">
        <v>102</v>
      </c>
      <c r="F757" s="36" t="s">
        <v>113</v>
      </c>
      <c r="G757" s="37">
        <v>96</v>
      </c>
      <c r="H757" s="66">
        <v>46562</v>
      </c>
      <c r="I757" s="38">
        <f t="shared" ca="1" si="34"/>
        <v>363</v>
      </c>
      <c r="J757" s="38" t="str">
        <f t="shared" ca="1" si="35"/>
        <v>OK</v>
      </c>
      <c r="K757" s="36" t="s">
        <v>177</v>
      </c>
      <c r="L757" s="39"/>
    </row>
    <row r="758" spans="1:12" x14ac:dyDescent="0.35">
      <c r="A758" s="34" t="str">
        <f t="shared" si="33"/>
        <v>DON-0754</v>
      </c>
      <c r="B758" s="35">
        <v>46115</v>
      </c>
      <c r="C758" s="36" t="s">
        <v>100</v>
      </c>
      <c r="D758" s="36" t="s">
        <v>101</v>
      </c>
      <c r="E758" s="36" t="s">
        <v>102</v>
      </c>
      <c r="F758" s="36" t="s">
        <v>103</v>
      </c>
      <c r="G758" s="37">
        <v>51</v>
      </c>
      <c r="H758" s="66">
        <v>47180</v>
      </c>
      <c r="I758" s="38">
        <f t="shared" ca="1" si="34"/>
        <v>981</v>
      </c>
      <c r="J758" s="38" t="str">
        <f t="shared" ca="1" si="35"/>
        <v>OK</v>
      </c>
      <c r="K758" s="36" t="s">
        <v>177</v>
      </c>
      <c r="L758" s="39"/>
    </row>
    <row r="759" spans="1:12" x14ac:dyDescent="0.35">
      <c r="A759" s="34" t="str">
        <f t="shared" si="33"/>
        <v>DON-0755</v>
      </c>
      <c r="B759" s="35">
        <v>46115</v>
      </c>
      <c r="C759" s="36" t="s">
        <v>94</v>
      </c>
      <c r="D759" s="36" t="s">
        <v>95</v>
      </c>
      <c r="E759" s="36" t="s">
        <v>93</v>
      </c>
      <c r="F759" s="36" t="s">
        <v>96</v>
      </c>
      <c r="G759" s="37">
        <v>42</v>
      </c>
      <c r="H759" s="66">
        <v>46414</v>
      </c>
      <c r="I759" s="38">
        <f t="shared" ca="1" si="34"/>
        <v>215</v>
      </c>
      <c r="J759" s="38" t="str">
        <f t="shared" ca="1" si="35"/>
        <v>OK</v>
      </c>
      <c r="K759" s="36" t="s">
        <v>177</v>
      </c>
      <c r="L759" s="39"/>
    </row>
    <row r="760" spans="1:12" x14ac:dyDescent="0.35">
      <c r="A760" s="34" t="str">
        <f t="shared" si="33"/>
        <v>DON-0756</v>
      </c>
      <c r="B760" s="35">
        <v>46116</v>
      </c>
      <c r="C760" s="36" t="s">
        <v>151</v>
      </c>
      <c r="D760" s="36" t="s">
        <v>152</v>
      </c>
      <c r="E760" s="36" t="s">
        <v>8</v>
      </c>
      <c r="F760" s="36" t="s">
        <v>143</v>
      </c>
      <c r="G760" s="37">
        <v>27</v>
      </c>
      <c r="H760" s="66">
        <v>46127</v>
      </c>
      <c r="I760" s="38">
        <f t="shared" ca="1" si="34"/>
        <v>-72</v>
      </c>
      <c r="J760" s="38" t="str">
        <f t="shared" ca="1" si="35"/>
        <v>EXPIRED</v>
      </c>
      <c r="K760" s="36" t="s">
        <v>181</v>
      </c>
      <c r="L760" s="39"/>
    </row>
    <row r="761" spans="1:12" x14ac:dyDescent="0.35">
      <c r="A761" s="34" t="str">
        <f t="shared" si="33"/>
        <v>DON-0757</v>
      </c>
      <c r="B761" s="35">
        <v>46116</v>
      </c>
      <c r="C761" s="36" t="s">
        <v>153</v>
      </c>
      <c r="D761" s="36" t="s">
        <v>154</v>
      </c>
      <c r="E761" s="36" t="s">
        <v>12</v>
      </c>
      <c r="F761" s="36" t="s">
        <v>155</v>
      </c>
      <c r="G761" s="37">
        <v>13</v>
      </c>
      <c r="H761" s="66">
        <v>46238</v>
      </c>
      <c r="I761" s="38">
        <f t="shared" ca="1" si="34"/>
        <v>39</v>
      </c>
      <c r="J761" s="38" t="str">
        <f t="shared" ca="1" si="35"/>
        <v>OK</v>
      </c>
      <c r="K761" s="36" t="s">
        <v>181</v>
      </c>
      <c r="L761" s="39"/>
    </row>
    <row r="762" spans="1:12" x14ac:dyDescent="0.35">
      <c r="A762" s="34" t="str">
        <f t="shared" si="33"/>
        <v>DON-0758</v>
      </c>
      <c r="B762" s="35">
        <v>46116</v>
      </c>
      <c r="C762" s="36" t="s">
        <v>91</v>
      </c>
      <c r="D762" s="36" t="s">
        <v>92</v>
      </c>
      <c r="E762" s="36" t="s">
        <v>93</v>
      </c>
      <c r="F762" s="36" t="s">
        <v>85</v>
      </c>
      <c r="G762" s="37">
        <v>59</v>
      </c>
      <c r="H762" s="66">
        <v>46252</v>
      </c>
      <c r="I762" s="38">
        <f t="shared" ca="1" si="34"/>
        <v>53</v>
      </c>
      <c r="J762" s="38" t="str">
        <f t="shared" ca="1" si="35"/>
        <v>OK</v>
      </c>
      <c r="K762" s="36" t="s">
        <v>181</v>
      </c>
      <c r="L762" s="39"/>
    </row>
    <row r="763" spans="1:12" x14ac:dyDescent="0.35">
      <c r="A763" s="34" t="str">
        <f t="shared" si="33"/>
        <v>DON-0759</v>
      </c>
      <c r="B763" s="35">
        <v>46116</v>
      </c>
      <c r="C763" s="36" t="s">
        <v>117</v>
      </c>
      <c r="D763" s="36" t="s">
        <v>118</v>
      </c>
      <c r="E763" s="36" t="s">
        <v>14</v>
      </c>
      <c r="F763" s="36" t="s">
        <v>119</v>
      </c>
      <c r="G763" s="37">
        <v>10</v>
      </c>
      <c r="H763" s="66">
        <v>46275</v>
      </c>
      <c r="I763" s="38">
        <f t="shared" ca="1" si="34"/>
        <v>76</v>
      </c>
      <c r="J763" s="38" t="str">
        <f t="shared" ca="1" si="35"/>
        <v>OK</v>
      </c>
      <c r="K763" s="36" t="s">
        <v>181</v>
      </c>
      <c r="L763" s="39"/>
    </row>
    <row r="764" spans="1:12" x14ac:dyDescent="0.35">
      <c r="A764" s="34" t="str">
        <f t="shared" si="33"/>
        <v>DON-0760</v>
      </c>
      <c r="B764" s="35">
        <v>46116</v>
      </c>
      <c r="C764" s="36" t="s">
        <v>59</v>
      </c>
      <c r="D764" s="36" t="s">
        <v>60</v>
      </c>
      <c r="E764" s="36" t="s">
        <v>53</v>
      </c>
      <c r="F764" s="36" t="s">
        <v>56</v>
      </c>
      <c r="G764" s="37">
        <v>107</v>
      </c>
      <c r="H764" s="66">
        <v>46557</v>
      </c>
      <c r="I764" s="38">
        <f t="shared" ca="1" si="34"/>
        <v>358</v>
      </c>
      <c r="J764" s="38" t="str">
        <f t="shared" ca="1" si="35"/>
        <v>OK</v>
      </c>
      <c r="K764" s="36" t="s">
        <v>181</v>
      </c>
      <c r="L764" s="39"/>
    </row>
    <row r="765" spans="1:12" x14ac:dyDescent="0.35">
      <c r="A765" s="34" t="str">
        <f t="shared" si="33"/>
        <v>DON-0761</v>
      </c>
      <c r="B765" s="35">
        <v>46116</v>
      </c>
      <c r="C765" s="36" t="s">
        <v>61</v>
      </c>
      <c r="D765" s="36" t="s">
        <v>62</v>
      </c>
      <c r="E765" s="36" t="s">
        <v>53</v>
      </c>
      <c r="F765" s="36" t="s">
        <v>42</v>
      </c>
      <c r="G765" s="37">
        <v>51</v>
      </c>
      <c r="H765" s="66">
        <v>46998</v>
      </c>
      <c r="I765" s="38">
        <f t="shared" ca="1" si="34"/>
        <v>799</v>
      </c>
      <c r="J765" s="38" t="str">
        <f t="shared" ca="1" si="35"/>
        <v>OK</v>
      </c>
      <c r="K765" s="36" t="s">
        <v>181</v>
      </c>
      <c r="L765" s="39"/>
    </row>
    <row r="766" spans="1:12" x14ac:dyDescent="0.35">
      <c r="A766" s="34" t="str">
        <f t="shared" si="33"/>
        <v>DON-0762</v>
      </c>
      <c r="B766" s="35">
        <v>46116</v>
      </c>
      <c r="C766" s="36" t="s">
        <v>54</v>
      </c>
      <c r="D766" s="36" t="s">
        <v>55</v>
      </c>
      <c r="E766" s="36" t="s">
        <v>53</v>
      </c>
      <c r="F766" s="36" t="s">
        <v>56</v>
      </c>
      <c r="G766" s="37">
        <v>153</v>
      </c>
      <c r="H766" s="66">
        <v>47165</v>
      </c>
      <c r="I766" s="38">
        <f t="shared" ca="1" si="34"/>
        <v>966</v>
      </c>
      <c r="J766" s="38" t="str">
        <f t="shared" ca="1" si="35"/>
        <v>OK</v>
      </c>
      <c r="K766" s="36" t="s">
        <v>181</v>
      </c>
      <c r="L766" s="39"/>
    </row>
    <row r="767" spans="1:12" x14ac:dyDescent="0.35">
      <c r="A767" s="34" t="str">
        <f t="shared" si="33"/>
        <v>DON-0763</v>
      </c>
      <c r="B767" s="35">
        <v>46116</v>
      </c>
      <c r="C767" s="36" t="s">
        <v>125</v>
      </c>
      <c r="D767" s="36" t="s">
        <v>126</v>
      </c>
      <c r="E767" s="36" t="s">
        <v>14</v>
      </c>
      <c r="F767" s="36" t="s">
        <v>127</v>
      </c>
      <c r="G767" s="37">
        <v>17</v>
      </c>
      <c r="H767" s="66">
        <v>47197</v>
      </c>
      <c r="I767" s="38">
        <f t="shared" ca="1" si="34"/>
        <v>998</v>
      </c>
      <c r="J767" s="38" t="str">
        <f t="shared" ca="1" si="35"/>
        <v>OK</v>
      </c>
      <c r="K767" s="36" t="s">
        <v>181</v>
      </c>
      <c r="L767" s="39"/>
    </row>
    <row r="768" spans="1:12" x14ac:dyDescent="0.35">
      <c r="A768" s="34" t="str">
        <f t="shared" si="33"/>
        <v>DON-0764</v>
      </c>
      <c r="B768" s="35">
        <v>46117</v>
      </c>
      <c r="C768" s="36" t="s">
        <v>128</v>
      </c>
      <c r="D768" s="36" t="s">
        <v>9</v>
      </c>
      <c r="E768" s="36" t="s">
        <v>10</v>
      </c>
      <c r="F768" s="36" t="s">
        <v>129</v>
      </c>
      <c r="G768" s="37">
        <v>16</v>
      </c>
      <c r="H768" s="66">
        <v>46122</v>
      </c>
      <c r="I768" s="38">
        <f t="shared" ca="1" si="34"/>
        <v>-77</v>
      </c>
      <c r="J768" s="38" t="str">
        <f t="shared" ca="1" si="35"/>
        <v>EXPIRED</v>
      </c>
      <c r="K768" s="36" t="s">
        <v>179</v>
      </c>
      <c r="L768" s="39"/>
    </row>
    <row r="769" spans="1:12" x14ac:dyDescent="0.35">
      <c r="A769" s="34" t="str">
        <f t="shared" si="33"/>
        <v>DON-0765</v>
      </c>
      <c r="B769" s="35">
        <v>46117</v>
      </c>
      <c r="C769" s="36" t="s">
        <v>156</v>
      </c>
      <c r="D769" s="36" t="s">
        <v>11</v>
      </c>
      <c r="E769" s="36" t="s">
        <v>12</v>
      </c>
      <c r="F769" s="36" t="s">
        <v>155</v>
      </c>
      <c r="G769" s="37">
        <v>17</v>
      </c>
      <c r="H769" s="66">
        <v>46129</v>
      </c>
      <c r="I769" s="38">
        <f t="shared" ca="1" si="34"/>
        <v>-70</v>
      </c>
      <c r="J769" s="38" t="str">
        <f t="shared" ca="1" si="35"/>
        <v>EXPIRED</v>
      </c>
      <c r="K769" s="36" t="s">
        <v>179</v>
      </c>
      <c r="L769" s="39"/>
    </row>
    <row r="770" spans="1:12" x14ac:dyDescent="0.35">
      <c r="A770" s="34" t="str">
        <f t="shared" si="33"/>
        <v>DON-0766</v>
      </c>
      <c r="B770" s="35">
        <v>46117</v>
      </c>
      <c r="C770" s="36" t="s">
        <v>117</v>
      </c>
      <c r="D770" s="36" t="s">
        <v>118</v>
      </c>
      <c r="E770" s="36" t="s">
        <v>14</v>
      </c>
      <c r="F770" s="36" t="s">
        <v>119</v>
      </c>
      <c r="G770" s="37">
        <v>20</v>
      </c>
      <c r="H770" s="66">
        <v>46308</v>
      </c>
      <c r="I770" s="38">
        <f t="shared" ca="1" si="34"/>
        <v>109</v>
      </c>
      <c r="J770" s="38" t="str">
        <f t="shared" ca="1" si="35"/>
        <v>OK</v>
      </c>
      <c r="K770" s="36" t="s">
        <v>179</v>
      </c>
      <c r="L770" s="39"/>
    </row>
    <row r="771" spans="1:12" x14ac:dyDescent="0.35">
      <c r="A771" s="34" t="str">
        <f t="shared" si="33"/>
        <v>DON-0767</v>
      </c>
      <c r="B771" s="35">
        <v>46117</v>
      </c>
      <c r="C771" s="36" t="s">
        <v>157</v>
      </c>
      <c r="D771" s="36" t="s">
        <v>158</v>
      </c>
      <c r="E771" s="36" t="s">
        <v>159</v>
      </c>
      <c r="F771" s="36" t="s">
        <v>160</v>
      </c>
      <c r="G771" s="37">
        <v>24</v>
      </c>
      <c r="H771" s="66">
        <v>46328</v>
      </c>
      <c r="I771" s="38">
        <f t="shared" ca="1" si="34"/>
        <v>129</v>
      </c>
      <c r="J771" s="38" t="str">
        <f t="shared" ca="1" si="35"/>
        <v>OK</v>
      </c>
      <c r="K771" s="36" t="s">
        <v>179</v>
      </c>
      <c r="L771" s="39"/>
    </row>
    <row r="772" spans="1:12" x14ac:dyDescent="0.35">
      <c r="A772" s="34" t="str">
        <f t="shared" si="33"/>
        <v>DON-0768</v>
      </c>
      <c r="B772" s="35">
        <v>46117</v>
      </c>
      <c r="C772" s="36" t="s">
        <v>104</v>
      </c>
      <c r="D772" s="36" t="s">
        <v>105</v>
      </c>
      <c r="E772" s="36" t="s">
        <v>102</v>
      </c>
      <c r="F772" s="36" t="s">
        <v>103</v>
      </c>
      <c r="G772" s="37">
        <v>74</v>
      </c>
      <c r="H772" s="66">
        <v>46728</v>
      </c>
      <c r="I772" s="38">
        <f t="shared" ca="1" si="34"/>
        <v>529</v>
      </c>
      <c r="J772" s="38" t="str">
        <f t="shared" ca="1" si="35"/>
        <v>OK</v>
      </c>
      <c r="K772" s="36" t="s">
        <v>179</v>
      </c>
      <c r="L772" s="39"/>
    </row>
    <row r="773" spans="1:12" x14ac:dyDescent="0.35">
      <c r="A773" s="34" t="str">
        <f t="shared" ref="A773:A836" si="36">IF(G773="","","DON-"&amp;TEXT(ROW()-4,"0000"))</f>
        <v>DON-0769</v>
      </c>
      <c r="B773" s="35">
        <v>46117</v>
      </c>
      <c r="C773" s="36" t="s">
        <v>34</v>
      </c>
      <c r="D773" s="36" t="s">
        <v>35</v>
      </c>
      <c r="E773" s="36" t="s">
        <v>31</v>
      </c>
      <c r="F773" s="36" t="s">
        <v>36</v>
      </c>
      <c r="G773" s="37">
        <v>81</v>
      </c>
      <c r="H773" s="66">
        <v>46775</v>
      </c>
      <c r="I773" s="38">
        <f t="shared" ref="I773:I836" ca="1" si="37">IF(H773="","",H773-TODAY())</f>
        <v>576</v>
      </c>
      <c r="J773" s="38" t="str">
        <f t="shared" ref="J773:J836" ca="1" si="38">IF(I773="","",IF(I773&lt;=0,"EXPIRED",IF(I773&lt;=3,"CRITICAL",IF(I773&lt;=7,"WARNING",IF(I773&lt;=30,"NOTICE","OK")))))</f>
        <v>OK</v>
      </c>
      <c r="K773" s="36" t="s">
        <v>179</v>
      </c>
      <c r="L773" s="39"/>
    </row>
    <row r="774" spans="1:12" x14ac:dyDescent="0.35">
      <c r="A774" s="34" t="str">
        <f t="shared" si="36"/>
        <v>DON-0770</v>
      </c>
      <c r="B774" s="35">
        <v>46117</v>
      </c>
      <c r="C774" s="36" t="s">
        <v>125</v>
      </c>
      <c r="D774" s="36" t="s">
        <v>126</v>
      </c>
      <c r="E774" s="36" t="s">
        <v>14</v>
      </c>
      <c r="F774" s="36" t="s">
        <v>127</v>
      </c>
      <c r="G774" s="37">
        <v>23</v>
      </c>
      <c r="H774" s="66">
        <v>47092</v>
      </c>
      <c r="I774" s="38">
        <f t="shared" ca="1" si="37"/>
        <v>893</v>
      </c>
      <c r="J774" s="38" t="str">
        <f t="shared" ca="1" si="38"/>
        <v>OK</v>
      </c>
      <c r="K774" s="36" t="s">
        <v>179</v>
      </c>
      <c r="L774" s="39"/>
    </row>
    <row r="775" spans="1:12" x14ac:dyDescent="0.35">
      <c r="A775" s="34" t="str">
        <f t="shared" si="36"/>
        <v>DON-0771</v>
      </c>
      <c r="B775" s="35">
        <v>46117</v>
      </c>
      <c r="C775" s="36" t="s">
        <v>29</v>
      </c>
      <c r="D775" s="36" t="s">
        <v>30</v>
      </c>
      <c r="E775" s="36" t="s">
        <v>31</v>
      </c>
      <c r="F775" s="36" t="s">
        <v>32</v>
      </c>
      <c r="G775" s="37">
        <v>38</v>
      </c>
      <c r="H775" s="66">
        <v>47196</v>
      </c>
      <c r="I775" s="38">
        <f t="shared" ca="1" si="37"/>
        <v>997</v>
      </c>
      <c r="J775" s="38" t="str">
        <f t="shared" ca="1" si="38"/>
        <v>OK</v>
      </c>
      <c r="K775" s="36" t="s">
        <v>179</v>
      </c>
      <c r="L775" s="39"/>
    </row>
    <row r="776" spans="1:12" x14ac:dyDescent="0.35">
      <c r="A776" s="34" t="str">
        <f t="shared" si="36"/>
        <v>DON-0772</v>
      </c>
      <c r="B776" s="35">
        <v>46118</v>
      </c>
      <c r="C776" s="36" t="s">
        <v>128</v>
      </c>
      <c r="D776" s="36" t="s">
        <v>9</v>
      </c>
      <c r="E776" s="36" t="s">
        <v>10</v>
      </c>
      <c r="F776" s="36" t="s">
        <v>129</v>
      </c>
      <c r="G776" s="37">
        <v>16</v>
      </c>
      <c r="H776" s="66">
        <v>46128</v>
      </c>
      <c r="I776" s="38">
        <f t="shared" ca="1" si="37"/>
        <v>-71</v>
      </c>
      <c r="J776" s="38" t="str">
        <f t="shared" ca="1" si="38"/>
        <v>EXPIRED</v>
      </c>
      <c r="K776" s="36" t="s">
        <v>176</v>
      </c>
      <c r="L776" s="39"/>
    </row>
    <row r="777" spans="1:12" x14ac:dyDescent="0.35">
      <c r="A777" s="34" t="str">
        <f t="shared" si="36"/>
        <v>DON-0773</v>
      </c>
      <c r="B777" s="35">
        <v>46118</v>
      </c>
      <c r="C777" s="36" t="s">
        <v>149</v>
      </c>
      <c r="D777" s="36" t="s">
        <v>150</v>
      </c>
      <c r="E777" s="36" t="s">
        <v>8</v>
      </c>
      <c r="F777" s="36" t="s">
        <v>75</v>
      </c>
      <c r="G777" s="37">
        <v>14</v>
      </c>
      <c r="H777" s="66">
        <v>46151</v>
      </c>
      <c r="I777" s="38">
        <f t="shared" ca="1" si="37"/>
        <v>-48</v>
      </c>
      <c r="J777" s="38" t="str">
        <f t="shared" ca="1" si="38"/>
        <v>EXPIRED</v>
      </c>
      <c r="K777" s="36" t="s">
        <v>178</v>
      </c>
      <c r="L777" s="39"/>
    </row>
    <row r="778" spans="1:12" x14ac:dyDescent="0.35">
      <c r="A778" s="34" t="str">
        <f t="shared" si="36"/>
        <v>DON-0774</v>
      </c>
      <c r="B778" s="35">
        <v>46118</v>
      </c>
      <c r="C778" s="36" t="s">
        <v>130</v>
      </c>
      <c r="D778" s="36" t="s">
        <v>16</v>
      </c>
      <c r="E778" s="36" t="s">
        <v>10</v>
      </c>
      <c r="F778" s="36" t="s">
        <v>131</v>
      </c>
      <c r="G778" s="37">
        <v>31</v>
      </c>
      <c r="H778" s="66">
        <v>46153</v>
      </c>
      <c r="I778" s="38">
        <f t="shared" ca="1" si="37"/>
        <v>-46</v>
      </c>
      <c r="J778" s="38" t="str">
        <f t="shared" ca="1" si="38"/>
        <v>EXPIRED</v>
      </c>
      <c r="K778" s="36" t="s">
        <v>178</v>
      </c>
      <c r="L778" s="39"/>
    </row>
    <row r="779" spans="1:12" x14ac:dyDescent="0.35">
      <c r="A779" s="34" t="str">
        <f t="shared" si="36"/>
        <v>DON-0775</v>
      </c>
      <c r="B779" s="35">
        <v>46118</v>
      </c>
      <c r="C779" s="36" t="s">
        <v>97</v>
      </c>
      <c r="D779" s="36" t="s">
        <v>98</v>
      </c>
      <c r="E779" s="36" t="s">
        <v>93</v>
      </c>
      <c r="F779" s="36" t="s">
        <v>99</v>
      </c>
      <c r="G779" s="37">
        <v>19</v>
      </c>
      <c r="H779" s="66">
        <v>46199</v>
      </c>
      <c r="I779" s="38">
        <f t="shared" ca="1" si="37"/>
        <v>0</v>
      </c>
      <c r="J779" s="38" t="str">
        <f t="shared" ca="1" si="38"/>
        <v>EXPIRED</v>
      </c>
      <c r="K779" s="36" t="s">
        <v>176</v>
      </c>
      <c r="L779" s="39"/>
    </row>
    <row r="780" spans="1:12" x14ac:dyDescent="0.35">
      <c r="A780" s="34" t="str">
        <f t="shared" si="36"/>
        <v>DON-0776</v>
      </c>
      <c r="B780" s="35">
        <v>46118</v>
      </c>
      <c r="C780" s="36" t="s">
        <v>48</v>
      </c>
      <c r="D780" s="36" t="s">
        <v>49</v>
      </c>
      <c r="E780" s="36" t="s">
        <v>31</v>
      </c>
      <c r="F780" s="36" t="s">
        <v>50</v>
      </c>
      <c r="G780" s="37">
        <v>76</v>
      </c>
      <c r="H780" s="66">
        <v>46250</v>
      </c>
      <c r="I780" s="38">
        <f t="shared" ca="1" si="37"/>
        <v>51</v>
      </c>
      <c r="J780" s="38" t="str">
        <f t="shared" ca="1" si="38"/>
        <v>OK</v>
      </c>
      <c r="K780" s="36" t="s">
        <v>178</v>
      </c>
      <c r="L780" s="39"/>
    </row>
    <row r="781" spans="1:12" x14ac:dyDescent="0.35">
      <c r="A781" s="34" t="str">
        <f t="shared" si="36"/>
        <v>DON-0777</v>
      </c>
      <c r="B781" s="35">
        <v>46118</v>
      </c>
      <c r="C781" s="36" t="s">
        <v>69</v>
      </c>
      <c r="D781" s="36" t="s">
        <v>70</v>
      </c>
      <c r="E781" s="36" t="s">
        <v>66</v>
      </c>
      <c r="F781" s="36" t="s">
        <v>71</v>
      </c>
      <c r="G781" s="37">
        <v>76</v>
      </c>
      <c r="H781" s="66">
        <v>46666</v>
      </c>
      <c r="I781" s="38">
        <f t="shared" ca="1" si="37"/>
        <v>467</v>
      </c>
      <c r="J781" s="38" t="str">
        <f t="shared" ca="1" si="38"/>
        <v>OK</v>
      </c>
      <c r="K781" s="36" t="s">
        <v>178</v>
      </c>
      <c r="L781" s="39"/>
    </row>
    <row r="782" spans="1:12" x14ac:dyDescent="0.35">
      <c r="A782" s="34" t="str">
        <f t="shared" si="36"/>
        <v>DON-0778</v>
      </c>
      <c r="B782" s="35">
        <v>46118</v>
      </c>
      <c r="C782" s="36" t="s">
        <v>67</v>
      </c>
      <c r="D782" s="36" t="s">
        <v>68</v>
      </c>
      <c r="E782" s="36" t="s">
        <v>66</v>
      </c>
      <c r="F782" s="36" t="s">
        <v>42</v>
      </c>
      <c r="G782" s="37">
        <v>95</v>
      </c>
      <c r="H782" s="66">
        <v>46805</v>
      </c>
      <c r="I782" s="38">
        <f t="shared" ca="1" si="37"/>
        <v>606</v>
      </c>
      <c r="J782" s="38" t="str">
        <f t="shared" ca="1" si="38"/>
        <v>OK</v>
      </c>
      <c r="K782" s="36" t="s">
        <v>178</v>
      </c>
      <c r="L782" s="39"/>
    </row>
    <row r="783" spans="1:12" x14ac:dyDescent="0.35">
      <c r="A783" s="34" t="str">
        <f t="shared" si="36"/>
        <v>DON-0779</v>
      </c>
      <c r="B783" s="35">
        <v>46118</v>
      </c>
      <c r="C783" s="36" t="s">
        <v>37</v>
      </c>
      <c r="D783" s="36" t="s">
        <v>38</v>
      </c>
      <c r="E783" s="36" t="s">
        <v>31</v>
      </c>
      <c r="F783" s="36" t="s">
        <v>39</v>
      </c>
      <c r="G783" s="37">
        <v>111</v>
      </c>
      <c r="H783" s="66">
        <v>47060</v>
      </c>
      <c r="I783" s="38">
        <f t="shared" ca="1" si="37"/>
        <v>861</v>
      </c>
      <c r="J783" s="38" t="str">
        <f t="shared" ca="1" si="38"/>
        <v>OK</v>
      </c>
      <c r="K783" s="36" t="s">
        <v>178</v>
      </c>
      <c r="L783" s="39"/>
    </row>
    <row r="784" spans="1:12" x14ac:dyDescent="0.35">
      <c r="A784" s="34" t="str">
        <f t="shared" si="36"/>
        <v>DON-0780</v>
      </c>
      <c r="B784" s="35">
        <v>46118</v>
      </c>
      <c r="C784" s="36" t="s">
        <v>100</v>
      </c>
      <c r="D784" s="36" t="s">
        <v>101</v>
      </c>
      <c r="E784" s="36" t="s">
        <v>102</v>
      </c>
      <c r="F784" s="36" t="s">
        <v>103</v>
      </c>
      <c r="G784" s="37">
        <v>70</v>
      </c>
      <c r="H784" s="66">
        <v>47135</v>
      </c>
      <c r="I784" s="38">
        <f t="shared" ca="1" si="37"/>
        <v>936</v>
      </c>
      <c r="J784" s="38" t="str">
        <f t="shared" ca="1" si="38"/>
        <v>OK</v>
      </c>
      <c r="K784" s="36" t="s">
        <v>176</v>
      </c>
      <c r="L784" s="39"/>
    </row>
    <row r="785" spans="1:12" x14ac:dyDescent="0.35">
      <c r="A785" s="34" t="str">
        <f t="shared" si="36"/>
        <v>DON-0781</v>
      </c>
      <c r="B785" s="35">
        <v>46118</v>
      </c>
      <c r="C785" s="36" t="s">
        <v>122</v>
      </c>
      <c r="D785" s="36" t="s">
        <v>123</v>
      </c>
      <c r="E785" s="36" t="s">
        <v>14</v>
      </c>
      <c r="F785" s="36" t="s">
        <v>124</v>
      </c>
      <c r="G785" s="37">
        <v>28</v>
      </c>
      <c r="H785" s="66">
        <v>47300</v>
      </c>
      <c r="I785" s="38">
        <f t="shared" ca="1" si="37"/>
        <v>1101</v>
      </c>
      <c r="J785" s="38" t="str">
        <f t="shared" ca="1" si="38"/>
        <v>OK</v>
      </c>
      <c r="K785" s="36" t="s">
        <v>178</v>
      </c>
      <c r="L785" s="39"/>
    </row>
    <row r="786" spans="1:12" x14ac:dyDescent="0.35">
      <c r="A786" s="34" t="str">
        <f t="shared" si="36"/>
        <v>DON-0782</v>
      </c>
      <c r="B786" s="35">
        <v>46120</v>
      </c>
      <c r="C786" s="36" t="s">
        <v>146</v>
      </c>
      <c r="D786" s="36" t="s">
        <v>147</v>
      </c>
      <c r="E786" s="36" t="s">
        <v>8</v>
      </c>
      <c r="F786" s="36" t="s">
        <v>148</v>
      </c>
      <c r="G786" s="37">
        <v>35</v>
      </c>
      <c r="H786" s="66">
        <v>46135</v>
      </c>
      <c r="I786" s="38">
        <f t="shared" ca="1" si="37"/>
        <v>-64</v>
      </c>
      <c r="J786" s="38" t="str">
        <f t="shared" ca="1" si="38"/>
        <v>EXPIRED</v>
      </c>
      <c r="K786" s="36" t="s">
        <v>175</v>
      </c>
      <c r="L786" s="39"/>
    </row>
    <row r="787" spans="1:12" x14ac:dyDescent="0.35">
      <c r="A787" s="34" t="str">
        <f t="shared" si="36"/>
        <v>DON-0783</v>
      </c>
      <c r="B787" s="35">
        <v>46120</v>
      </c>
      <c r="C787" s="36" t="s">
        <v>130</v>
      </c>
      <c r="D787" s="36" t="s">
        <v>16</v>
      </c>
      <c r="E787" s="36" t="s">
        <v>10</v>
      </c>
      <c r="F787" s="36" t="s">
        <v>131</v>
      </c>
      <c r="G787" s="37">
        <v>40</v>
      </c>
      <c r="H787" s="66">
        <v>46141</v>
      </c>
      <c r="I787" s="38">
        <f t="shared" ca="1" si="37"/>
        <v>-58</v>
      </c>
      <c r="J787" s="38" t="str">
        <f t="shared" ca="1" si="38"/>
        <v>EXPIRED</v>
      </c>
      <c r="K787" s="36" t="s">
        <v>175</v>
      </c>
      <c r="L787" s="39"/>
    </row>
    <row r="788" spans="1:12" x14ac:dyDescent="0.35">
      <c r="A788" s="34" t="str">
        <f t="shared" si="36"/>
        <v>DON-0784</v>
      </c>
      <c r="B788" s="35">
        <v>46120</v>
      </c>
      <c r="C788" s="36" t="s">
        <v>97</v>
      </c>
      <c r="D788" s="36" t="s">
        <v>98</v>
      </c>
      <c r="E788" s="36" t="s">
        <v>93</v>
      </c>
      <c r="F788" s="36" t="s">
        <v>99</v>
      </c>
      <c r="G788" s="37">
        <v>24</v>
      </c>
      <c r="H788" s="66">
        <v>46268</v>
      </c>
      <c r="I788" s="38">
        <f t="shared" ca="1" si="37"/>
        <v>69</v>
      </c>
      <c r="J788" s="38" t="str">
        <f t="shared" ca="1" si="38"/>
        <v>OK</v>
      </c>
      <c r="K788" s="36" t="s">
        <v>175</v>
      </c>
      <c r="L788" s="39"/>
    </row>
    <row r="789" spans="1:12" x14ac:dyDescent="0.35">
      <c r="A789" s="34" t="str">
        <f t="shared" si="36"/>
        <v>DON-0785</v>
      </c>
      <c r="B789" s="35">
        <v>46120</v>
      </c>
      <c r="C789" s="36" t="s">
        <v>72</v>
      </c>
      <c r="D789" s="36" t="s">
        <v>73</v>
      </c>
      <c r="E789" s="36" t="s">
        <v>74</v>
      </c>
      <c r="F789" s="36" t="s">
        <v>75</v>
      </c>
      <c r="G789" s="37">
        <v>46</v>
      </c>
      <c r="H789" s="66">
        <v>46741</v>
      </c>
      <c r="I789" s="38">
        <f t="shared" ca="1" si="37"/>
        <v>542</v>
      </c>
      <c r="J789" s="38" t="str">
        <f t="shared" ca="1" si="38"/>
        <v>OK</v>
      </c>
      <c r="K789" s="36" t="s">
        <v>175</v>
      </c>
      <c r="L789" s="39"/>
    </row>
    <row r="790" spans="1:12" x14ac:dyDescent="0.35">
      <c r="A790" s="34" t="str">
        <f t="shared" si="36"/>
        <v>DON-0786</v>
      </c>
      <c r="B790" s="35">
        <v>46124</v>
      </c>
      <c r="C790" s="36" t="s">
        <v>137</v>
      </c>
      <c r="D790" s="36" t="s">
        <v>15</v>
      </c>
      <c r="E790" s="36" t="s">
        <v>6</v>
      </c>
      <c r="F790" s="36" t="s">
        <v>136</v>
      </c>
      <c r="G790" s="37">
        <v>20</v>
      </c>
      <c r="H790" s="66">
        <v>46128</v>
      </c>
      <c r="I790" s="38">
        <f t="shared" ca="1" si="37"/>
        <v>-71</v>
      </c>
      <c r="J790" s="38" t="str">
        <f t="shared" ca="1" si="38"/>
        <v>EXPIRED</v>
      </c>
      <c r="K790" s="36" t="s">
        <v>177</v>
      </c>
      <c r="L790" s="39"/>
    </row>
    <row r="791" spans="1:12" x14ac:dyDescent="0.35">
      <c r="A791" s="34" t="str">
        <f t="shared" si="36"/>
        <v>DON-0787</v>
      </c>
      <c r="B791" s="35">
        <v>46124</v>
      </c>
      <c r="C791" s="36" t="s">
        <v>81</v>
      </c>
      <c r="D791" s="36" t="s">
        <v>82</v>
      </c>
      <c r="E791" s="36" t="s">
        <v>74</v>
      </c>
      <c r="F791" s="36" t="s">
        <v>80</v>
      </c>
      <c r="G791" s="37">
        <v>33</v>
      </c>
      <c r="H791" s="66">
        <v>46731</v>
      </c>
      <c r="I791" s="38">
        <f t="shared" ca="1" si="37"/>
        <v>532</v>
      </c>
      <c r="J791" s="38" t="str">
        <f t="shared" ca="1" si="38"/>
        <v>OK</v>
      </c>
      <c r="K791" s="36" t="s">
        <v>177</v>
      </c>
      <c r="L791" s="39"/>
    </row>
    <row r="792" spans="1:12" x14ac:dyDescent="0.35">
      <c r="A792" s="34" t="str">
        <f t="shared" si="36"/>
        <v>DON-0788</v>
      </c>
      <c r="B792" s="35">
        <v>46124</v>
      </c>
      <c r="C792" s="36" t="s">
        <v>161</v>
      </c>
      <c r="D792" s="36" t="s">
        <v>162</v>
      </c>
      <c r="E792" s="36" t="s">
        <v>159</v>
      </c>
      <c r="F792" s="36" t="s">
        <v>163</v>
      </c>
      <c r="G792" s="37">
        <v>43</v>
      </c>
      <c r="H792" s="66">
        <v>46732</v>
      </c>
      <c r="I792" s="38">
        <f t="shared" ca="1" si="37"/>
        <v>533</v>
      </c>
      <c r="J792" s="38" t="str">
        <f t="shared" ca="1" si="38"/>
        <v>OK</v>
      </c>
      <c r="K792" s="36" t="s">
        <v>177</v>
      </c>
      <c r="L792" s="39"/>
    </row>
    <row r="793" spans="1:12" x14ac:dyDescent="0.35">
      <c r="A793" s="34" t="str">
        <f t="shared" si="36"/>
        <v>DON-0789</v>
      </c>
      <c r="B793" s="35">
        <v>46125</v>
      </c>
      <c r="C793" s="36" t="s">
        <v>48</v>
      </c>
      <c r="D793" s="36" t="s">
        <v>49</v>
      </c>
      <c r="E793" s="36" t="s">
        <v>31</v>
      </c>
      <c r="F793" s="36" t="s">
        <v>50</v>
      </c>
      <c r="G793" s="37">
        <v>106</v>
      </c>
      <c r="H793" s="66">
        <v>46333</v>
      </c>
      <c r="I793" s="38">
        <f t="shared" ca="1" si="37"/>
        <v>134</v>
      </c>
      <c r="J793" s="38" t="str">
        <f t="shared" ca="1" si="38"/>
        <v>OK</v>
      </c>
      <c r="K793" s="36" t="s">
        <v>178</v>
      </c>
      <c r="L793" s="39"/>
    </row>
    <row r="794" spans="1:12" x14ac:dyDescent="0.35">
      <c r="A794" s="34" t="str">
        <f t="shared" si="36"/>
        <v>DON-0790</v>
      </c>
      <c r="B794" s="35">
        <v>46125</v>
      </c>
      <c r="C794" s="36" t="s">
        <v>69</v>
      </c>
      <c r="D794" s="36" t="s">
        <v>70</v>
      </c>
      <c r="E794" s="36" t="s">
        <v>66</v>
      </c>
      <c r="F794" s="36" t="s">
        <v>71</v>
      </c>
      <c r="G794" s="37">
        <v>96</v>
      </c>
      <c r="H794" s="66">
        <v>46896</v>
      </c>
      <c r="I794" s="38">
        <f t="shared" ca="1" si="37"/>
        <v>697</v>
      </c>
      <c r="J794" s="38" t="str">
        <f t="shared" ca="1" si="38"/>
        <v>OK</v>
      </c>
      <c r="K794" s="36" t="s">
        <v>178</v>
      </c>
      <c r="L794" s="39"/>
    </row>
    <row r="795" spans="1:12" x14ac:dyDescent="0.35">
      <c r="A795" s="34" t="str">
        <f t="shared" si="36"/>
        <v>DON-0791</v>
      </c>
      <c r="B795" s="35">
        <v>46125</v>
      </c>
      <c r="C795" s="36" t="s">
        <v>106</v>
      </c>
      <c r="D795" s="36" t="s">
        <v>107</v>
      </c>
      <c r="E795" s="36" t="s">
        <v>102</v>
      </c>
      <c r="F795" s="36" t="s">
        <v>108</v>
      </c>
      <c r="G795" s="37">
        <v>80</v>
      </c>
      <c r="H795" s="66">
        <v>47118</v>
      </c>
      <c r="I795" s="38">
        <f t="shared" ca="1" si="37"/>
        <v>919</v>
      </c>
      <c r="J795" s="38" t="str">
        <f t="shared" ca="1" si="38"/>
        <v>OK</v>
      </c>
      <c r="K795" s="36" t="s">
        <v>178</v>
      </c>
      <c r="L795" s="39"/>
    </row>
    <row r="796" spans="1:12" x14ac:dyDescent="0.35">
      <c r="A796" s="34" t="str">
        <f t="shared" si="36"/>
        <v>DON-0792</v>
      </c>
      <c r="B796" s="35">
        <v>46126</v>
      </c>
      <c r="C796" s="36" t="s">
        <v>138</v>
      </c>
      <c r="D796" s="36" t="s">
        <v>139</v>
      </c>
      <c r="E796" s="36" t="s">
        <v>6</v>
      </c>
      <c r="F796" s="36" t="s">
        <v>140</v>
      </c>
      <c r="G796" s="37">
        <v>36</v>
      </c>
      <c r="H796" s="66">
        <v>46147</v>
      </c>
      <c r="I796" s="38">
        <f t="shared" ca="1" si="37"/>
        <v>-52</v>
      </c>
      <c r="J796" s="38" t="str">
        <f t="shared" ca="1" si="38"/>
        <v>EXPIRED</v>
      </c>
      <c r="K796" s="36" t="s">
        <v>178</v>
      </c>
      <c r="L796" s="39"/>
    </row>
    <row r="797" spans="1:12" x14ac:dyDescent="0.35">
      <c r="A797" s="34" t="str">
        <f t="shared" si="36"/>
        <v>DON-0793</v>
      </c>
      <c r="B797" s="35">
        <v>46126</v>
      </c>
      <c r="C797" s="36" t="s">
        <v>97</v>
      </c>
      <c r="D797" s="36" t="s">
        <v>98</v>
      </c>
      <c r="E797" s="36" t="s">
        <v>93</v>
      </c>
      <c r="F797" s="36" t="s">
        <v>99</v>
      </c>
      <c r="G797" s="37">
        <v>33</v>
      </c>
      <c r="H797" s="66">
        <v>46220</v>
      </c>
      <c r="I797" s="38">
        <f t="shared" ca="1" si="37"/>
        <v>21</v>
      </c>
      <c r="J797" s="38" t="str">
        <f t="shared" ca="1" si="38"/>
        <v>NOTICE</v>
      </c>
      <c r="K797" s="36" t="s">
        <v>181</v>
      </c>
      <c r="L797" s="39"/>
    </row>
    <row r="798" spans="1:12" x14ac:dyDescent="0.35">
      <c r="A798" s="34" t="str">
        <f t="shared" si="36"/>
        <v>DON-0794</v>
      </c>
      <c r="B798" s="35">
        <v>46126</v>
      </c>
      <c r="C798" s="36" t="s">
        <v>86</v>
      </c>
      <c r="D798" s="36" t="s">
        <v>87</v>
      </c>
      <c r="E798" s="36" t="s">
        <v>74</v>
      </c>
      <c r="F798" s="36" t="s">
        <v>75</v>
      </c>
      <c r="G798" s="37">
        <v>30</v>
      </c>
      <c r="H798" s="66">
        <v>46269</v>
      </c>
      <c r="I798" s="38">
        <f t="shared" ca="1" si="37"/>
        <v>70</v>
      </c>
      <c r="J798" s="38" t="str">
        <f t="shared" ca="1" si="38"/>
        <v>OK</v>
      </c>
      <c r="K798" s="36" t="s">
        <v>181</v>
      </c>
      <c r="L798" s="39"/>
    </row>
    <row r="799" spans="1:12" x14ac:dyDescent="0.35">
      <c r="A799" s="34" t="str">
        <f t="shared" si="36"/>
        <v>DON-0795</v>
      </c>
      <c r="B799" s="35">
        <v>46126</v>
      </c>
      <c r="C799" s="36" t="s">
        <v>48</v>
      </c>
      <c r="D799" s="36" t="s">
        <v>49</v>
      </c>
      <c r="E799" s="36" t="s">
        <v>31</v>
      </c>
      <c r="F799" s="36" t="s">
        <v>50</v>
      </c>
      <c r="G799" s="37">
        <v>83</v>
      </c>
      <c r="H799" s="66">
        <v>46378</v>
      </c>
      <c r="I799" s="38">
        <f t="shared" ca="1" si="37"/>
        <v>179</v>
      </c>
      <c r="J799" s="38" t="str">
        <f t="shared" ca="1" si="38"/>
        <v>OK</v>
      </c>
      <c r="K799" s="36" t="s">
        <v>181</v>
      </c>
      <c r="L799" s="39"/>
    </row>
    <row r="800" spans="1:12" x14ac:dyDescent="0.35">
      <c r="A800" s="34" t="str">
        <f t="shared" si="36"/>
        <v>DON-0796</v>
      </c>
      <c r="B800" s="35">
        <v>46126</v>
      </c>
      <c r="C800" s="36" t="s">
        <v>83</v>
      </c>
      <c r="D800" s="36" t="s">
        <v>84</v>
      </c>
      <c r="E800" s="36" t="s">
        <v>74</v>
      </c>
      <c r="F800" s="36" t="s">
        <v>85</v>
      </c>
      <c r="G800" s="37">
        <v>30</v>
      </c>
      <c r="H800" s="66">
        <v>46400</v>
      </c>
      <c r="I800" s="38">
        <f t="shared" ca="1" si="37"/>
        <v>201</v>
      </c>
      <c r="J800" s="38" t="str">
        <f t="shared" ca="1" si="38"/>
        <v>OK</v>
      </c>
      <c r="K800" s="36" t="s">
        <v>181</v>
      </c>
      <c r="L800" s="39"/>
    </row>
    <row r="801" spans="1:12" x14ac:dyDescent="0.35">
      <c r="A801" s="34" t="str">
        <f t="shared" si="36"/>
        <v>DON-0797</v>
      </c>
      <c r="B801" s="35">
        <v>46126</v>
      </c>
      <c r="C801" s="36" t="s">
        <v>46</v>
      </c>
      <c r="D801" s="36" t="s">
        <v>47</v>
      </c>
      <c r="E801" s="36" t="s">
        <v>31</v>
      </c>
      <c r="F801" s="36" t="s">
        <v>42</v>
      </c>
      <c r="G801" s="37">
        <v>71</v>
      </c>
      <c r="H801" s="66">
        <v>46517</v>
      </c>
      <c r="I801" s="38">
        <f t="shared" ca="1" si="37"/>
        <v>318</v>
      </c>
      <c r="J801" s="38" t="str">
        <f t="shared" ca="1" si="38"/>
        <v>OK</v>
      </c>
      <c r="K801" s="36" t="s">
        <v>181</v>
      </c>
      <c r="L801" s="39"/>
    </row>
    <row r="802" spans="1:12" x14ac:dyDescent="0.35">
      <c r="A802" s="34" t="str">
        <f t="shared" si="36"/>
        <v>DON-0798</v>
      </c>
      <c r="B802" s="35">
        <v>46126</v>
      </c>
      <c r="C802" s="36" t="s">
        <v>78</v>
      </c>
      <c r="D802" s="36" t="s">
        <v>79</v>
      </c>
      <c r="E802" s="36" t="s">
        <v>74</v>
      </c>
      <c r="F802" s="36" t="s">
        <v>80</v>
      </c>
      <c r="G802" s="37">
        <v>55</v>
      </c>
      <c r="H802" s="66">
        <v>46561</v>
      </c>
      <c r="I802" s="38">
        <f t="shared" ca="1" si="37"/>
        <v>362</v>
      </c>
      <c r="J802" s="38" t="str">
        <f t="shared" ca="1" si="38"/>
        <v>OK</v>
      </c>
      <c r="K802" s="36" t="s">
        <v>178</v>
      </c>
      <c r="L802" s="39"/>
    </row>
    <row r="803" spans="1:12" x14ac:dyDescent="0.35">
      <c r="A803" s="34" t="str">
        <f t="shared" si="36"/>
        <v>DON-0799</v>
      </c>
      <c r="B803" s="35">
        <v>46126</v>
      </c>
      <c r="C803" s="36" t="s">
        <v>109</v>
      </c>
      <c r="D803" s="36" t="s">
        <v>110</v>
      </c>
      <c r="E803" s="36" t="s">
        <v>102</v>
      </c>
      <c r="F803" s="36" t="s">
        <v>42</v>
      </c>
      <c r="G803" s="37">
        <v>93</v>
      </c>
      <c r="H803" s="66">
        <v>46885</v>
      </c>
      <c r="I803" s="38">
        <f t="shared" ca="1" si="37"/>
        <v>686</v>
      </c>
      <c r="J803" s="38" t="str">
        <f t="shared" ca="1" si="38"/>
        <v>OK</v>
      </c>
      <c r="K803" s="36" t="s">
        <v>181</v>
      </c>
      <c r="L803" s="39"/>
    </row>
    <row r="804" spans="1:12" x14ac:dyDescent="0.35">
      <c r="A804" s="34" t="str">
        <f t="shared" si="36"/>
        <v>DON-0800</v>
      </c>
      <c r="B804" s="35">
        <v>46126</v>
      </c>
      <c r="C804" s="36" t="s">
        <v>29</v>
      </c>
      <c r="D804" s="36" t="s">
        <v>30</v>
      </c>
      <c r="E804" s="36" t="s">
        <v>31</v>
      </c>
      <c r="F804" s="36" t="s">
        <v>32</v>
      </c>
      <c r="G804" s="37">
        <v>44</v>
      </c>
      <c r="H804" s="66">
        <v>47058</v>
      </c>
      <c r="I804" s="38">
        <f t="shared" ca="1" si="37"/>
        <v>859</v>
      </c>
      <c r="J804" s="38" t="str">
        <f t="shared" ca="1" si="38"/>
        <v>OK</v>
      </c>
      <c r="K804" s="36" t="s">
        <v>181</v>
      </c>
      <c r="L804" s="39"/>
    </row>
    <row r="805" spans="1:12" x14ac:dyDescent="0.35">
      <c r="A805" s="34" t="str">
        <f t="shared" si="36"/>
        <v>DON-0801</v>
      </c>
      <c r="B805" s="35">
        <v>46126</v>
      </c>
      <c r="C805" s="36" t="s">
        <v>109</v>
      </c>
      <c r="D805" s="36" t="s">
        <v>110</v>
      </c>
      <c r="E805" s="36" t="s">
        <v>102</v>
      </c>
      <c r="F805" s="36" t="s">
        <v>42</v>
      </c>
      <c r="G805" s="37">
        <v>67</v>
      </c>
      <c r="H805" s="66">
        <v>47187</v>
      </c>
      <c r="I805" s="38">
        <f t="shared" ca="1" si="37"/>
        <v>988</v>
      </c>
      <c r="J805" s="38" t="str">
        <f t="shared" ca="1" si="38"/>
        <v>OK</v>
      </c>
      <c r="K805" s="36" t="s">
        <v>178</v>
      </c>
      <c r="L805" s="39"/>
    </row>
    <row r="806" spans="1:12" x14ac:dyDescent="0.35">
      <c r="A806" s="34" t="str">
        <f t="shared" si="36"/>
        <v>DON-0802</v>
      </c>
      <c r="B806" s="35">
        <v>46126</v>
      </c>
      <c r="C806" s="36" t="s">
        <v>94</v>
      </c>
      <c r="D806" s="36" t="s">
        <v>95</v>
      </c>
      <c r="E806" s="36" t="s">
        <v>93</v>
      </c>
      <c r="F806" s="36" t="s">
        <v>96</v>
      </c>
      <c r="G806" s="37">
        <v>26</v>
      </c>
      <c r="H806" s="66">
        <v>46361</v>
      </c>
      <c r="I806" s="38">
        <f t="shared" ca="1" si="37"/>
        <v>162</v>
      </c>
      <c r="J806" s="38" t="str">
        <f t="shared" ca="1" si="38"/>
        <v>OK</v>
      </c>
      <c r="K806" s="36" t="s">
        <v>181</v>
      </c>
      <c r="L806" s="39"/>
    </row>
    <row r="807" spans="1:12" x14ac:dyDescent="0.35">
      <c r="A807" s="34" t="str">
        <f t="shared" si="36"/>
        <v>DON-0803</v>
      </c>
      <c r="B807" s="35">
        <v>46129</v>
      </c>
      <c r="C807" s="36" t="s">
        <v>128</v>
      </c>
      <c r="D807" s="36" t="s">
        <v>9</v>
      </c>
      <c r="E807" s="36" t="s">
        <v>10</v>
      </c>
      <c r="F807" s="36" t="s">
        <v>129</v>
      </c>
      <c r="G807" s="37">
        <v>28</v>
      </c>
      <c r="H807" s="66">
        <v>46134</v>
      </c>
      <c r="I807" s="38">
        <f t="shared" ca="1" si="37"/>
        <v>-65</v>
      </c>
      <c r="J807" s="38" t="str">
        <f t="shared" ca="1" si="38"/>
        <v>EXPIRED</v>
      </c>
      <c r="K807" s="36" t="s">
        <v>177</v>
      </c>
      <c r="L807" s="39"/>
    </row>
    <row r="808" spans="1:12" x14ac:dyDescent="0.35">
      <c r="A808" s="34" t="str">
        <f t="shared" si="36"/>
        <v>DON-0804</v>
      </c>
      <c r="B808" s="35">
        <v>46129</v>
      </c>
      <c r="C808" s="36" t="s">
        <v>130</v>
      </c>
      <c r="D808" s="36" t="s">
        <v>16</v>
      </c>
      <c r="E808" s="36" t="s">
        <v>10</v>
      </c>
      <c r="F808" s="36" t="s">
        <v>131</v>
      </c>
      <c r="G808" s="37">
        <v>26</v>
      </c>
      <c r="H808" s="66">
        <v>46155</v>
      </c>
      <c r="I808" s="38">
        <f t="shared" ca="1" si="37"/>
        <v>-44</v>
      </c>
      <c r="J808" s="38" t="str">
        <f t="shared" ca="1" si="38"/>
        <v>EXPIRED</v>
      </c>
      <c r="K808" s="36" t="s">
        <v>177</v>
      </c>
      <c r="L808" s="39"/>
    </row>
    <row r="809" spans="1:12" x14ac:dyDescent="0.35">
      <c r="A809" s="34" t="str">
        <f t="shared" si="36"/>
        <v>DON-0805</v>
      </c>
      <c r="B809" s="35">
        <v>46129</v>
      </c>
      <c r="C809" s="36" t="s">
        <v>153</v>
      </c>
      <c r="D809" s="36" t="s">
        <v>154</v>
      </c>
      <c r="E809" s="36" t="s">
        <v>12</v>
      </c>
      <c r="F809" s="36" t="s">
        <v>155</v>
      </c>
      <c r="G809" s="37">
        <v>19</v>
      </c>
      <c r="H809" s="66">
        <v>46318</v>
      </c>
      <c r="I809" s="38">
        <f t="shared" ca="1" si="37"/>
        <v>119</v>
      </c>
      <c r="J809" s="38" t="str">
        <f t="shared" ca="1" si="38"/>
        <v>OK</v>
      </c>
      <c r="K809" s="36" t="s">
        <v>177</v>
      </c>
      <c r="L809" s="39"/>
    </row>
    <row r="810" spans="1:12" x14ac:dyDescent="0.35">
      <c r="A810" s="34" t="str">
        <f t="shared" si="36"/>
        <v>DON-0806</v>
      </c>
      <c r="B810" s="35">
        <v>46129</v>
      </c>
      <c r="C810" s="36" t="s">
        <v>72</v>
      </c>
      <c r="D810" s="36" t="s">
        <v>73</v>
      </c>
      <c r="E810" s="36" t="s">
        <v>74</v>
      </c>
      <c r="F810" s="36" t="s">
        <v>75</v>
      </c>
      <c r="G810" s="37">
        <v>34</v>
      </c>
      <c r="H810" s="66">
        <v>46513</v>
      </c>
      <c r="I810" s="38">
        <f t="shared" ca="1" si="37"/>
        <v>314</v>
      </c>
      <c r="J810" s="38" t="str">
        <f t="shared" ca="1" si="38"/>
        <v>OK</v>
      </c>
      <c r="K810" s="36" t="s">
        <v>177</v>
      </c>
      <c r="L810" s="39"/>
    </row>
    <row r="811" spans="1:12" x14ac:dyDescent="0.35">
      <c r="A811" s="34" t="str">
        <f t="shared" si="36"/>
        <v>DON-0807</v>
      </c>
      <c r="B811" s="35">
        <v>46129</v>
      </c>
      <c r="C811" s="36" t="s">
        <v>46</v>
      </c>
      <c r="D811" s="36" t="s">
        <v>47</v>
      </c>
      <c r="E811" s="36" t="s">
        <v>31</v>
      </c>
      <c r="F811" s="36" t="s">
        <v>42</v>
      </c>
      <c r="G811" s="37">
        <v>68</v>
      </c>
      <c r="H811" s="66">
        <v>46636</v>
      </c>
      <c r="I811" s="38">
        <f t="shared" ca="1" si="37"/>
        <v>437</v>
      </c>
      <c r="J811" s="38" t="str">
        <f t="shared" ca="1" si="38"/>
        <v>OK</v>
      </c>
      <c r="K811" s="36" t="s">
        <v>177</v>
      </c>
      <c r="L811" s="39"/>
    </row>
    <row r="812" spans="1:12" x14ac:dyDescent="0.35">
      <c r="A812" s="34" t="str">
        <f t="shared" si="36"/>
        <v>DON-0808</v>
      </c>
      <c r="B812" s="35">
        <v>46129</v>
      </c>
      <c r="C812" s="36" t="s">
        <v>161</v>
      </c>
      <c r="D812" s="36" t="s">
        <v>162</v>
      </c>
      <c r="E812" s="36" t="s">
        <v>159</v>
      </c>
      <c r="F812" s="36" t="s">
        <v>163</v>
      </c>
      <c r="G812" s="37">
        <v>33</v>
      </c>
      <c r="H812" s="66">
        <v>46722</v>
      </c>
      <c r="I812" s="38">
        <f t="shared" ca="1" si="37"/>
        <v>523</v>
      </c>
      <c r="J812" s="38" t="str">
        <f t="shared" ca="1" si="38"/>
        <v>OK</v>
      </c>
      <c r="K812" s="36" t="s">
        <v>177</v>
      </c>
      <c r="L812" s="39"/>
    </row>
    <row r="813" spans="1:12" x14ac:dyDescent="0.35">
      <c r="A813" s="34" t="str">
        <f t="shared" si="36"/>
        <v>DON-0809</v>
      </c>
      <c r="B813" s="35">
        <v>46133</v>
      </c>
      <c r="C813" s="36" t="s">
        <v>138</v>
      </c>
      <c r="D813" s="36" t="s">
        <v>139</v>
      </c>
      <c r="E813" s="36" t="s">
        <v>6</v>
      </c>
      <c r="F813" s="36" t="s">
        <v>140</v>
      </c>
      <c r="G813" s="37">
        <v>32</v>
      </c>
      <c r="H813" s="66">
        <v>46162</v>
      </c>
      <c r="I813" s="38">
        <f t="shared" ca="1" si="37"/>
        <v>-37</v>
      </c>
      <c r="J813" s="38" t="str">
        <f t="shared" ca="1" si="38"/>
        <v>EXPIRED</v>
      </c>
      <c r="K813" s="36" t="s">
        <v>182</v>
      </c>
      <c r="L813" s="39"/>
    </row>
    <row r="814" spans="1:12" x14ac:dyDescent="0.35">
      <c r="A814" s="34" t="str">
        <f t="shared" si="36"/>
        <v>DON-0810</v>
      </c>
      <c r="B814" s="35">
        <v>46133</v>
      </c>
      <c r="C814" s="36" t="s">
        <v>76</v>
      </c>
      <c r="D814" s="36" t="s">
        <v>77</v>
      </c>
      <c r="E814" s="36" t="s">
        <v>74</v>
      </c>
      <c r="F814" s="36" t="s">
        <v>75</v>
      </c>
      <c r="G814" s="37">
        <v>57</v>
      </c>
      <c r="H814" s="66">
        <v>46304</v>
      </c>
      <c r="I814" s="38">
        <f t="shared" ca="1" si="37"/>
        <v>105</v>
      </c>
      <c r="J814" s="38" t="str">
        <f t="shared" ca="1" si="38"/>
        <v>OK</v>
      </c>
      <c r="K814" s="36" t="s">
        <v>182</v>
      </c>
      <c r="L814" s="39"/>
    </row>
    <row r="815" spans="1:12" x14ac:dyDescent="0.35">
      <c r="A815" s="34" t="str">
        <f t="shared" si="36"/>
        <v>DON-0811</v>
      </c>
      <c r="B815" s="35">
        <v>46133</v>
      </c>
      <c r="C815" s="36" t="s">
        <v>72</v>
      </c>
      <c r="D815" s="36" t="s">
        <v>73</v>
      </c>
      <c r="E815" s="36" t="s">
        <v>74</v>
      </c>
      <c r="F815" s="36" t="s">
        <v>75</v>
      </c>
      <c r="G815" s="37">
        <v>50</v>
      </c>
      <c r="H815" s="66">
        <v>46445</v>
      </c>
      <c r="I815" s="38">
        <f t="shared" ca="1" si="37"/>
        <v>246</v>
      </c>
      <c r="J815" s="38" t="str">
        <f t="shared" ca="1" si="38"/>
        <v>OK</v>
      </c>
      <c r="K815" s="36" t="s">
        <v>182</v>
      </c>
      <c r="L815" s="39"/>
    </row>
    <row r="816" spans="1:12" x14ac:dyDescent="0.35">
      <c r="A816" s="34" t="str">
        <f t="shared" si="36"/>
        <v>DON-0812</v>
      </c>
      <c r="B816" s="35">
        <v>46133</v>
      </c>
      <c r="C816" s="36" t="s">
        <v>117</v>
      </c>
      <c r="D816" s="36" t="s">
        <v>118</v>
      </c>
      <c r="E816" s="36" t="s">
        <v>14</v>
      </c>
      <c r="F816" s="36" t="s">
        <v>119</v>
      </c>
      <c r="G816" s="37">
        <v>17</v>
      </c>
      <c r="H816" s="66">
        <v>46474</v>
      </c>
      <c r="I816" s="38">
        <f t="shared" ca="1" si="37"/>
        <v>275</v>
      </c>
      <c r="J816" s="38" t="str">
        <f t="shared" ca="1" si="38"/>
        <v>OK</v>
      </c>
      <c r="K816" s="36" t="s">
        <v>182</v>
      </c>
      <c r="L816" s="39"/>
    </row>
    <row r="817" spans="1:12" x14ac:dyDescent="0.35">
      <c r="A817" s="34" t="str">
        <f t="shared" si="36"/>
        <v>DON-0813</v>
      </c>
      <c r="B817" s="35">
        <v>46133</v>
      </c>
      <c r="C817" s="36" t="s">
        <v>153</v>
      </c>
      <c r="D817" s="36" t="s">
        <v>154</v>
      </c>
      <c r="E817" s="36" t="s">
        <v>12</v>
      </c>
      <c r="F817" s="36" t="s">
        <v>155</v>
      </c>
      <c r="G817" s="37">
        <v>20</v>
      </c>
      <c r="H817" s="66">
        <v>46496</v>
      </c>
      <c r="I817" s="38">
        <f t="shared" ca="1" si="37"/>
        <v>297</v>
      </c>
      <c r="J817" s="38" t="str">
        <f t="shared" ca="1" si="38"/>
        <v>OK</v>
      </c>
      <c r="K817" s="36" t="s">
        <v>182</v>
      </c>
      <c r="L817" s="39"/>
    </row>
    <row r="818" spans="1:12" x14ac:dyDescent="0.35">
      <c r="A818" s="34" t="str">
        <f t="shared" si="36"/>
        <v>DON-0814</v>
      </c>
      <c r="B818" s="35">
        <v>46137</v>
      </c>
      <c r="C818" s="36" t="s">
        <v>135</v>
      </c>
      <c r="D818" s="36" t="s">
        <v>5</v>
      </c>
      <c r="E818" s="36" t="s">
        <v>6</v>
      </c>
      <c r="F818" s="36" t="s">
        <v>136</v>
      </c>
      <c r="G818" s="37">
        <v>35</v>
      </c>
      <c r="H818" s="66">
        <v>46140</v>
      </c>
      <c r="I818" s="38">
        <f t="shared" ca="1" si="37"/>
        <v>-59</v>
      </c>
      <c r="J818" s="56" t="str">
        <f t="shared" ca="1" si="38"/>
        <v>EXPIRED</v>
      </c>
      <c r="K818" s="36" t="s">
        <v>178</v>
      </c>
      <c r="L818" s="39"/>
    </row>
    <row r="819" spans="1:12" x14ac:dyDescent="0.35">
      <c r="A819" s="34" t="str">
        <f t="shared" si="36"/>
        <v>DON-0815</v>
      </c>
      <c r="B819" s="35">
        <v>46137</v>
      </c>
      <c r="C819" s="36" t="s">
        <v>141</v>
      </c>
      <c r="D819" s="36" t="s">
        <v>142</v>
      </c>
      <c r="E819" s="36" t="s">
        <v>8</v>
      </c>
      <c r="F819" s="36" t="s">
        <v>143</v>
      </c>
      <c r="G819" s="37">
        <v>42</v>
      </c>
      <c r="H819" s="66">
        <v>46147</v>
      </c>
      <c r="I819" s="38">
        <f t="shared" ca="1" si="37"/>
        <v>-52</v>
      </c>
      <c r="J819" s="38" t="str">
        <f t="shared" ca="1" si="38"/>
        <v>EXPIRED</v>
      </c>
      <c r="K819" s="36" t="s">
        <v>178</v>
      </c>
      <c r="L819" s="39"/>
    </row>
    <row r="820" spans="1:12" x14ac:dyDescent="0.35">
      <c r="A820" s="34" t="str">
        <f t="shared" si="36"/>
        <v>DON-0816</v>
      </c>
      <c r="B820" s="35">
        <v>46137</v>
      </c>
      <c r="C820" s="36" t="s">
        <v>130</v>
      </c>
      <c r="D820" s="36" t="s">
        <v>16</v>
      </c>
      <c r="E820" s="36" t="s">
        <v>10</v>
      </c>
      <c r="F820" s="36" t="s">
        <v>131</v>
      </c>
      <c r="G820" s="37">
        <v>42</v>
      </c>
      <c r="H820" s="66">
        <v>46154</v>
      </c>
      <c r="I820" s="38">
        <f t="shared" ca="1" si="37"/>
        <v>-45</v>
      </c>
      <c r="J820" s="38" t="str">
        <f t="shared" ca="1" si="38"/>
        <v>EXPIRED</v>
      </c>
      <c r="K820" s="36" t="s">
        <v>175</v>
      </c>
      <c r="L820" s="39"/>
    </row>
    <row r="821" spans="1:12" x14ac:dyDescent="0.35">
      <c r="A821" s="34" t="str">
        <f t="shared" si="36"/>
        <v>DON-0817</v>
      </c>
      <c r="B821" s="35">
        <v>46137</v>
      </c>
      <c r="C821" s="36" t="s">
        <v>132</v>
      </c>
      <c r="D821" s="36" t="s">
        <v>133</v>
      </c>
      <c r="E821" s="36" t="s">
        <v>10</v>
      </c>
      <c r="F821" s="36" t="s">
        <v>134</v>
      </c>
      <c r="G821" s="37">
        <v>38</v>
      </c>
      <c r="H821" s="66">
        <v>46161</v>
      </c>
      <c r="I821" s="38">
        <f t="shared" ca="1" si="37"/>
        <v>-38</v>
      </c>
      <c r="J821" s="38" t="str">
        <f t="shared" ca="1" si="38"/>
        <v>EXPIRED</v>
      </c>
      <c r="K821" s="36" t="s">
        <v>175</v>
      </c>
      <c r="L821" s="39"/>
    </row>
    <row r="822" spans="1:12" x14ac:dyDescent="0.35">
      <c r="A822" s="34" t="str">
        <f t="shared" si="36"/>
        <v>DON-0818</v>
      </c>
      <c r="B822" s="35">
        <v>46137</v>
      </c>
      <c r="C822" s="36" t="s">
        <v>157</v>
      </c>
      <c r="D822" s="36" t="s">
        <v>158</v>
      </c>
      <c r="E822" s="36" t="s">
        <v>159</v>
      </c>
      <c r="F822" s="36" t="s">
        <v>160</v>
      </c>
      <c r="G822" s="37">
        <v>42</v>
      </c>
      <c r="H822" s="66">
        <v>46341</v>
      </c>
      <c r="I822" s="38">
        <f t="shared" ca="1" si="37"/>
        <v>142</v>
      </c>
      <c r="J822" s="38" t="str">
        <f t="shared" ca="1" si="38"/>
        <v>OK</v>
      </c>
      <c r="K822" s="36" t="s">
        <v>178</v>
      </c>
      <c r="L822" s="39"/>
    </row>
    <row r="823" spans="1:12" x14ac:dyDescent="0.35">
      <c r="A823" s="34" t="str">
        <f t="shared" si="36"/>
        <v>DON-0819</v>
      </c>
      <c r="B823" s="35">
        <v>46137</v>
      </c>
      <c r="C823" s="36" t="s">
        <v>86</v>
      </c>
      <c r="D823" s="36" t="s">
        <v>87</v>
      </c>
      <c r="E823" s="36" t="s">
        <v>74</v>
      </c>
      <c r="F823" s="36" t="s">
        <v>75</v>
      </c>
      <c r="G823" s="37">
        <v>59</v>
      </c>
      <c r="H823" s="66">
        <v>46405</v>
      </c>
      <c r="I823" s="38">
        <f t="shared" ca="1" si="37"/>
        <v>206</v>
      </c>
      <c r="J823" s="38" t="str">
        <f t="shared" ca="1" si="38"/>
        <v>OK</v>
      </c>
      <c r="K823" s="36" t="s">
        <v>178</v>
      </c>
      <c r="L823" s="39"/>
    </row>
    <row r="824" spans="1:12" x14ac:dyDescent="0.35">
      <c r="A824" s="34" t="str">
        <f t="shared" si="36"/>
        <v>DON-0820</v>
      </c>
      <c r="B824" s="35">
        <v>46137</v>
      </c>
      <c r="C824" s="36" t="s">
        <v>83</v>
      </c>
      <c r="D824" s="36" t="s">
        <v>84</v>
      </c>
      <c r="E824" s="36" t="s">
        <v>74</v>
      </c>
      <c r="F824" s="36" t="s">
        <v>85</v>
      </c>
      <c r="G824" s="37">
        <v>41</v>
      </c>
      <c r="H824" s="66">
        <v>46435</v>
      </c>
      <c r="I824" s="38">
        <f t="shared" ca="1" si="37"/>
        <v>236</v>
      </c>
      <c r="J824" s="38" t="str">
        <f t="shared" ca="1" si="38"/>
        <v>OK</v>
      </c>
      <c r="K824" s="36" t="s">
        <v>178</v>
      </c>
      <c r="L824" s="39"/>
    </row>
    <row r="825" spans="1:12" x14ac:dyDescent="0.35">
      <c r="A825" s="34" t="str">
        <f t="shared" si="36"/>
        <v>DON-0821</v>
      </c>
      <c r="B825" s="35">
        <v>46137</v>
      </c>
      <c r="C825" s="36" t="s">
        <v>64</v>
      </c>
      <c r="D825" s="36" t="s">
        <v>65</v>
      </c>
      <c r="E825" s="36" t="s">
        <v>66</v>
      </c>
      <c r="F825" s="36" t="s">
        <v>42</v>
      </c>
      <c r="G825" s="37">
        <v>61</v>
      </c>
      <c r="H825" s="66">
        <v>46800</v>
      </c>
      <c r="I825" s="38">
        <f t="shared" ca="1" si="37"/>
        <v>601</v>
      </c>
      <c r="J825" s="38" t="str">
        <f t="shared" ca="1" si="38"/>
        <v>OK</v>
      </c>
      <c r="K825" s="36" t="s">
        <v>175</v>
      </c>
      <c r="L825" s="39"/>
    </row>
    <row r="826" spans="1:12" x14ac:dyDescent="0.35">
      <c r="A826" s="34" t="str">
        <f t="shared" si="36"/>
        <v>DON-0822</v>
      </c>
      <c r="B826" s="35">
        <v>46137</v>
      </c>
      <c r="C826" s="36" t="s">
        <v>54</v>
      </c>
      <c r="D826" s="36" t="s">
        <v>55</v>
      </c>
      <c r="E826" s="36" t="s">
        <v>53</v>
      </c>
      <c r="F826" s="36" t="s">
        <v>56</v>
      </c>
      <c r="G826" s="37">
        <v>156</v>
      </c>
      <c r="H826" s="66">
        <v>46828</v>
      </c>
      <c r="I826" s="38">
        <f t="shared" ca="1" si="37"/>
        <v>629</v>
      </c>
      <c r="J826" s="38" t="str">
        <f t="shared" ca="1" si="38"/>
        <v>OK</v>
      </c>
      <c r="K826" s="36" t="s">
        <v>178</v>
      </c>
      <c r="L826" s="39"/>
    </row>
    <row r="827" spans="1:12" x14ac:dyDescent="0.35">
      <c r="A827" s="34" t="str">
        <f t="shared" si="36"/>
        <v>DON-0823</v>
      </c>
      <c r="B827" s="35">
        <v>46137</v>
      </c>
      <c r="C827" s="36" t="s">
        <v>51</v>
      </c>
      <c r="D827" s="36" t="s">
        <v>52</v>
      </c>
      <c r="E827" s="36" t="s">
        <v>53</v>
      </c>
      <c r="F827" s="36" t="s">
        <v>42</v>
      </c>
      <c r="G827" s="37">
        <v>110</v>
      </c>
      <c r="H827" s="66">
        <v>46974</v>
      </c>
      <c r="I827" s="38">
        <f t="shared" ca="1" si="37"/>
        <v>775</v>
      </c>
      <c r="J827" s="38" t="str">
        <f t="shared" ca="1" si="38"/>
        <v>OK</v>
      </c>
      <c r="K827" s="36" t="s">
        <v>175</v>
      </c>
      <c r="L827" s="39"/>
    </row>
    <row r="828" spans="1:12" x14ac:dyDescent="0.35">
      <c r="A828" s="34" t="str">
        <f t="shared" si="36"/>
        <v>DON-0824</v>
      </c>
      <c r="B828" s="35">
        <v>46137</v>
      </c>
      <c r="C828" s="36" t="s">
        <v>125</v>
      </c>
      <c r="D828" s="36" t="s">
        <v>126</v>
      </c>
      <c r="E828" s="36" t="s">
        <v>14</v>
      </c>
      <c r="F828" s="36" t="s">
        <v>127</v>
      </c>
      <c r="G828" s="37">
        <v>26</v>
      </c>
      <c r="H828" s="66">
        <v>47582</v>
      </c>
      <c r="I828" s="38">
        <f t="shared" ca="1" si="37"/>
        <v>1383</v>
      </c>
      <c r="J828" s="38" t="str">
        <f t="shared" ca="1" si="38"/>
        <v>OK</v>
      </c>
      <c r="K828" s="36" t="s">
        <v>175</v>
      </c>
      <c r="L828" s="39"/>
    </row>
    <row r="829" spans="1:12" x14ac:dyDescent="0.35">
      <c r="A829" s="34" t="str">
        <f t="shared" si="36"/>
        <v>DON-0825</v>
      </c>
      <c r="B829" s="35">
        <v>46137</v>
      </c>
      <c r="C829" s="36" t="s">
        <v>94</v>
      </c>
      <c r="D829" s="36" t="s">
        <v>95</v>
      </c>
      <c r="E829" s="36" t="s">
        <v>93</v>
      </c>
      <c r="F829" s="36" t="s">
        <v>96</v>
      </c>
      <c r="G829" s="37">
        <v>26</v>
      </c>
      <c r="H829" s="66">
        <v>46454</v>
      </c>
      <c r="I829" s="38">
        <f t="shared" ca="1" si="37"/>
        <v>255</v>
      </c>
      <c r="J829" s="38" t="str">
        <f t="shared" ca="1" si="38"/>
        <v>OK</v>
      </c>
      <c r="K829" s="36" t="s">
        <v>175</v>
      </c>
      <c r="L829" s="39"/>
    </row>
    <row r="830" spans="1:12" x14ac:dyDescent="0.35">
      <c r="A830" s="34" t="str">
        <f t="shared" si="36"/>
        <v>DON-0826</v>
      </c>
      <c r="B830" s="35">
        <v>46138</v>
      </c>
      <c r="C830" s="36" t="s">
        <v>94</v>
      </c>
      <c r="D830" s="36" t="s">
        <v>95</v>
      </c>
      <c r="E830" s="36" t="s">
        <v>93</v>
      </c>
      <c r="F830" s="36" t="s">
        <v>96</v>
      </c>
      <c r="G830" s="37">
        <v>45</v>
      </c>
      <c r="H830" s="66">
        <v>46349</v>
      </c>
      <c r="I830" s="38">
        <f t="shared" ca="1" si="37"/>
        <v>150</v>
      </c>
      <c r="J830" s="38" t="str">
        <f t="shared" ca="1" si="38"/>
        <v>OK</v>
      </c>
      <c r="K830" s="36" t="s">
        <v>177</v>
      </c>
      <c r="L830" s="39"/>
    </row>
    <row r="831" spans="1:12" x14ac:dyDescent="0.35">
      <c r="A831" s="34" t="str">
        <f t="shared" si="36"/>
        <v>DON-0827</v>
      </c>
      <c r="B831" s="35">
        <v>46138</v>
      </c>
      <c r="C831" s="36" t="s">
        <v>135</v>
      </c>
      <c r="D831" s="36" t="s">
        <v>5</v>
      </c>
      <c r="E831" s="36" t="s">
        <v>6</v>
      </c>
      <c r="F831" s="36" t="s">
        <v>136</v>
      </c>
      <c r="G831" s="37">
        <v>54</v>
      </c>
      <c r="H831" s="66">
        <v>46142</v>
      </c>
      <c r="I831" s="38">
        <f t="shared" ca="1" si="37"/>
        <v>-57</v>
      </c>
      <c r="J831" s="38" t="str">
        <f t="shared" ca="1" si="38"/>
        <v>EXPIRED</v>
      </c>
      <c r="K831" s="36" t="s">
        <v>177</v>
      </c>
      <c r="L831" s="39"/>
    </row>
    <row r="832" spans="1:12" x14ac:dyDescent="0.35">
      <c r="A832" s="34" t="str">
        <f t="shared" si="36"/>
        <v>DON-0828</v>
      </c>
      <c r="B832" s="35">
        <v>46138</v>
      </c>
      <c r="C832" s="36" t="s">
        <v>138</v>
      </c>
      <c r="D832" s="36" t="s">
        <v>139</v>
      </c>
      <c r="E832" s="36" t="s">
        <v>6</v>
      </c>
      <c r="F832" s="36" t="s">
        <v>140</v>
      </c>
      <c r="G832" s="37">
        <v>54</v>
      </c>
      <c r="H832" s="66">
        <v>46161</v>
      </c>
      <c r="I832" s="38">
        <f t="shared" ca="1" si="37"/>
        <v>-38</v>
      </c>
      <c r="J832" s="38" t="str">
        <f t="shared" ca="1" si="38"/>
        <v>EXPIRED</v>
      </c>
      <c r="K832" s="36" t="s">
        <v>177</v>
      </c>
      <c r="L832" s="39"/>
    </row>
    <row r="833" spans="1:12" x14ac:dyDescent="0.35">
      <c r="A833" s="34" t="str">
        <f t="shared" si="36"/>
        <v>DON-0829</v>
      </c>
      <c r="B833" s="35">
        <v>46138</v>
      </c>
      <c r="C833" s="36" t="s">
        <v>149</v>
      </c>
      <c r="D833" s="36" t="s">
        <v>150</v>
      </c>
      <c r="E833" s="36" t="s">
        <v>8</v>
      </c>
      <c r="F833" s="36" t="s">
        <v>75</v>
      </c>
      <c r="G833" s="37">
        <v>18</v>
      </c>
      <c r="H833" s="66">
        <v>46197</v>
      </c>
      <c r="I833" s="38">
        <f t="shared" ca="1" si="37"/>
        <v>-2</v>
      </c>
      <c r="J833" s="38" t="str">
        <f t="shared" ca="1" si="38"/>
        <v>EXPIRED</v>
      </c>
      <c r="K833" s="36" t="s">
        <v>177</v>
      </c>
      <c r="L833" s="39"/>
    </row>
    <row r="834" spans="1:12" x14ac:dyDescent="0.35">
      <c r="A834" s="34" t="str">
        <f t="shared" si="36"/>
        <v>DON-0830</v>
      </c>
      <c r="B834" s="35">
        <v>46138</v>
      </c>
      <c r="C834" s="36" t="s">
        <v>46</v>
      </c>
      <c r="D834" s="36" t="s">
        <v>47</v>
      </c>
      <c r="E834" s="36" t="s">
        <v>31</v>
      </c>
      <c r="F834" s="36" t="s">
        <v>42</v>
      </c>
      <c r="G834" s="37">
        <v>46</v>
      </c>
      <c r="H834" s="66">
        <v>46603</v>
      </c>
      <c r="I834" s="38">
        <f t="shared" ca="1" si="37"/>
        <v>404</v>
      </c>
      <c r="J834" s="38" t="str">
        <f t="shared" ca="1" si="38"/>
        <v>OK</v>
      </c>
      <c r="K834" s="36" t="s">
        <v>177</v>
      </c>
      <c r="L834" s="39"/>
    </row>
    <row r="835" spans="1:12" x14ac:dyDescent="0.35">
      <c r="A835" s="34" t="str">
        <f t="shared" si="36"/>
        <v>DON-0831</v>
      </c>
      <c r="B835" s="35">
        <v>46138</v>
      </c>
      <c r="C835" s="36" t="s">
        <v>37</v>
      </c>
      <c r="D835" s="36" t="s">
        <v>38</v>
      </c>
      <c r="E835" s="36" t="s">
        <v>31</v>
      </c>
      <c r="F835" s="36" t="s">
        <v>39</v>
      </c>
      <c r="G835" s="37">
        <v>46</v>
      </c>
      <c r="H835" s="66">
        <v>46757</v>
      </c>
      <c r="I835" s="38">
        <f t="shared" ca="1" si="37"/>
        <v>558</v>
      </c>
      <c r="J835" s="38" t="str">
        <f t="shared" ca="1" si="38"/>
        <v>OK</v>
      </c>
      <c r="K835" s="36" t="s">
        <v>177</v>
      </c>
      <c r="L835" s="39"/>
    </row>
    <row r="836" spans="1:12" x14ac:dyDescent="0.35">
      <c r="A836" s="34" t="str">
        <f t="shared" si="36"/>
        <v>DON-0832</v>
      </c>
      <c r="B836" s="35">
        <v>46138</v>
      </c>
      <c r="C836" s="36" t="s">
        <v>125</v>
      </c>
      <c r="D836" s="36" t="s">
        <v>126</v>
      </c>
      <c r="E836" s="36" t="s">
        <v>14</v>
      </c>
      <c r="F836" s="36" t="s">
        <v>127</v>
      </c>
      <c r="G836" s="37">
        <v>10</v>
      </c>
      <c r="H836" s="66">
        <v>47564</v>
      </c>
      <c r="I836" s="38">
        <f t="shared" ca="1" si="37"/>
        <v>1365</v>
      </c>
      <c r="J836" s="38" t="str">
        <f t="shared" ca="1" si="38"/>
        <v>OK</v>
      </c>
      <c r="K836" s="36" t="s">
        <v>177</v>
      </c>
      <c r="L836" s="39"/>
    </row>
    <row r="837" spans="1:12" x14ac:dyDescent="0.35">
      <c r="A837" s="34" t="str">
        <f t="shared" ref="A837:A900" si="39">IF(G837="","","DON-"&amp;TEXT(ROW()-4,"0000"))</f>
        <v>DON-0833</v>
      </c>
      <c r="B837" s="35">
        <v>46139</v>
      </c>
      <c r="C837" s="36" t="s">
        <v>138</v>
      </c>
      <c r="D837" s="36" t="s">
        <v>139</v>
      </c>
      <c r="E837" s="36" t="s">
        <v>6</v>
      </c>
      <c r="F837" s="36" t="s">
        <v>140</v>
      </c>
      <c r="G837" s="37">
        <v>42</v>
      </c>
      <c r="H837" s="66">
        <v>46162</v>
      </c>
      <c r="I837" s="38">
        <f t="shared" ref="I837:I900" ca="1" si="40">IF(H837="","",H837-TODAY())</f>
        <v>-37</v>
      </c>
      <c r="J837" s="38" t="str">
        <f t="shared" ref="J837:J900" ca="1" si="41">IF(I837="","",IF(I837&lt;=0,"EXPIRED",IF(I837&lt;=3,"CRITICAL",IF(I837&lt;=7,"WARNING",IF(I837&lt;=30,"NOTICE","OK")))))</f>
        <v>EXPIRED</v>
      </c>
      <c r="K837" s="36" t="s">
        <v>179</v>
      </c>
      <c r="L837" s="39"/>
    </row>
    <row r="838" spans="1:12" x14ac:dyDescent="0.35">
      <c r="A838" s="34" t="str">
        <f t="shared" si="39"/>
        <v>DON-0834</v>
      </c>
      <c r="B838" s="35">
        <v>46139</v>
      </c>
      <c r="C838" s="36" t="s">
        <v>83</v>
      </c>
      <c r="D838" s="36" t="s">
        <v>84</v>
      </c>
      <c r="E838" s="36" t="s">
        <v>74</v>
      </c>
      <c r="F838" s="36" t="s">
        <v>85</v>
      </c>
      <c r="G838" s="37">
        <v>68</v>
      </c>
      <c r="H838" s="66">
        <v>46278</v>
      </c>
      <c r="I838" s="38">
        <f t="shared" ca="1" si="40"/>
        <v>79</v>
      </c>
      <c r="J838" s="38" t="str">
        <f t="shared" ca="1" si="41"/>
        <v>OK</v>
      </c>
      <c r="K838" s="36" t="s">
        <v>179</v>
      </c>
      <c r="L838" s="39"/>
    </row>
    <row r="839" spans="1:12" x14ac:dyDescent="0.35">
      <c r="A839" s="34" t="str">
        <f t="shared" si="39"/>
        <v>DON-0835</v>
      </c>
      <c r="B839" s="35">
        <v>46139</v>
      </c>
      <c r="C839" s="36" t="s">
        <v>76</v>
      </c>
      <c r="D839" s="36" t="s">
        <v>77</v>
      </c>
      <c r="E839" s="36" t="s">
        <v>74</v>
      </c>
      <c r="F839" s="36" t="s">
        <v>75</v>
      </c>
      <c r="G839" s="37">
        <v>51</v>
      </c>
      <c r="H839" s="66">
        <v>46362</v>
      </c>
      <c r="I839" s="38">
        <f t="shared" ca="1" si="40"/>
        <v>163</v>
      </c>
      <c r="J839" s="38" t="str">
        <f t="shared" ca="1" si="41"/>
        <v>OK</v>
      </c>
      <c r="K839" s="36" t="s">
        <v>179</v>
      </c>
      <c r="L839" s="39"/>
    </row>
    <row r="840" spans="1:12" x14ac:dyDescent="0.35">
      <c r="A840" s="34" t="str">
        <f t="shared" si="39"/>
        <v>DON-0836</v>
      </c>
      <c r="B840" s="35">
        <v>46139</v>
      </c>
      <c r="C840" s="36" t="s">
        <v>72</v>
      </c>
      <c r="D840" s="36" t="s">
        <v>73</v>
      </c>
      <c r="E840" s="36" t="s">
        <v>74</v>
      </c>
      <c r="F840" s="36" t="s">
        <v>75</v>
      </c>
      <c r="G840" s="37">
        <v>49</v>
      </c>
      <c r="H840" s="66">
        <v>46688</v>
      </c>
      <c r="I840" s="38">
        <f t="shared" ca="1" si="40"/>
        <v>489</v>
      </c>
      <c r="J840" s="38" t="str">
        <f t="shared" ca="1" si="41"/>
        <v>OK</v>
      </c>
      <c r="K840" s="36" t="s">
        <v>179</v>
      </c>
      <c r="L840" s="39"/>
    </row>
    <row r="841" spans="1:12" x14ac:dyDescent="0.35">
      <c r="A841" s="34" t="str">
        <f t="shared" si="39"/>
        <v>DON-0837</v>
      </c>
      <c r="B841" s="35">
        <v>46142</v>
      </c>
      <c r="C841" s="36" t="s">
        <v>94</v>
      </c>
      <c r="D841" s="36" t="s">
        <v>95</v>
      </c>
      <c r="E841" s="36" t="s">
        <v>93</v>
      </c>
      <c r="F841" s="36" t="s">
        <v>96</v>
      </c>
      <c r="G841" s="37">
        <v>39</v>
      </c>
      <c r="H841" s="66">
        <v>46351</v>
      </c>
      <c r="I841" s="38">
        <f t="shared" ca="1" si="40"/>
        <v>152</v>
      </c>
      <c r="J841" s="38" t="str">
        <f t="shared" ca="1" si="41"/>
        <v>OK</v>
      </c>
      <c r="K841" s="36" t="s">
        <v>180</v>
      </c>
      <c r="L841" s="39"/>
    </row>
    <row r="842" spans="1:12" x14ac:dyDescent="0.35">
      <c r="A842" s="34" t="str">
        <f t="shared" si="39"/>
        <v>DON-0838</v>
      </c>
      <c r="B842" s="35">
        <v>46142</v>
      </c>
      <c r="C842" s="36" t="s">
        <v>146</v>
      </c>
      <c r="D842" s="36" t="s">
        <v>147</v>
      </c>
      <c r="E842" s="36" t="s">
        <v>8</v>
      </c>
      <c r="F842" s="36" t="s">
        <v>148</v>
      </c>
      <c r="G842" s="37">
        <v>41</v>
      </c>
      <c r="H842" s="66">
        <v>46150</v>
      </c>
      <c r="I842" s="38">
        <f t="shared" ca="1" si="40"/>
        <v>-49</v>
      </c>
      <c r="J842" s="38" t="str">
        <f t="shared" ca="1" si="41"/>
        <v>EXPIRED</v>
      </c>
      <c r="K842" s="36" t="s">
        <v>180</v>
      </c>
      <c r="L842" s="39"/>
    </row>
    <row r="843" spans="1:12" x14ac:dyDescent="0.35">
      <c r="A843" s="34" t="str">
        <f t="shared" si="39"/>
        <v>DON-0839</v>
      </c>
      <c r="B843" s="35">
        <v>46142</v>
      </c>
      <c r="C843" s="36" t="s">
        <v>138</v>
      </c>
      <c r="D843" s="36" t="s">
        <v>139</v>
      </c>
      <c r="E843" s="36" t="s">
        <v>6</v>
      </c>
      <c r="F843" s="36" t="s">
        <v>140</v>
      </c>
      <c r="G843" s="37">
        <v>17</v>
      </c>
      <c r="H843" s="66">
        <v>46158</v>
      </c>
      <c r="I843" s="38">
        <f t="shared" ca="1" si="40"/>
        <v>-41</v>
      </c>
      <c r="J843" s="38" t="str">
        <f t="shared" ca="1" si="41"/>
        <v>EXPIRED</v>
      </c>
      <c r="K843" s="36" t="s">
        <v>178</v>
      </c>
      <c r="L843" s="39"/>
    </row>
    <row r="844" spans="1:12" x14ac:dyDescent="0.35">
      <c r="A844" s="34" t="str">
        <f t="shared" si="39"/>
        <v>DON-0840</v>
      </c>
      <c r="B844" s="35">
        <v>46142</v>
      </c>
      <c r="C844" s="36" t="s">
        <v>149</v>
      </c>
      <c r="D844" s="36" t="s">
        <v>150</v>
      </c>
      <c r="E844" s="36" t="s">
        <v>8</v>
      </c>
      <c r="F844" s="36" t="s">
        <v>75</v>
      </c>
      <c r="G844" s="37">
        <v>38</v>
      </c>
      <c r="H844" s="66">
        <v>46166</v>
      </c>
      <c r="I844" s="38">
        <f t="shared" ca="1" si="40"/>
        <v>-33</v>
      </c>
      <c r="J844" s="38" t="str">
        <f t="shared" ca="1" si="41"/>
        <v>EXPIRED</v>
      </c>
      <c r="K844" s="36" t="s">
        <v>178</v>
      </c>
      <c r="L844" s="39"/>
    </row>
    <row r="845" spans="1:12" x14ac:dyDescent="0.35">
      <c r="A845" s="34" t="str">
        <f t="shared" si="39"/>
        <v>DON-0841</v>
      </c>
      <c r="B845" s="35">
        <v>46142</v>
      </c>
      <c r="C845" s="36" t="s">
        <v>132</v>
      </c>
      <c r="D845" s="36" t="s">
        <v>133</v>
      </c>
      <c r="E845" s="36" t="s">
        <v>10</v>
      </c>
      <c r="F845" s="36" t="s">
        <v>134</v>
      </c>
      <c r="G845" s="37">
        <v>17</v>
      </c>
      <c r="H845" s="66">
        <v>46171</v>
      </c>
      <c r="I845" s="38">
        <f t="shared" ca="1" si="40"/>
        <v>-28</v>
      </c>
      <c r="J845" s="38" t="str">
        <f t="shared" ca="1" si="41"/>
        <v>EXPIRED</v>
      </c>
      <c r="K845" s="36" t="s">
        <v>180</v>
      </c>
      <c r="L845" s="39"/>
    </row>
    <row r="846" spans="1:12" x14ac:dyDescent="0.35">
      <c r="A846" s="34" t="str">
        <f t="shared" si="39"/>
        <v>DON-0842</v>
      </c>
      <c r="B846" s="35">
        <v>46142</v>
      </c>
      <c r="C846" s="36" t="s">
        <v>149</v>
      </c>
      <c r="D846" s="36" t="s">
        <v>150</v>
      </c>
      <c r="E846" s="36" t="s">
        <v>8</v>
      </c>
      <c r="F846" s="36" t="s">
        <v>75</v>
      </c>
      <c r="G846" s="37">
        <v>24</v>
      </c>
      <c r="H846" s="66">
        <v>46183</v>
      </c>
      <c r="I846" s="38">
        <f t="shared" ca="1" si="40"/>
        <v>-16</v>
      </c>
      <c r="J846" s="38" t="str">
        <f t="shared" ca="1" si="41"/>
        <v>EXPIRED</v>
      </c>
      <c r="K846" s="36" t="s">
        <v>180</v>
      </c>
      <c r="L846" s="39"/>
    </row>
    <row r="847" spans="1:12" x14ac:dyDescent="0.35">
      <c r="A847" s="34" t="str">
        <f t="shared" si="39"/>
        <v>DON-0843</v>
      </c>
      <c r="B847" s="35">
        <v>46142</v>
      </c>
      <c r="C847" s="36" t="s">
        <v>100</v>
      </c>
      <c r="D847" s="36" t="s">
        <v>101</v>
      </c>
      <c r="E847" s="36" t="s">
        <v>102</v>
      </c>
      <c r="F847" s="36" t="s">
        <v>103</v>
      </c>
      <c r="G847" s="37">
        <v>79</v>
      </c>
      <c r="H847" s="66">
        <v>46905</v>
      </c>
      <c r="I847" s="38">
        <f t="shared" ca="1" si="40"/>
        <v>706</v>
      </c>
      <c r="J847" s="38" t="str">
        <f t="shared" ca="1" si="41"/>
        <v>OK</v>
      </c>
      <c r="K847" s="36" t="s">
        <v>178</v>
      </c>
      <c r="L847" s="39"/>
    </row>
    <row r="848" spans="1:12" x14ac:dyDescent="0.35">
      <c r="A848" s="34" t="str">
        <f t="shared" si="39"/>
        <v>DON-0844</v>
      </c>
      <c r="B848" s="35">
        <v>46142</v>
      </c>
      <c r="C848" s="36" t="s">
        <v>111</v>
      </c>
      <c r="D848" s="36" t="s">
        <v>112</v>
      </c>
      <c r="E848" s="36" t="s">
        <v>102</v>
      </c>
      <c r="F848" s="36" t="s">
        <v>113</v>
      </c>
      <c r="G848" s="37">
        <v>42</v>
      </c>
      <c r="H848" s="66">
        <v>46932</v>
      </c>
      <c r="I848" s="38">
        <f t="shared" ca="1" si="40"/>
        <v>733</v>
      </c>
      <c r="J848" s="38" t="str">
        <f t="shared" ca="1" si="41"/>
        <v>OK</v>
      </c>
      <c r="K848" s="36" t="s">
        <v>180</v>
      </c>
      <c r="L848" s="39"/>
    </row>
    <row r="849" spans="1:12" x14ac:dyDescent="0.35">
      <c r="A849" s="34" t="str">
        <f t="shared" si="39"/>
        <v>DON-0845</v>
      </c>
      <c r="B849" s="35">
        <v>46142</v>
      </c>
      <c r="C849" s="36" t="s">
        <v>106</v>
      </c>
      <c r="D849" s="36" t="s">
        <v>107</v>
      </c>
      <c r="E849" s="36" t="s">
        <v>102</v>
      </c>
      <c r="F849" s="36" t="s">
        <v>108</v>
      </c>
      <c r="G849" s="37">
        <v>82</v>
      </c>
      <c r="H849" s="66">
        <v>46949</v>
      </c>
      <c r="I849" s="38">
        <f t="shared" ca="1" si="40"/>
        <v>750</v>
      </c>
      <c r="J849" s="38" t="str">
        <f t="shared" ca="1" si="41"/>
        <v>OK</v>
      </c>
      <c r="K849" s="36" t="s">
        <v>178</v>
      </c>
      <c r="L849" s="39"/>
    </row>
    <row r="850" spans="1:12" x14ac:dyDescent="0.35">
      <c r="A850" s="34" t="str">
        <f t="shared" si="39"/>
        <v>DON-0846</v>
      </c>
      <c r="B850" s="35">
        <v>46142</v>
      </c>
      <c r="C850" s="36" t="s">
        <v>69</v>
      </c>
      <c r="D850" s="36" t="s">
        <v>70</v>
      </c>
      <c r="E850" s="36" t="s">
        <v>66</v>
      </c>
      <c r="F850" s="36" t="s">
        <v>71</v>
      </c>
      <c r="G850" s="37">
        <v>91</v>
      </c>
      <c r="H850" s="66">
        <v>46967</v>
      </c>
      <c r="I850" s="38">
        <f t="shared" ca="1" si="40"/>
        <v>768</v>
      </c>
      <c r="J850" s="38" t="str">
        <f t="shared" ca="1" si="41"/>
        <v>OK</v>
      </c>
      <c r="K850" s="36" t="s">
        <v>178</v>
      </c>
      <c r="L850" s="39"/>
    </row>
    <row r="851" spans="1:12" x14ac:dyDescent="0.35">
      <c r="A851" s="34" t="str">
        <f t="shared" si="39"/>
        <v>DON-0847</v>
      </c>
      <c r="B851" s="35">
        <v>46142</v>
      </c>
      <c r="C851" s="36" t="s">
        <v>100</v>
      </c>
      <c r="D851" s="36" t="s">
        <v>101</v>
      </c>
      <c r="E851" s="36" t="s">
        <v>102</v>
      </c>
      <c r="F851" s="36" t="s">
        <v>103</v>
      </c>
      <c r="G851" s="37">
        <v>109</v>
      </c>
      <c r="H851" s="66">
        <v>47001</v>
      </c>
      <c r="I851" s="38">
        <f t="shared" ca="1" si="40"/>
        <v>802</v>
      </c>
      <c r="J851" s="38" t="str">
        <f t="shared" ca="1" si="41"/>
        <v>OK</v>
      </c>
      <c r="K851" s="36" t="s">
        <v>180</v>
      </c>
      <c r="L851" s="39"/>
    </row>
    <row r="852" spans="1:12" x14ac:dyDescent="0.35">
      <c r="A852" s="34" t="str">
        <f t="shared" si="39"/>
        <v>DON-0848</v>
      </c>
      <c r="B852" s="35">
        <v>46142</v>
      </c>
      <c r="C852" s="36" t="s">
        <v>111</v>
      </c>
      <c r="D852" s="36" t="s">
        <v>112</v>
      </c>
      <c r="E852" s="36" t="s">
        <v>102</v>
      </c>
      <c r="F852" s="36" t="s">
        <v>113</v>
      </c>
      <c r="G852" s="37">
        <v>64</v>
      </c>
      <c r="H852" s="66">
        <v>47135</v>
      </c>
      <c r="I852" s="38">
        <f t="shared" ca="1" si="40"/>
        <v>936</v>
      </c>
      <c r="J852" s="38" t="str">
        <f t="shared" ca="1" si="41"/>
        <v>OK</v>
      </c>
      <c r="K852" s="36" t="s">
        <v>178</v>
      </c>
      <c r="L852" s="39"/>
    </row>
    <row r="853" spans="1:12" x14ac:dyDescent="0.35">
      <c r="A853" s="34" t="str">
        <f t="shared" si="39"/>
        <v>DON-0849</v>
      </c>
      <c r="B853" s="35">
        <v>46142</v>
      </c>
      <c r="C853" s="36" t="s">
        <v>61</v>
      </c>
      <c r="D853" s="36" t="s">
        <v>62</v>
      </c>
      <c r="E853" s="36" t="s">
        <v>53</v>
      </c>
      <c r="F853" s="36" t="s">
        <v>42</v>
      </c>
      <c r="G853" s="37">
        <v>72</v>
      </c>
      <c r="H853" s="66">
        <v>47227</v>
      </c>
      <c r="I853" s="38">
        <f t="shared" ca="1" si="40"/>
        <v>1028</v>
      </c>
      <c r="J853" s="38" t="str">
        <f t="shared" ca="1" si="41"/>
        <v>OK</v>
      </c>
      <c r="K853" s="36" t="s">
        <v>178</v>
      </c>
      <c r="L853" s="39"/>
    </row>
    <row r="854" spans="1:12" x14ac:dyDescent="0.35">
      <c r="A854" s="34" t="str">
        <f t="shared" si="39"/>
        <v>DON-0850</v>
      </c>
      <c r="B854" s="35">
        <v>46144</v>
      </c>
      <c r="C854" s="36" t="s">
        <v>151</v>
      </c>
      <c r="D854" s="36" t="s">
        <v>152</v>
      </c>
      <c r="E854" s="36" t="s">
        <v>8</v>
      </c>
      <c r="F854" s="36" t="s">
        <v>143</v>
      </c>
      <c r="G854" s="37">
        <v>23</v>
      </c>
      <c r="H854" s="66">
        <v>46171</v>
      </c>
      <c r="I854" s="38">
        <f t="shared" ca="1" si="40"/>
        <v>-28</v>
      </c>
      <c r="J854" s="38" t="str">
        <f t="shared" ca="1" si="41"/>
        <v>EXPIRED</v>
      </c>
      <c r="K854" s="36" t="s">
        <v>180</v>
      </c>
      <c r="L854" s="39"/>
    </row>
    <row r="855" spans="1:12" x14ac:dyDescent="0.35">
      <c r="A855" s="34" t="str">
        <f t="shared" si="39"/>
        <v>DON-0851</v>
      </c>
      <c r="B855" s="35">
        <v>46144</v>
      </c>
      <c r="C855" s="36" t="s">
        <v>149</v>
      </c>
      <c r="D855" s="36" t="s">
        <v>150</v>
      </c>
      <c r="E855" s="36" t="s">
        <v>8</v>
      </c>
      <c r="F855" s="36" t="s">
        <v>75</v>
      </c>
      <c r="G855" s="37">
        <v>33</v>
      </c>
      <c r="H855" s="66">
        <v>46179</v>
      </c>
      <c r="I855" s="38">
        <f t="shared" ca="1" si="40"/>
        <v>-20</v>
      </c>
      <c r="J855" s="38" t="str">
        <f t="shared" ca="1" si="41"/>
        <v>EXPIRED</v>
      </c>
      <c r="K855" s="36" t="s">
        <v>180</v>
      </c>
      <c r="L855" s="39"/>
    </row>
    <row r="856" spans="1:12" x14ac:dyDescent="0.35">
      <c r="A856" s="34" t="str">
        <f t="shared" si="39"/>
        <v>DON-0852</v>
      </c>
      <c r="B856" s="35">
        <v>46144</v>
      </c>
      <c r="C856" s="36" t="s">
        <v>48</v>
      </c>
      <c r="D856" s="36" t="s">
        <v>49</v>
      </c>
      <c r="E856" s="36" t="s">
        <v>31</v>
      </c>
      <c r="F856" s="36" t="s">
        <v>50</v>
      </c>
      <c r="G856" s="37">
        <v>52</v>
      </c>
      <c r="H856" s="66">
        <v>46292</v>
      </c>
      <c r="I856" s="38">
        <f t="shared" ca="1" si="40"/>
        <v>93</v>
      </c>
      <c r="J856" s="38" t="str">
        <f t="shared" ca="1" si="41"/>
        <v>OK</v>
      </c>
      <c r="K856" s="36" t="s">
        <v>180</v>
      </c>
      <c r="L856" s="39"/>
    </row>
    <row r="857" spans="1:12" x14ac:dyDescent="0.35">
      <c r="A857" s="34" t="str">
        <f t="shared" si="39"/>
        <v>DON-0853</v>
      </c>
      <c r="B857" s="35">
        <v>46144</v>
      </c>
      <c r="C857" s="36" t="s">
        <v>114</v>
      </c>
      <c r="D857" s="36" t="s">
        <v>13</v>
      </c>
      <c r="E857" s="36" t="s">
        <v>14</v>
      </c>
      <c r="F857" s="36" t="s">
        <v>115</v>
      </c>
      <c r="G857" s="37">
        <v>12</v>
      </c>
      <c r="H857" s="66">
        <v>46341</v>
      </c>
      <c r="I857" s="38">
        <f t="shared" ca="1" si="40"/>
        <v>142</v>
      </c>
      <c r="J857" s="38" t="str">
        <f t="shared" ca="1" si="41"/>
        <v>OK</v>
      </c>
      <c r="K857" s="36" t="s">
        <v>180</v>
      </c>
      <c r="L857" s="39"/>
    </row>
    <row r="858" spans="1:12" x14ac:dyDescent="0.35">
      <c r="A858" s="34" t="str">
        <f t="shared" si="39"/>
        <v>DON-0854</v>
      </c>
      <c r="B858" s="35">
        <v>46144</v>
      </c>
      <c r="C858" s="36" t="s">
        <v>91</v>
      </c>
      <c r="D858" s="36" t="s">
        <v>92</v>
      </c>
      <c r="E858" s="36" t="s">
        <v>93</v>
      </c>
      <c r="F858" s="36" t="s">
        <v>85</v>
      </c>
      <c r="G858" s="37">
        <v>16</v>
      </c>
      <c r="H858" s="66">
        <v>46446</v>
      </c>
      <c r="I858" s="38">
        <f t="shared" ca="1" si="40"/>
        <v>247</v>
      </c>
      <c r="J858" s="38" t="str">
        <f t="shared" ca="1" si="41"/>
        <v>OK</v>
      </c>
      <c r="K858" s="36" t="s">
        <v>180</v>
      </c>
      <c r="L858" s="39"/>
    </row>
    <row r="859" spans="1:12" x14ac:dyDescent="0.35">
      <c r="A859" s="34" t="str">
        <f t="shared" si="39"/>
        <v>DON-0855</v>
      </c>
      <c r="B859" s="35">
        <v>46144</v>
      </c>
      <c r="C859" s="36" t="s">
        <v>109</v>
      </c>
      <c r="D859" s="36" t="s">
        <v>110</v>
      </c>
      <c r="E859" s="36" t="s">
        <v>102</v>
      </c>
      <c r="F859" s="36" t="s">
        <v>42</v>
      </c>
      <c r="G859" s="37">
        <v>68</v>
      </c>
      <c r="H859" s="66">
        <v>46677</v>
      </c>
      <c r="I859" s="38">
        <f t="shared" ca="1" si="40"/>
        <v>478</v>
      </c>
      <c r="J859" s="38" t="str">
        <f t="shared" ca="1" si="41"/>
        <v>OK</v>
      </c>
      <c r="K859" s="36" t="s">
        <v>180</v>
      </c>
      <c r="L859" s="39"/>
    </row>
    <row r="860" spans="1:12" x14ac:dyDescent="0.35">
      <c r="A860" s="34" t="str">
        <f t="shared" si="39"/>
        <v>DON-0856</v>
      </c>
      <c r="B860" s="35">
        <v>46144</v>
      </c>
      <c r="C860" s="36" t="s">
        <v>161</v>
      </c>
      <c r="D860" s="36" t="s">
        <v>162</v>
      </c>
      <c r="E860" s="36" t="s">
        <v>159</v>
      </c>
      <c r="F860" s="36" t="s">
        <v>163</v>
      </c>
      <c r="G860" s="37">
        <v>15</v>
      </c>
      <c r="H860" s="66">
        <v>46821</v>
      </c>
      <c r="I860" s="38">
        <f t="shared" ca="1" si="40"/>
        <v>622</v>
      </c>
      <c r="J860" s="38" t="str">
        <f t="shared" ca="1" si="41"/>
        <v>OK</v>
      </c>
      <c r="K860" s="36" t="s">
        <v>180</v>
      </c>
      <c r="L860" s="39"/>
    </row>
    <row r="861" spans="1:12" x14ac:dyDescent="0.35">
      <c r="A861" s="34" t="str">
        <f t="shared" si="39"/>
        <v>DON-0857</v>
      </c>
      <c r="B861" s="35">
        <v>46145</v>
      </c>
      <c r="C861" s="36" t="s">
        <v>86</v>
      </c>
      <c r="D861" s="36" t="s">
        <v>87</v>
      </c>
      <c r="E861" s="36" t="s">
        <v>74</v>
      </c>
      <c r="F861" s="36" t="s">
        <v>75</v>
      </c>
      <c r="G861" s="37">
        <v>33</v>
      </c>
      <c r="H861" s="66">
        <v>46365</v>
      </c>
      <c r="I861" s="38">
        <f t="shared" ca="1" si="40"/>
        <v>166</v>
      </c>
      <c r="J861" s="38" t="str">
        <f t="shared" ca="1" si="41"/>
        <v>OK</v>
      </c>
      <c r="K861" s="36" t="s">
        <v>182</v>
      </c>
      <c r="L861" s="39"/>
    </row>
    <row r="862" spans="1:12" x14ac:dyDescent="0.35">
      <c r="A862" s="34" t="str">
        <f t="shared" si="39"/>
        <v>DON-0858</v>
      </c>
      <c r="B862" s="35">
        <v>46145</v>
      </c>
      <c r="C862" s="36" t="s">
        <v>76</v>
      </c>
      <c r="D862" s="36" t="s">
        <v>77</v>
      </c>
      <c r="E862" s="36" t="s">
        <v>74</v>
      </c>
      <c r="F862" s="36" t="s">
        <v>75</v>
      </c>
      <c r="G862" s="37">
        <v>27</v>
      </c>
      <c r="H862" s="66">
        <v>46438</v>
      </c>
      <c r="I862" s="38">
        <f t="shared" ca="1" si="40"/>
        <v>239</v>
      </c>
      <c r="J862" s="38" t="str">
        <f t="shared" ca="1" si="41"/>
        <v>OK</v>
      </c>
      <c r="K862" s="36" t="s">
        <v>182</v>
      </c>
      <c r="L862" s="39"/>
    </row>
    <row r="863" spans="1:12" x14ac:dyDescent="0.35">
      <c r="A863" s="34" t="str">
        <f t="shared" si="39"/>
        <v>DON-0859</v>
      </c>
      <c r="B863" s="35">
        <v>46145</v>
      </c>
      <c r="C863" s="36" t="s">
        <v>111</v>
      </c>
      <c r="D863" s="36" t="s">
        <v>112</v>
      </c>
      <c r="E863" s="36" t="s">
        <v>102</v>
      </c>
      <c r="F863" s="36" t="s">
        <v>113</v>
      </c>
      <c r="G863" s="37">
        <v>34</v>
      </c>
      <c r="H863" s="66">
        <v>46870</v>
      </c>
      <c r="I863" s="38">
        <f t="shared" ca="1" si="40"/>
        <v>671</v>
      </c>
      <c r="J863" s="38" t="str">
        <f t="shared" ca="1" si="41"/>
        <v>OK</v>
      </c>
      <c r="K863" s="36" t="s">
        <v>182</v>
      </c>
      <c r="L863" s="39"/>
    </row>
    <row r="864" spans="1:12" x14ac:dyDescent="0.35">
      <c r="A864" s="34" t="str">
        <f t="shared" si="39"/>
        <v>DON-0860</v>
      </c>
      <c r="B864" s="35">
        <v>46145</v>
      </c>
      <c r="C864" s="36" t="s">
        <v>61</v>
      </c>
      <c r="D864" s="36" t="s">
        <v>62</v>
      </c>
      <c r="E864" s="36" t="s">
        <v>53</v>
      </c>
      <c r="F864" s="36" t="s">
        <v>42</v>
      </c>
      <c r="G864" s="37">
        <v>99</v>
      </c>
      <c r="H864" s="66">
        <v>47011</v>
      </c>
      <c r="I864" s="38">
        <f t="shared" ca="1" si="40"/>
        <v>812</v>
      </c>
      <c r="J864" s="38" t="str">
        <f t="shared" ca="1" si="41"/>
        <v>OK</v>
      </c>
      <c r="K864" s="36" t="s">
        <v>182</v>
      </c>
      <c r="L864" s="39"/>
    </row>
    <row r="865" spans="1:12" x14ac:dyDescent="0.35">
      <c r="A865" s="34" t="str">
        <f t="shared" si="39"/>
        <v>DON-0861</v>
      </c>
      <c r="B865" s="35">
        <v>46145</v>
      </c>
      <c r="C865" s="36" t="s">
        <v>64</v>
      </c>
      <c r="D865" s="36" t="s">
        <v>65</v>
      </c>
      <c r="E865" s="36" t="s">
        <v>66</v>
      </c>
      <c r="F865" s="36" t="s">
        <v>42</v>
      </c>
      <c r="G865" s="37">
        <v>58</v>
      </c>
      <c r="H865" s="66">
        <v>47111</v>
      </c>
      <c r="I865" s="38">
        <f t="shared" ca="1" si="40"/>
        <v>912</v>
      </c>
      <c r="J865" s="38" t="str">
        <f t="shared" ca="1" si="41"/>
        <v>OK</v>
      </c>
      <c r="K865" s="36" t="s">
        <v>182</v>
      </c>
      <c r="L865" s="39"/>
    </row>
    <row r="866" spans="1:12" x14ac:dyDescent="0.35">
      <c r="A866" s="34" t="str">
        <f t="shared" si="39"/>
        <v>DON-0862</v>
      </c>
      <c r="B866" s="35">
        <v>46145</v>
      </c>
      <c r="C866" s="36" t="s">
        <v>51</v>
      </c>
      <c r="D866" s="36" t="s">
        <v>52</v>
      </c>
      <c r="E866" s="36" t="s">
        <v>53</v>
      </c>
      <c r="F866" s="36" t="s">
        <v>42</v>
      </c>
      <c r="G866" s="37">
        <v>114</v>
      </c>
      <c r="H866" s="66">
        <v>47142</v>
      </c>
      <c r="I866" s="38">
        <f t="shared" ca="1" si="40"/>
        <v>943</v>
      </c>
      <c r="J866" s="38" t="str">
        <f t="shared" ca="1" si="41"/>
        <v>OK</v>
      </c>
      <c r="K866" s="36" t="s">
        <v>182</v>
      </c>
      <c r="L866" s="39"/>
    </row>
    <row r="867" spans="1:12" x14ac:dyDescent="0.35">
      <c r="A867" s="34" t="str">
        <f t="shared" si="39"/>
        <v>DON-0863</v>
      </c>
      <c r="B867" s="35">
        <v>46145</v>
      </c>
      <c r="C867" s="36" t="s">
        <v>94</v>
      </c>
      <c r="D867" s="36" t="s">
        <v>95</v>
      </c>
      <c r="E867" s="36" t="s">
        <v>93</v>
      </c>
      <c r="F867" s="36" t="s">
        <v>96</v>
      </c>
      <c r="G867" s="37">
        <v>32</v>
      </c>
      <c r="H867" s="66">
        <v>46429</v>
      </c>
      <c r="I867" s="38">
        <f t="shared" ca="1" si="40"/>
        <v>230</v>
      </c>
      <c r="J867" s="38" t="str">
        <f t="shared" ca="1" si="41"/>
        <v>OK</v>
      </c>
      <c r="K867" s="36" t="s">
        <v>182</v>
      </c>
      <c r="L867" s="39"/>
    </row>
    <row r="868" spans="1:12" x14ac:dyDescent="0.35">
      <c r="A868" s="34" t="str">
        <f t="shared" si="39"/>
        <v>DON-0864</v>
      </c>
      <c r="B868" s="35">
        <v>46149</v>
      </c>
      <c r="C868" s="36" t="s">
        <v>156</v>
      </c>
      <c r="D868" s="36" t="s">
        <v>11</v>
      </c>
      <c r="E868" s="36" t="s">
        <v>12</v>
      </c>
      <c r="F868" s="36" t="s">
        <v>155</v>
      </c>
      <c r="G868" s="37">
        <v>27</v>
      </c>
      <c r="H868" s="66">
        <v>46158</v>
      </c>
      <c r="I868" s="38">
        <f t="shared" ca="1" si="40"/>
        <v>-41</v>
      </c>
      <c r="J868" s="38" t="str">
        <f t="shared" ca="1" si="41"/>
        <v>EXPIRED</v>
      </c>
      <c r="K868" s="36" t="s">
        <v>175</v>
      </c>
      <c r="L868" s="39"/>
    </row>
    <row r="869" spans="1:12" x14ac:dyDescent="0.35">
      <c r="A869" s="34" t="str">
        <f t="shared" si="39"/>
        <v>DON-0865</v>
      </c>
      <c r="B869" s="35">
        <v>46149</v>
      </c>
      <c r="C869" s="36" t="s">
        <v>130</v>
      </c>
      <c r="D869" s="36" t="s">
        <v>16</v>
      </c>
      <c r="E869" s="36" t="s">
        <v>10</v>
      </c>
      <c r="F869" s="36" t="s">
        <v>131</v>
      </c>
      <c r="G869" s="37">
        <v>24</v>
      </c>
      <c r="H869" s="66">
        <v>46168</v>
      </c>
      <c r="I869" s="38">
        <f t="shared" ca="1" si="40"/>
        <v>-31</v>
      </c>
      <c r="J869" s="38" t="str">
        <f t="shared" ca="1" si="41"/>
        <v>EXPIRED</v>
      </c>
      <c r="K869" s="36" t="s">
        <v>175</v>
      </c>
      <c r="L869" s="39"/>
    </row>
    <row r="870" spans="1:12" x14ac:dyDescent="0.35">
      <c r="A870" s="34" t="str">
        <f t="shared" si="39"/>
        <v>DON-0866</v>
      </c>
      <c r="B870" s="35">
        <v>46149</v>
      </c>
      <c r="C870" s="36" t="s">
        <v>111</v>
      </c>
      <c r="D870" s="36" t="s">
        <v>112</v>
      </c>
      <c r="E870" s="36" t="s">
        <v>102</v>
      </c>
      <c r="F870" s="36" t="s">
        <v>113</v>
      </c>
      <c r="G870" s="37">
        <v>60</v>
      </c>
      <c r="H870" s="66">
        <v>46629</v>
      </c>
      <c r="I870" s="38">
        <f t="shared" ca="1" si="40"/>
        <v>430</v>
      </c>
      <c r="J870" s="38" t="str">
        <f t="shared" ca="1" si="41"/>
        <v>OK</v>
      </c>
      <c r="K870" s="36" t="s">
        <v>175</v>
      </c>
      <c r="L870" s="39"/>
    </row>
    <row r="871" spans="1:12" x14ac:dyDescent="0.35">
      <c r="A871" s="34" t="str">
        <f t="shared" si="39"/>
        <v>DON-0867</v>
      </c>
      <c r="B871" s="35">
        <v>46149</v>
      </c>
      <c r="C871" s="36" t="s">
        <v>161</v>
      </c>
      <c r="D871" s="36" t="s">
        <v>162</v>
      </c>
      <c r="E871" s="36" t="s">
        <v>159</v>
      </c>
      <c r="F871" s="36" t="s">
        <v>163</v>
      </c>
      <c r="G871" s="37">
        <v>33</v>
      </c>
      <c r="H871" s="66">
        <v>46645</v>
      </c>
      <c r="I871" s="38">
        <f t="shared" ca="1" si="40"/>
        <v>446</v>
      </c>
      <c r="J871" s="38" t="str">
        <f t="shared" ca="1" si="41"/>
        <v>OK</v>
      </c>
      <c r="K871" s="36" t="s">
        <v>175</v>
      </c>
      <c r="L871" s="39"/>
    </row>
    <row r="872" spans="1:12" x14ac:dyDescent="0.35">
      <c r="A872" s="34" t="str">
        <f t="shared" si="39"/>
        <v>DON-0868</v>
      </c>
      <c r="B872" s="35">
        <v>46150</v>
      </c>
      <c r="C872" s="36" t="s">
        <v>97</v>
      </c>
      <c r="D872" s="36" t="s">
        <v>98</v>
      </c>
      <c r="E872" s="36" t="s">
        <v>93</v>
      </c>
      <c r="F872" s="36" t="s">
        <v>99</v>
      </c>
      <c r="G872" s="37">
        <v>24</v>
      </c>
      <c r="H872" s="66">
        <v>46245</v>
      </c>
      <c r="I872" s="38">
        <f t="shared" ca="1" si="40"/>
        <v>46</v>
      </c>
      <c r="J872" s="38" t="str">
        <f t="shared" ca="1" si="41"/>
        <v>OK</v>
      </c>
      <c r="K872" s="36" t="s">
        <v>179</v>
      </c>
      <c r="L872" s="39"/>
    </row>
    <row r="873" spans="1:12" x14ac:dyDescent="0.35">
      <c r="A873" s="34" t="str">
        <f t="shared" si="39"/>
        <v>DON-0869</v>
      </c>
      <c r="B873" s="35">
        <v>46150</v>
      </c>
      <c r="C873" s="36" t="s">
        <v>91</v>
      </c>
      <c r="D873" s="36" t="s">
        <v>92</v>
      </c>
      <c r="E873" s="36" t="s">
        <v>93</v>
      </c>
      <c r="F873" s="36" t="s">
        <v>85</v>
      </c>
      <c r="G873" s="37">
        <v>36</v>
      </c>
      <c r="H873" s="66">
        <v>46375</v>
      </c>
      <c r="I873" s="38">
        <f t="shared" ca="1" si="40"/>
        <v>176</v>
      </c>
      <c r="J873" s="38" t="str">
        <f t="shared" ca="1" si="41"/>
        <v>OK</v>
      </c>
      <c r="K873" s="36" t="s">
        <v>179</v>
      </c>
      <c r="L873" s="39"/>
    </row>
    <row r="874" spans="1:12" x14ac:dyDescent="0.35">
      <c r="A874" s="34" t="str">
        <f t="shared" si="39"/>
        <v>DON-0870</v>
      </c>
      <c r="B874" s="35">
        <v>46150</v>
      </c>
      <c r="C874" s="36" t="s">
        <v>117</v>
      </c>
      <c r="D874" s="36" t="s">
        <v>118</v>
      </c>
      <c r="E874" s="36" t="s">
        <v>14</v>
      </c>
      <c r="F874" s="36" t="s">
        <v>119</v>
      </c>
      <c r="G874" s="37">
        <v>19</v>
      </c>
      <c r="H874" s="66">
        <v>46384</v>
      </c>
      <c r="I874" s="38">
        <f t="shared" ca="1" si="40"/>
        <v>185</v>
      </c>
      <c r="J874" s="38" t="str">
        <f t="shared" ca="1" si="41"/>
        <v>OK</v>
      </c>
      <c r="K874" s="36" t="s">
        <v>179</v>
      </c>
      <c r="L874" s="39"/>
    </row>
    <row r="875" spans="1:12" x14ac:dyDescent="0.35">
      <c r="A875" s="34" t="str">
        <f t="shared" si="39"/>
        <v>DON-0871</v>
      </c>
      <c r="B875" s="35">
        <v>46150</v>
      </c>
      <c r="C875" s="36" t="s">
        <v>54</v>
      </c>
      <c r="D875" s="36" t="s">
        <v>55</v>
      </c>
      <c r="E875" s="36" t="s">
        <v>53</v>
      </c>
      <c r="F875" s="36" t="s">
        <v>56</v>
      </c>
      <c r="G875" s="37">
        <v>83</v>
      </c>
      <c r="H875" s="66">
        <v>46599</v>
      </c>
      <c r="I875" s="38">
        <f t="shared" ca="1" si="40"/>
        <v>400</v>
      </c>
      <c r="J875" s="38" t="str">
        <f t="shared" ca="1" si="41"/>
        <v>OK</v>
      </c>
      <c r="K875" s="36" t="s">
        <v>179</v>
      </c>
      <c r="L875" s="39"/>
    </row>
    <row r="876" spans="1:12" x14ac:dyDescent="0.35">
      <c r="A876" s="34" t="str">
        <f t="shared" si="39"/>
        <v>DON-0872</v>
      </c>
      <c r="B876" s="35">
        <v>46150</v>
      </c>
      <c r="C876" s="36" t="s">
        <v>64</v>
      </c>
      <c r="D876" s="36" t="s">
        <v>65</v>
      </c>
      <c r="E876" s="36" t="s">
        <v>66</v>
      </c>
      <c r="F876" s="36" t="s">
        <v>42</v>
      </c>
      <c r="G876" s="37">
        <v>56</v>
      </c>
      <c r="H876" s="66">
        <v>46740</v>
      </c>
      <c r="I876" s="38">
        <f t="shared" ca="1" si="40"/>
        <v>541</v>
      </c>
      <c r="J876" s="38" t="str">
        <f t="shared" ca="1" si="41"/>
        <v>OK</v>
      </c>
      <c r="K876" s="36" t="s">
        <v>179</v>
      </c>
      <c r="L876" s="39"/>
    </row>
    <row r="877" spans="1:12" x14ac:dyDescent="0.35">
      <c r="A877" s="34" t="str">
        <f t="shared" si="39"/>
        <v>DON-0873</v>
      </c>
      <c r="B877" s="35">
        <v>46150</v>
      </c>
      <c r="C877" s="36" t="s">
        <v>29</v>
      </c>
      <c r="D877" s="36" t="s">
        <v>30</v>
      </c>
      <c r="E877" s="36" t="s">
        <v>31</v>
      </c>
      <c r="F877" s="36" t="s">
        <v>32</v>
      </c>
      <c r="G877" s="37">
        <v>75</v>
      </c>
      <c r="H877" s="66">
        <v>46940</v>
      </c>
      <c r="I877" s="38">
        <f t="shared" ca="1" si="40"/>
        <v>741</v>
      </c>
      <c r="J877" s="38" t="str">
        <f t="shared" ca="1" si="41"/>
        <v>OK</v>
      </c>
      <c r="K877" s="36" t="s">
        <v>179</v>
      </c>
      <c r="L877" s="39"/>
    </row>
    <row r="878" spans="1:12" x14ac:dyDescent="0.35">
      <c r="A878" s="34" t="str">
        <f t="shared" si="39"/>
        <v>DON-0874</v>
      </c>
      <c r="B878" s="35">
        <v>46150</v>
      </c>
      <c r="C878" s="36" t="s">
        <v>40</v>
      </c>
      <c r="D878" s="36" t="s">
        <v>41</v>
      </c>
      <c r="E878" s="36" t="s">
        <v>31</v>
      </c>
      <c r="F878" s="36" t="s">
        <v>42</v>
      </c>
      <c r="G878" s="37">
        <v>93</v>
      </c>
      <c r="H878" s="66">
        <v>47032</v>
      </c>
      <c r="I878" s="38">
        <f t="shared" ca="1" si="40"/>
        <v>833</v>
      </c>
      <c r="J878" s="38" t="str">
        <f t="shared" ca="1" si="41"/>
        <v>OK</v>
      </c>
      <c r="K878" s="36" t="s">
        <v>179</v>
      </c>
      <c r="L878" s="39"/>
    </row>
    <row r="879" spans="1:12" x14ac:dyDescent="0.35">
      <c r="A879" s="34" t="str">
        <f t="shared" si="39"/>
        <v>DON-0875</v>
      </c>
      <c r="B879" s="35">
        <v>46152</v>
      </c>
      <c r="C879" s="36" t="s">
        <v>94</v>
      </c>
      <c r="D879" s="36" t="s">
        <v>95</v>
      </c>
      <c r="E879" s="36" t="s">
        <v>93</v>
      </c>
      <c r="F879" s="36" t="s">
        <v>96</v>
      </c>
      <c r="G879" s="37">
        <v>24</v>
      </c>
      <c r="H879" s="66">
        <v>46320</v>
      </c>
      <c r="I879" s="38">
        <f t="shared" ca="1" si="40"/>
        <v>121</v>
      </c>
      <c r="J879" s="38" t="str">
        <f t="shared" ca="1" si="41"/>
        <v>OK</v>
      </c>
      <c r="K879" s="36" t="s">
        <v>182</v>
      </c>
      <c r="L879" s="39"/>
    </row>
    <row r="880" spans="1:12" x14ac:dyDescent="0.35">
      <c r="A880" s="34" t="str">
        <f t="shared" si="39"/>
        <v>DON-0876</v>
      </c>
      <c r="B880" s="35">
        <v>46152</v>
      </c>
      <c r="C880" s="36" t="s">
        <v>156</v>
      </c>
      <c r="D880" s="36" t="s">
        <v>11</v>
      </c>
      <c r="E880" s="36" t="s">
        <v>12</v>
      </c>
      <c r="F880" s="36" t="s">
        <v>155</v>
      </c>
      <c r="G880" s="37">
        <v>30</v>
      </c>
      <c r="H880" s="66">
        <v>46158</v>
      </c>
      <c r="I880" s="38">
        <f t="shared" ca="1" si="40"/>
        <v>-41</v>
      </c>
      <c r="J880" s="38" t="str">
        <f t="shared" ca="1" si="41"/>
        <v>EXPIRED</v>
      </c>
      <c r="K880" s="36" t="s">
        <v>182</v>
      </c>
      <c r="L880" s="39"/>
    </row>
    <row r="881" spans="1:12" x14ac:dyDescent="0.35">
      <c r="A881" s="34" t="str">
        <f t="shared" si="39"/>
        <v>DON-0877</v>
      </c>
      <c r="B881" s="35">
        <v>46152</v>
      </c>
      <c r="C881" s="36" t="s">
        <v>141</v>
      </c>
      <c r="D881" s="36" t="s">
        <v>142</v>
      </c>
      <c r="E881" s="36" t="s">
        <v>8</v>
      </c>
      <c r="F881" s="36" t="s">
        <v>143</v>
      </c>
      <c r="G881" s="37">
        <v>16</v>
      </c>
      <c r="H881" s="66">
        <v>46170</v>
      </c>
      <c r="I881" s="38">
        <f t="shared" ca="1" si="40"/>
        <v>-29</v>
      </c>
      <c r="J881" s="38" t="str">
        <f t="shared" ca="1" si="41"/>
        <v>EXPIRED</v>
      </c>
      <c r="K881" s="36" t="s">
        <v>176</v>
      </c>
      <c r="L881" s="39"/>
    </row>
    <row r="882" spans="1:12" x14ac:dyDescent="0.35">
      <c r="A882" s="34" t="str">
        <f t="shared" si="39"/>
        <v>DON-0878</v>
      </c>
      <c r="B882" s="35">
        <v>46152</v>
      </c>
      <c r="C882" s="36" t="s">
        <v>48</v>
      </c>
      <c r="D882" s="36" t="s">
        <v>49</v>
      </c>
      <c r="E882" s="36" t="s">
        <v>31</v>
      </c>
      <c r="F882" s="36" t="s">
        <v>50</v>
      </c>
      <c r="G882" s="37">
        <v>81</v>
      </c>
      <c r="H882" s="66">
        <v>46333</v>
      </c>
      <c r="I882" s="38">
        <f t="shared" ca="1" si="40"/>
        <v>134</v>
      </c>
      <c r="J882" s="38" t="str">
        <f t="shared" ca="1" si="41"/>
        <v>OK</v>
      </c>
      <c r="K882" s="36" t="s">
        <v>176</v>
      </c>
      <c r="L882" s="39"/>
    </row>
    <row r="883" spans="1:12" x14ac:dyDescent="0.35">
      <c r="A883" s="34" t="str">
        <f t="shared" si="39"/>
        <v>DON-0879</v>
      </c>
      <c r="B883" s="35">
        <v>46152</v>
      </c>
      <c r="C883" s="36" t="s">
        <v>86</v>
      </c>
      <c r="D883" s="36" t="s">
        <v>87</v>
      </c>
      <c r="E883" s="36" t="s">
        <v>74</v>
      </c>
      <c r="F883" s="36" t="s">
        <v>75</v>
      </c>
      <c r="G883" s="37">
        <v>37</v>
      </c>
      <c r="H883" s="66">
        <v>46425</v>
      </c>
      <c r="I883" s="38">
        <f t="shared" ca="1" si="40"/>
        <v>226</v>
      </c>
      <c r="J883" s="38" t="str">
        <f t="shared" ca="1" si="41"/>
        <v>OK</v>
      </c>
      <c r="K883" s="36" t="s">
        <v>182</v>
      </c>
      <c r="L883" s="39"/>
    </row>
    <row r="884" spans="1:12" x14ac:dyDescent="0.35">
      <c r="A884" s="34" t="str">
        <f t="shared" si="39"/>
        <v>DON-0880</v>
      </c>
      <c r="B884" s="35">
        <v>46152</v>
      </c>
      <c r="C884" s="36" t="s">
        <v>83</v>
      </c>
      <c r="D884" s="36" t="s">
        <v>84</v>
      </c>
      <c r="E884" s="36" t="s">
        <v>74</v>
      </c>
      <c r="F884" s="36" t="s">
        <v>85</v>
      </c>
      <c r="G884" s="37">
        <v>57</v>
      </c>
      <c r="H884" s="66">
        <v>46429</v>
      </c>
      <c r="I884" s="38">
        <f t="shared" ca="1" si="40"/>
        <v>230</v>
      </c>
      <c r="J884" s="38" t="str">
        <f t="shared" ca="1" si="41"/>
        <v>OK</v>
      </c>
      <c r="K884" s="36" t="s">
        <v>176</v>
      </c>
      <c r="L884" s="39"/>
    </row>
    <row r="885" spans="1:12" x14ac:dyDescent="0.35">
      <c r="A885" s="34" t="str">
        <f t="shared" si="39"/>
        <v>DON-0881</v>
      </c>
      <c r="B885" s="35">
        <v>46152</v>
      </c>
      <c r="C885" s="36" t="s">
        <v>83</v>
      </c>
      <c r="D885" s="36" t="s">
        <v>84</v>
      </c>
      <c r="E885" s="36" t="s">
        <v>74</v>
      </c>
      <c r="F885" s="36" t="s">
        <v>85</v>
      </c>
      <c r="G885" s="37">
        <v>47</v>
      </c>
      <c r="H885" s="66">
        <v>46450</v>
      </c>
      <c r="I885" s="38">
        <f t="shared" ca="1" si="40"/>
        <v>251</v>
      </c>
      <c r="J885" s="38" t="str">
        <f t="shared" ca="1" si="41"/>
        <v>OK</v>
      </c>
      <c r="K885" s="36" t="s">
        <v>182</v>
      </c>
      <c r="L885" s="39"/>
    </row>
    <row r="886" spans="1:12" x14ac:dyDescent="0.35">
      <c r="A886" s="34" t="str">
        <f t="shared" si="39"/>
        <v>DON-0882</v>
      </c>
      <c r="B886" s="35">
        <v>46152</v>
      </c>
      <c r="C886" s="36" t="s">
        <v>109</v>
      </c>
      <c r="D886" s="36" t="s">
        <v>110</v>
      </c>
      <c r="E886" s="36" t="s">
        <v>102</v>
      </c>
      <c r="F886" s="36" t="s">
        <v>42</v>
      </c>
      <c r="G886" s="37">
        <v>80</v>
      </c>
      <c r="H886" s="66">
        <v>46550</v>
      </c>
      <c r="I886" s="38">
        <f t="shared" ca="1" si="40"/>
        <v>351</v>
      </c>
      <c r="J886" s="38" t="str">
        <f t="shared" ca="1" si="41"/>
        <v>OK</v>
      </c>
      <c r="K886" s="36" t="s">
        <v>176</v>
      </c>
      <c r="L886" s="39"/>
    </row>
    <row r="887" spans="1:12" x14ac:dyDescent="0.35">
      <c r="A887" s="34" t="str">
        <f t="shared" si="39"/>
        <v>DON-0883</v>
      </c>
      <c r="B887" s="35">
        <v>46152</v>
      </c>
      <c r="C887" s="36" t="s">
        <v>72</v>
      </c>
      <c r="D887" s="36" t="s">
        <v>73</v>
      </c>
      <c r="E887" s="36" t="s">
        <v>74</v>
      </c>
      <c r="F887" s="36" t="s">
        <v>75</v>
      </c>
      <c r="G887" s="37">
        <v>45</v>
      </c>
      <c r="H887" s="66">
        <v>46574</v>
      </c>
      <c r="I887" s="38">
        <f t="shared" ca="1" si="40"/>
        <v>375</v>
      </c>
      <c r="J887" s="38" t="str">
        <f t="shared" ca="1" si="41"/>
        <v>OK</v>
      </c>
      <c r="K887" s="36" t="s">
        <v>176</v>
      </c>
      <c r="L887" s="39"/>
    </row>
    <row r="888" spans="1:12" x14ac:dyDescent="0.35">
      <c r="A888" s="34" t="str">
        <f t="shared" si="39"/>
        <v>DON-0884</v>
      </c>
      <c r="B888" s="35">
        <v>46152</v>
      </c>
      <c r="C888" s="36" t="s">
        <v>67</v>
      </c>
      <c r="D888" s="36" t="s">
        <v>68</v>
      </c>
      <c r="E888" s="36" t="s">
        <v>66</v>
      </c>
      <c r="F888" s="36" t="s">
        <v>42</v>
      </c>
      <c r="G888" s="37">
        <v>72</v>
      </c>
      <c r="H888" s="66">
        <v>46606</v>
      </c>
      <c r="I888" s="38">
        <f t="shared" ca="1" si="40"/>
        <v>407</v>
      </c>
      <c r="J888" s="38" t="str">
        <f t="shared" ca="1" si="41"/>
        <v>OK</v>
      </c>
      <c r="K888" s="36" t="s">
        <v>176</v>
      </c>
      <c r="L888" s="39"/>
    </row>
    <row r="889" spans="1:12" x14ac:dyDescent="0.35">
      <c r="A889" s="34" t="str">
        <f t="shared" si="39"/>
        <v>DON-0885</v>
      </c>
      <c r="B889" s="35">
        <v>46152</v>
      </c>
      <c r="C889" s="36" t="s">
        <v>106</v>
      </c>
      <c r="D889" s="36" t="s">
        <v>107</v>
      </c>
      <c r="E889" s="36" t="s">
        <v>102</v>
      </c>
      <c r="F889" s="36" t="s">
        <v>108</v>
      </c>
      <c r="G889" s="37">
        <v>54</v>
      </c>
      <c r="H889" s="66">
        <v>46637</v>
      </c>
      <c r="I889" s="38">
        <f t="shared" ca="1" si="40"/>
        <v>438</v>
      </c>
      <c r="J889" s="38" t="str">
        <f t="shared" ca="1" si="41"/>
        <v>OK</v>
      </c>
      <c r="K889" s="36" t="s">
        <v>176</v>
      </c>
      <c r="L889" s="39"/>
    </row>
    <row r="890" spans="1:12" x14ac:dyDescent="0.35">
      <c r="A890" s="34" t="str">
        <f t="shared" si="39"/>
        <v>DON-0886</v>
      </c>
      <c r="B890" s="35">
        <v>46152</v>
      </c>
      <c r="C890" s="36" t="s">
        <v>72</v>
      </c>
      <c r="D890" s="36" t="s">
        <v>73</v>
      </c>
      <c r="E890" s="36" t="s">
        <v>74</v>
      </c>
      <c r="F890" s="36" t="s">
        <v>75</v>
      </c>
      <c r="G890" s="37">
        <v>38</v>
      </c>
      <c r="H890" s="66">
        <v>46644</v>
      </c>
      <c r="I890" s="38">
        <f t="shared" ca="1" si="40"/>
        <v>445</v>
      </c>
      <c r="J890" s="38" t="str">
        <f t="shared" ca="1" si="41"/>
        <v>OK</v>
      </c>
      <c r="K890" s="36" t="s">
        <v>182</v>
      </c>
      <c r="L890" s="39"/>
    </row>
    <row r="891" spans="1:12" x14ac:dyDescent="0.35">
      <c r="A891" s="34" t="str">
        <f t="shared" si="39"/>
        <v>DON-0887</v>
      </c>
      <c r="B891" s="35">
        <v>46152</v>
      </c>
      <c r="C891" s="36" t="s">
        <v>51</v>
      </c>
      <c r="D891" s="36" t="s">
        <v>52</v>
      </c>
      <c r="E891" s="36" t="s">
        <v>53</v>
      </c>
      <c r="F891" s="36" t="s">
        <v>42</v>
      </c>
      <c r="G891" s="37">
        <v>52</v>
      </c>
      <c r="H891" s="66">
        <v>46909</v>
      </c>
      <c r="I891" s="38">
        <f t="shared" ca="1" si="40"/>
        <v>710</v>
      </c>
      <c r="J891" s="38" t="str">
        <f t="shared" ca="1" si="41"/>
        <v>OK</v>
      </c>
      <c r="K891" s="36" t="s">
        <v>182</v>
      </c>
      <c r="L891" s="39"/>
    </row>
    <row r="892" spans="1:12" x14ac:dyDescent="0.35">
      <c r="A892" s="34" t="str">
        <f t="shared" si="39"/>
        <v>DON-0888</v>
      </c>
      <c r="B892" s="35">
        <v>46152</v>
      </c>
      <c r="C892" s="36" t="s">
        <v>61</v>
      </c>
      <c r="D892" s="36" t="s">
        <v>62</v>
      </c>
      <c r="E892" s="36" t="s">
        <v>53</v>
      </c>
      <c r="F892" s="36" t="s">
        <v>42</v>
      </c>
      <c r="G892" s="37">
        <v>88</v>
      </c>
      <c r="H892" s="66">
        <v>47018</v>
      </c>
      <c r="I892" s="38">
        <f t="shared" ca="1" si="40"/>
        <v>819</v>
      </c>
      <c r="J892" s="38" t="str">
        <f t="shared" ca="1" si="41"/>
        <v>OK</v>
      </c>
      <c r="K892" s="36" t="s">
        <v>182</v>
      </c>
      <c r="L892" s="39"/>
    </row>
    <row r="893" spans="1:12" x14ac:dyDescent="0.35">
      <c r="A893" s="34" t="str">
        <f t="shared" si="39"/>
        <v>DON-0889</v>
      </c>
      <c r="B893" s="35">
        <v>46152</v>
      </c>
      <c r="C893" s="36" t="s">
        <v>54</v>
      </c>
      <c r="D893" s="36" t="s">
        <v>55</v>
      </c>
      <c r="E893" s="36" t="s">
        <v>53</v>
      </c>
      <c r="F893" s="36" t="s">
        <v>56</v>
      </c>
      <c r="G893" s="37">
        <v>101</v>
      </c>
      <c r="H893" s="66">
        <v>47040</v>
      </c>
      <c r="I893" s="38">
        <f t="shared" ca="1" si="40"/>
        <v>841</v>
      </c>
      <c r="J893" s="38" t="str">
        <f t="shared" ca="1" si="41"/>
        <v>OK</v>
      </c>
      <c r="K893" s="36" t="s">
        <v>182</v>
      </c>
      <c r="L893" s="39"/>
    </row>
    <row r="894" spans="1:12" x14ac:dyDescent="0.35">
      <c r="A894" s="34" t="str">
        <f t="shared" si="39"/>
        <v>DON-0890</v>
      </c>
      <c r="B894" s="35">
        <v>46152</v>
      </c>
      <c r="C894" s="36" t="s">
        <v>125</v>
      </c>
      <c r="D894" s="36" t="s">
        <v>126</v>
      </c>
      <c r="E894" s="36" t="s">
        <v>14</v>
      </c>
      <c r="F894" s="36" t="s">
        <v>127</v>
      </c>
      <c r="G894" s="37">
        <v>14</v>
      </c>
      <c r="H894" s="66">
        <v>47473</v>
      </c>
      <c r="I894" s="38">
        <f t="shared" ca="1" si="40"/>
        <v>1274</v>
      </c>
      <c r="J894" s="38" t="str">
        <f t="shared" ca="1" si="41"/>
        <v>OK</v>
      </c>
      <c r="K894" s="36" t="s">
        <v>176</v>
      </c>
      <c r="L894" s="39"/>
    </row>
    <row r="895" spans="1:12" x14ac:dyDescent="0.35">
      <c r="A895" s="34" t="str">
        <f t="shared" si="39"/>
        <v>DON-0891</v>
      </c>
      <c r="B895" s="35">
        <v>46155</v>
      </c>
      <c r="C895" s="36" t="s">
        <v>161</v>
      </c>
      <c r="D895" s="36" t="s">
        <v>162</v>
      </c>
      <c r="E895" s="36" t="s">
        <v>159</v>
      </c>
      <c r="F895" s="36" t="s">
        <v>163</v>
      </c>
      <c r="G895" s="37">
        <v>30</v>
      </c>
      <c r="H895" s="66">
        <v>46730</v>
      </c>
      <c r="I895" s="38">
        <f t="shared" ca="1" si="40"/>
        <v>531</v>
      </c>
      <c r="J895" s="38" t="str">
        <f t="shared" ca="1" si="41"/>
        <v>OK</v>
      </c>
      <c r="K895" s="36" t="s">
        <v>182</v>
      </c>
      <c r="L895" s="39"/>
    </row>
    <row r="896" spans="1:12" x14ac:dyDescent="0.35">
      <c r="A896" s="34" t="str">
        <f t="shared" si="39"/>
        <v>DON-0892</v>
      </c>
      <c r="B896" s="35">
        <v>46155</v>
      </c>
      <c r="C896" s="36" t="s">
        <v>51</v>
      </c>
      <c r="D896" s="36" t="s">
        <v>52</v>
      </c>
      <c r="E896" s="36" t="s">
        <v>53</v>
      </c>
      <c r="F896" s="36" t="s">
        <v>42</v>
      </c>
      <c r="G896" s="37">
        <v>66</v>
      </c>
      <c r="H896" s="66">
        <v>46800</v>
      </c>
      <c r="I896" s="38">
        <f t="shared" ca="1" si="40"/>
        <v>601</v>
      </c>
      <c r="J896" s="38" t="str">
        <f t="shared" ca="1" si="41"/>
        <v>OK</v>
      </c>
      <c r="K896" s="36" t="s">
        <v>182</v>
      </c>
      <c r="L896" s="39"/>
    </row>
    <row r="897" spans="1:12" x14ac:dyDescent="0.35">
      <c r="A897" s="34" t="str">
        <f t="shared" si="39"/>
        <v>DON-0893</v>
      </c>
      <c r="B897" s="35">
        <v>46155</v>
      </c>
      <c r="C897" s="36" t="s">
        <v>59</v>
      </c>
      <c r="D897" s="36" t="s">
        <v>60</v>
      </c>
      <c r="E897" s="36" t="s">
        <v>53</v>
      </c>
      <c r="F897" s="36" t="s">
        <v>56</v>
      </c>
      <c r="G897" s="37">
        <v>48</v>
      </c>
      <c r="H897" s="66">
        <v>46889</v>
      </c>
      <c r="I897" s="38">
        <f t="shared" ca="1" si="40"/>
        <v>690</v>
      </c>
      <c r="J897" s="38" t="str">
        <f t="shared" ca="1" si="41"/>
        <v>OK</v>
      </c>
      <c r="K897" s="36" t="s">
        <v>182</v>
      </c>
      <c r="L897" s="39"/>
    </row>
    <row r="898" spans="1:12" x14ac:dyDescent="0.35">
      <c r="A898" s="34" t="str">
        <f t="shared" si="39"/>
        <v>DON-0894</v>
      </c>
      <c r="B898" s="35">
        <v>46155</v>
      </c>
      <c r="C898" s="36" t="s">
        <v>109</v>
      </c>
      <c r="D898" s="36" t="s">
        <v>110</v>
      </c>
      <c r="E898" s="36" t="s">
        <v>102</v>
      </c>
      <c r="F898" s="36" t="s">
        <v>42</v>
      </c>
      <c r="G898" s="37">
        <v>42</v>
      </c>
      <c r="H898" s="66">
        <v>46900</v>
      </c>
      <c r="I898" s="38">
        <f t="shared" ca="1" si="40"/>
        <v>701</v>
      </c>
      <c r="J898" s="38" t="str">
        <f t="shared" ca="1" si="41"/>
        <v>OK</v>
      </c>
      <c r="K898" s="36" t="s">
        <v>182</v>
      </c>
      <c r="L898" s="39"/>
    </row>
    <row r="899" spans="1:12" x14ac:dyDescent="0.35">
      <c r="A899" s="34" t="str">
        <f t="shared" si="39"/>
        <v>DON-0895</v>
      </c>
      <c r="B899" s="35">
        <v>46155</v>
      </c>
      <c r="C899" s="36" t="s">
        <v>29</v>
      </c>
      <c r="D899" s="36" t="s">
        <v>30</v>
      </c>
      <c r="E899" s="36" t="s">
        <v>31</v>
      </c>
      <c r="F899" s="36" t="s">
        <v>32</v>
      </c>
      <c r="G899" s="37">
        <v>40</v>
      </c>
      <c r="H899" s="66">
        <v>46925</v>
      </c>
      <c r="I899" s="38">
        <f t="shared" ca="1" si="40"/>
        <v>726</v>
      </c>
      <c r="J899" s="38" t="str">
        <f t="shared" ca="1" si="41"/>
        <v>OK</v>
      </c>
      <c r="K899" s="36" t="s">
        <v>182</v>
      </c>
      <c r="L899" s="39"/>
    </row>
    <row r="900" spans="1:12" x14ac:dyDescent="0.35">
      <c r="A900" s="34" t="str">
        <f t="shared" si="39"/>
        <v>DON-0896</v>
      </c>
      <c r="B900" s="35">
        <v>46155</v>
      </c>
      <c r="C900" s="36" t="s">
        <v>34</v>
      </c>
      <c r="D900" s="36" t="s">
        <v>35</v>
      </c>
      <c r="E900" s="36" t="s">
        <v>31</v>
      </c>
      <c r="F900" s="36" t="s">
        <v>36</v>
      </c>
      <c r="G900" s="37">
        <v>90</v>
      </c>
      <c r="H900" s="66">
        <v>47185</v>
      </c>
      <c r="I900" s="38">
        <f t="shared" ca="1" si="40"/>
        <v>986</v>
      </c>
      <c r="J900" s="38" t="str">
        <f t="shared" ca="1" si="41"/>
        <v>OK</v>
      </c>
      <c r="K900" s="36" t="s">
        <v>182</v>
      </c>
      <c r="L900" s="39"/>
    </row>
    <row r="901" spans="1:12" x14ac:dyDescent="0.35">
      <c r="A901" s="34" t="str">
        <f t="shared" ref="A901:A964" si="42">IF(G901="","","DON-"&amp;TEXT(ROW()-4,"0000"))</f>
        <v>DON-0897</v>
      </c>
      <c r="B901" s="35">
        <v>46155</v>
      </c>
      <c r="C901" s="36" t="s">
        <v>111</v>
      </c>
      <c r="D901" s="36" t="s">
        <v>112</v>
      </c>
      <c r="E901" s="36" t="s">
        <v>102</v>
      </c>
      <c r="F901" s="36" t="s">
        <v>113</v>
      </c>
      <c r="G901" s="37">
        <v>39</v>
      </c>
      <c r="H901" s="66">
        <v>47225</v>
      </c>
      <c r="I901" s="38">
        <f t="shared" ref="I901:I964" ca="1" si="43">IF(H901="","",H901-TODAY())</f>
        <v>1026</v>
      </c>
      <c r="J901" s="38" t="str">
        <f t="shared" ref="J901:J964" ca="1" si="44">IF(I901="","",IF(I901&lt;=0,"EXPIRED",IF(I901&lt;=3,"CRITICAL",IF(I901&lt;=7,"WARNING",IF(I901&lt;=30,"NOTICE","OK")))))</f>
        <v>OK</v>
      </c>
      <c r="K901" s="36" t="s">
        <v>182</v>
      </c>
      <c r="L901" s="39"/>
    </row>
    <row r="902" spans="1:12" x14ac:dyDescent="0.35">
      <c r="A902" s="34" t="str">
        <f t="shared" si="42"/>
        <v>DON-0898</v>
      </c>
      <c r="B902" s="35">
        <v>46155</v>
      </c>
      <c r="C902" s="36" t="s">
        <v>106</v>
      </c>
      <c r="D902" s="36" t="s">
        <v>107</v>
      </c>
      <c r="E902" s="36" t="s">
        <v>102</v>
      </c>
      <c r="F902" s="36" t="s">
        <v>108</v>
      </c>
      <c r="G902" s="37">
        <v>65</v>
      </c>
      <c r="H902" s="66">
        <v>47236</v>
      </c>
      <c r="I902" s="38">
        <f t="shared" ca="1" si="43"/>
        <v>1037</v>
      </c>
      <c r="J902" s="38" t="str">
        <f t="shared" ca="1" si="44"/>
        <v>OK</v>
      </c>
      <c r="K902" s="36" t="s">
        <v>182</v>
      </c>
      <c r="L902" s="39"/>
    </row>
    <row r="903" spans="1:12" x14ac:dyDescent="0.35">
      <c r="A903" s="34" t="str">
        <f t="shared" si="42"/>
        <v>DON-0899</v>
      </c>
      <c r="B903" s="35">
        <v>46156</v>
      </c>
      <c r="C903" s="36" t="s">
        <v>130</v>
      </c>
      <c r="D903" s="36" t="s">
        <v>16</v>
      </c>
      <c r="E903" s="36" t="s">
        <v>10</v>
      </c>
      <c r="F903" s="36" t="s">
        <v>131</v>
      </c>
      <c r="G903" s="37">
        <v>34</v>
      </c>
      <c r="H903" s="66">
        <v>46176</v>
      </c>
      <c r="I903" s="38">
        <f t="shared" ca="1" si="43"/>
        <v>-23</v>
      </c>
      <c r="J903" s="38" t="str">
        <f t="shared" ca="1" si="44"/>
        <v>EXPIRED</v>
      </c>
      <c r="K903" s="36" t="s">
        <v>181</v>
      </c>
      <c r="L903" s="39"/>
    </row>
    <row r="904" spans="1:12" x14ac:dyDescent="0.35">
      <c r="A904" s="34" t="str">
        <f t="shared" si="42"/>
        <v>DON-0900</v>
      </c>
      <c r="B904" s="35">
        <v>46156</v>
      </c>
      <c r="C904" s="36" t="s">
        <v>91</v>
      </c>
      <c r="D904" s="36" t="s">
        <v>92</v>
      </c>
      <c r="E904" s="36" t="s">
        <v>93</v>
      </c>
      <c r="F904" s="36" t="s">
        <v>85</v>
      </c>
      <c r="G904" s="37">
        <v>24</v>
      </c>
      <c r="H904" s="66">
        <v>46345</v>
      </c>
      <c r="I904" s="38">
        <f t="shared" ca="1" si="43"/>
        <v>146</v>
      </c>
      <c r="J904" s="38" t="str">
        <f t="shared" ca="1" si="44"/>
        <v>OK</v>
      </c>
      <c r="K904" s="36" t="s">
        <v>181</v>
      </c>
      <c r="L904" s="39"/>
    </row>
    <row r="905" spans="1:12" x14ac:dyDescent="0.35">
      <c r="A905" s="34" t="str">
        <f t="shared" si="42"/>
        <v>DON-0901</v>
      </c>
      <c r="B905" s="35">
        <v>46156</v>
      </c>
      <c r="C905" s="36" t="s">
        <v>40</v>
      </c>
      <c r="D905" s="36" t="s">
        <v>41</v>
      </c>
      <c r="E905" s="36" t="s">
        <v>31</v>
      </c>
      <c r="F905" s="36" t="s">
        <v>42</v>
      </c>
      <c r="G905" s="37">
        <v>65</v>
      </c>
      <c r="H905" s="66">
        <v>46852</v>
      </c>
      <c r="I905" s="38">
        <f t="shared" ca="1" si="43"/>
        <v>653</v>
      </c>
      <c r="J905" s="38" t="str">
        <f t="shared" ca="1" si="44"/>
        <v>OK</v>
      </c>
      <c r="K905" s="36" t="s">
        <v>181</v>
      </c>
      <c r="L905" s="39"/>
    </row>
    <row r="906" spans="1:12" x14ac:dyDescent="0.35">
      <c r="A906" s="34" t="str">
        <f t="shared" si="42"/>
        <v>DON-0902</v>
      </c>
      <c r="B906" s="35">
        <v>46156</v>
      </c>
      <c r="C906" s="36" t="s">
        <v>67</v>
      </c>
      <c r="D906" s="36" t="s">
        <v>68</v>
      </c>
      <c r="E906" s="36" t="s">
        <v>66</v>
      </c>
      <c r="F906" s="36" t="s">
        <v>42</v>
      </c>
      <c r="G906" s="37">
        <v>54</v>
      </c>
      <c r="H906" s="66">
        <v>47132</v>
      </c>
      <c r="I906" s="38">
        <f t="shared" ca="1" si="43"/>
        <v>933</v>
      </c>
      <c r="J906" s="38" t="str">
        <f t="shared" ca="1" si="44"/>
        <v>OK</v>
      </c>
      <c r="K906" s="36" t="s">
        <v>181</v>
      </c>
      <c r="L906" s="39"/>
    </row>
    <row r="907" spans="1:12" x14ac:dyDescent="0.35">
      <c r="A907" s="34" t="str">
        <f t="shared" si="42"/>
        <v>DON-0903</v>
      </c>
      <c r="B907" s="35">
        <v>46157</v>
      </c>
      <c r="C907" s="36" t="s">
        <v>144</v>
      </c>
      <c r="D907" s="36" t="s">
        <v>7</v>
      </c>
      <c r="E907" s="36" t="s">
        <v>8</v>
      </c>
      <c r="F907" s="36" t="s">
        <v>145</v>
      </c>
      <c r="G907" s="37">
        <v>19</v>
      </c>
      <c r="H907" s="66">
        <v>46162</v>
      </c>
      <c r="I907" s="38">
        <f t="shared" ca="1" si="43"/>
        <v>-37</v>
      </c>
      <c r="J907" s="38" t="str">
        <f t="shared" ca="1" si="44"/>
        <v>EXPIRED</v>
      </c>
      <c r="K907" s="36" t="s">
        <v>176</v>
      </c>
      <c r="L907" s="39"/>
    </row>
    <row r="908" spans="1:12" x14ac:dyDescent="0.35">
      <c r="A908" s="34" t="str">
        <f t="shared" si="42"/>
        <v>DON-0904</v>
      </c>
      <c r="B908" s="35">
        <v>46157</v>
      </c>
      <c r="C908" s="36" t="s">
        <v>138</v>
      </c>
      <c r="D908" s="36" t="s">
        <v>139</v>
      </c>
      <c r="E908" s="36" t="s">
        <v>6</v>
      </c>
      <c r="F908" s="36" t="s">
        <v>140</v>
      </c>
      <c r="G908" s="37">
        <v>22</v>
      </c>
      <c r="H908" s="66">
        <v>46176</v>
      </c>
      <c r="I908" s="38">
        <f t="shared" ca="1" si="43"/>
        <v>-23</v>
      </c>
      <c r="J908" s="38" t="str">
        <f t="shared" ca="1" si="44"/>
        <v>EXPIRED</v>
      </c>
      <c r="K908" s="36" t="s">
        <v>176</v>
      </c>
      <c r="L908" s="39"/>
    </row>
    <row r="909" spans="1:12" x14ac:dyDescent="0.35">
      <c r="A909" s="34" t="str">
        <f t="shared" si="42"/>
        <v>DON-0905</v>
      </c>
      <c r="B909" s="35">
        <v>46157</v>
      </c>
      <c r="C909" s="36" t="s">
        <v>149</v>
      </c>
      <c r="D909" s="36" t="s">
        <v>150</v>
      </c>
      <c r="E909" s="36" t="s">
        <v>8</v>
      </c>
      <c r="F909" s="36" t="s">
        <v>75</v>
      </c>
      <c r="G909" s="37">
        <v>24</v>
      </c>
      <c r="H909" s="66">
        <v>46208</v>
      </c>
      <c r="I909" s="38">
        <f t="shared" ca="1" si="43"/>
        <v>9</v>
      </c>
      <c r="J909" s="38" t="str">
        <f t="shared" ca="1" si="44"/>
        <v>NOTICE</v>
      </c>
      <c r="K909" s="36" t="s">
        <v>176</v>
      </c>
      <c r="L909" s="39"/>
    </row>
    <row r="910" spans="1:12" x14ac:dyDescent="0.35">
      <c r="A910" s="34" t="str">
        <f t="shared" si="42"/>
        <v>DON-0906</v>
      </c>
      <c r="B910" s="35">
        <v>46157</v>
      </c>
      <c r="C910" s="36" t="s">
        <v>153</v>
      </c>
      <c r="D910" s="36" t="s">
        <v>154</v>
      </c>
      <c r="E910" s="36" t="s">
        <v>12</v>
      </c>
      <c r="F910" s="36" t="s">
        <v>155</v>
      </c>
      <c r="G910" s="37">
        <v>14</v>
      </c>
      <c r="H910" s="66">
        <v>46387</v>
      </c>
      <c r="I910" s="38">
        <f t="shared" ca="1" si="43"/>
        <v>188</v>
      </c>
      <c r="J910" s="38" t="str">
        <f t="shared" ca="1" si="44"/>
        <v>OK</v>
      </c>
      <c r="K910" s="36" t="s">
        <v>176</v>
      </c>
      <c r="L910" s="39"/>
    </row>
    <row r="911" spans="1:12" x14ac:dyDescent="0.35">
      <c r="A911" s="34" t="str">
        <f t="shared" si="42"/>
        <v>DON-0907</v>
      </c>
      <c r="B911" s="35">
        <v>46157</v>
      </c>
      <c r="C911" s="36" t="s">
        <v>91</v>
      </c>
      <c r="D911" s="36" t="s">
        <v>92</v>
      </c>
      <c r="E911" s="36" t="s">
        <v>93</v>
      </c>
      <c r="F911" s="36" t="s">
        <v>85</v>
      </c>
      <c r="G911" s="37">
        <v>41</v>
      </c>
      <c r="H911" s="66">
        <v>46506</v>
      </c>
      <c r="I911" s="38">
        <f t="shared" ca="1" si="43"/>
        <v>307</v>
      </c>
      <c r="J911" s="38" t="str">
        <f t="shared" ca="1" si="44"/>
        <v>OK</v>
      </c>
      <c r="K911" s="36" t="s">
        <v>176</v>
      </c>
      <c r="L911" s="39"/>
    </row>
    <row r="912" spans="1:12" x14ac:dyDescent="0.35">
      <c r="A912" s="34" t="str">
        <f t="shared" si="42"/>
        <v>DON-0908</v>
      </c>
      <c r="B912" s="35">
        <v>46157</v>
      </c>
      <c r="C912" s="36" t="s">
        <v>43</v>
      </c>
      <c r="D912" s="36" t="s">
        <v>44</v>
      </c>
      <c r="E912" s="36" t="s">
        <v>31</v>
      </c>
      <c r="F912" s="36" t="s">
        <v>42</v>
      </c>
      <c r="G912" s="37">
        <v>75</v>
      </c>
      <c r="H912" s="66">
        <v>46571</v>
      </c>
      <c r="I912" s="38">
        <f t="shared" ca="1" si="43"/>
        <v>372</v>
      </c>
      <c r="J912" s="38" t="str">
        <f t="shared" ca="1" si="44"/>
        <v>OK</v>
      </c>
      <c r="K912" s="36" t="s">
        <v>176</v>
      </c>
      <c r="L912" s="39"/>
    </row>
    <row r="913" spans="1:12" x14ac:dyDescent="0.35">
      <c r="A913" s="34" t="str">
        <f t="shared" si="42"/>
        <v>DON-0909</v>
      </c>
      <c r="B913" s="35">
        <v>46157</v>
      </c>
      <c r="C913" s="36" t="s">
        <v>46</v>
      </c>
      <c r="D913" s="36" t="s">
        <v>47</v>
      </c>
      <c r="E913" s="36" t="s">
        <v>31</v>
      </c>
      <c r="F913" s="36" t="s">
        <v>42</v>
      </c>
      <c r="G913" s="37">
        <v>82</v>
      </c>
      <c r="H913" s="66">
        <v>46929</v>
      </c>
      <c r="I913" s="38">
        <f t="shared" ca="1" si="43"/>
        <v>730</v>
      </c>
      <c r="J913" s="38" t="str">
        <f t="shared" ca="1" si="44"/>
        <v>OK</v>
      </c>
      <c r="K913" s="36" t="s">
        <v>176</v>
      </c>
      <c r="L913" s="39"/>
    </row>
    <row r="914" spans="1:12" x14ac:dyDescent="0.35">
      <c r="A914" s="34" t="str">
        <f t="shared" si="42"/>
        <v>DON-0910</v>
      </c>
      <c r="B914" s="35">
        <v>46157</v>
      </c>
      <c r="C914" s="36" t="s">
        <v>111</v>
      </c>
      <c r="D914" s="36" t="s">
        <v>112</v>
      </c>
      <c r="E914" s="36" t="s">
        <v>102</v>
      </c>
      <c r="F914" s="36" t="s">
        <v>113</v>
      </c>
      <c r="G914" s="37">
        <v>77</v>
      </c>
      <c r="H914" s="66">
        <v>47028</v>
      </c>
      <c r="I914" s="38">
        <f t="shared" ca="1" si="43"/>
        <v>829</v>
      </c>
      <c r="J914" s="38" t="str">
        <f t="shared" ca="1" si="44"/>
        <v>OK</v>
      </c>
      <c r="K914" s="36" t="s">
        <v>176</v>
      </c>
      <c r="L914" s="39"/>
    </row>
    <row r="915" spans="1:12" x14ac:dyDescent="0.35">
      <c r="A915" s="34" t="str">
        <f t="shared" si="42"/>
        <v>DON-0911</v>
      </c>
      <c r="B915" s="35">
        <v>46161</v>
      </c>
      <c r="C915" s="36" t="s">
        <v>156</v>
      </c>
      <c r="D915" s="36" t="s">
        <v>11</v>
      </c>
      <c r="E915" s="36" t="s">
        <v>12</v>
      </c>
      <c r="F915" s="36" t="s">
        <v>155</v>
      </c>
      <c r="G915" s="37">
        <v>30</v>
      </c>
      <c r="H915" s="66">
        <v>46170</v>
      </c>
      <c r="I915" s="38">
        <f t="shared" ca="1" si="43"/>
        <v>-29</v>
      </c>
      <c r="J915" s="38" t="str">
        <f t="shared" ca="1" si="44"/>
        <v>EXPIRED</v>
      </c>
      <c r="K915" s="36" t="s">
        <v>177</v>
      </c>
      <c r="L915" s="39"/>
    </row>
    <row r="916" spans="1:12" x14ac:dyDescent="0.35">
      <c r="A916" s="34" t="str">
        <f t="shared" si="42"/>
        <v>DON-0912</v>
      </c>
      <c r="B916" s="35">
        <v>46161</v>
      </c>
      <c r="C916" s="36" t="s">
        <v>138</v>
      </c>
      <c r="D916" s="36" t="s">
        <v>139</v>
      </c>
      <c r="E916" s="36" t="s">
        <v>6</v>
      </c>
      <c r="F916" s="36" t="s">
        <v>140</v>
      </c>
      <c r="G916" s="37">
        <v>16</v>
      </c>
      <c r="H916" s="66">
        <v>46187</v>
      </c>
      <c r="I916" s="38">
        <f t="shared" ca="1" si="43"/>
        <v>-12</v>
      </c>
      <c r="J916" s="38" t="str">
        <f t="shared" ca="1" si="44"/>
        <v>EXPIRED</v>
      </c>
      <c r="K916" s="36" t="s">
        <v>177</v>
      </c>
      <c r="L916" s="39"/>
    </row>
    <row r="917" spans="1:12" x14ac:dyDescent="0.35">
      <c r="A917" s="34" t="str">
        <f t="shared" si="42"/>
        <v>DON-0913</v>
      </c>
      <c r="B917" s="35">
        <v>46161</v>
      </c>
      <c r="C917" s="36" t="s">
        <v>130</v>
      </c>
      <c r="D917" s="36" t="s">
        <v>16</v>
      </c>
      <c r="E917" s="36" t="s">
        <v>10</v>
      </c>
      <c r="F917" s="36" t="s">
        <v>131</v>
      </c>
      <c r="G917" s="37">
        <v>26</v>
      </c>
      <c r="H917" s="66">
        <v>46196</v>
      </c>
      <c r="I917" s="38">
        <f t="shared" ca="1" si="43"/>
        <v>-3</v>
      </c>
      <c r="J917" s="38" t="str">
        <f t="shared" ca="1" si="44"/>
        <v>EXPIRED</v>
      </c>
      <c r="K917" s="36" t="s">
        <v>177</v>
      </c>
      <c r="L917" s="39"/>
    </row>
    <row r="918" spans="1:12" x14ac:dyDescent="0.35">
      <c r="A918" s="34" t="str">
        <f t="shared" si="42"/>
        <v>DON-0914</v>
      </c>
      <c r="B918" s="35">
        <v>46161</v>
      </c>
      <c r="C918" s="36" t="s">
        <v>157</v>
      </c>
      <c r="D918" s="36" t="s">
        <v>158</v>
      </c>
      <c r="E918" s="36" t="s">
        <v>159</v>
      </c>
      <c r="F918" s="36" t="s">
        <v>160</v>
      </c>
      <c r="G918" s="37">
        <v>36</v>
      </c>
      <c r="H918" s="66">
        <v>46314</v>
      </c>
      <c r="I918" s="38">
        <f t="shared" ca="1" si="43"/>
        <v>115</v>
      </c>
      <c r="J918" s="38" t="str">
        <f t="shared" ca="1" si="44"/>
        <v>OK</v>
      </c>
      <c r="K918" s="36" t="s">
        <v>182</v>
      </c>
      <c r="L918" s="39"/>
    </row>
    <row r="919" spans="1:12" x14ac:dyDescent="0.35">
      <c r="A919" s="34" t="str">
        <f t="shared" si="42"/>
        <v>DON-0915</v>
      </c>
      <c r="B919" s="35">
        <v>46161</v>
      </c>
      <c r="C919" s="36" t="s">
        <v>78</v>
      </c>
      <c r="D919" s="36" t="s">
        <v>79</v>
      </c>
      <c r="E919" s="36" t="s">
        <v>74</v>
      </c>
      <c r="F919" s="36" t="s">
        <v>80</v>
      </c>
      <c r="G919" s="37">
        <v>34</v>
      </c>
      <c r="H919" s="66">
        <v>46530</v>
      </c>
      <c r="I919" s="38">
        <f t="shared" ca="1" si="43"/>
        <v>331</v>
      </c>
      <c r="J919" s="38" t="str">
        <f t="shared" ca="1" si="44"/>
        <v>OK</v>
      </c>
      <c r="K919" s="36" t="s">
        <v>182</v>
      </c>
      <c r="L919" s="39"/>
    </row>
    <row r="920" spans="1:12" x14ac:dyDescent="0.35">
      <c r="A920" s="34" t="str">
        <f t="shared" si="42"/>
        <v>DON-0916</v>
      </c>
      <c r="B920" s="35">
        <v>46161</v>
      </c>
      <c r="C920" s="36" t="s">
        <v>57</v>
      </c>
      <c r="D920" s="36" t="s">
        <v>58</v>
      </c>
      <c r="E920" s="36" t="s">
        <v>53</v>
      </c>
      <c r="F920" s="36" t="s">
        <v>42</v>
      </c>
      <c r="G920" s="37">
        <v>73</v>
      </c>
      <c r="H920" s="66">
        <v>46603</v>
      </c>
      <c r="I920" s="38">
        <f t="shared" ca="1" si="43"/>
        <v>404</v>
      </c>
      <c r="J920" s="38" t="str">
        <f t="shared" ca="1" si="44"/>
        <v>OK</v>
      </c>
      <c r="K920" s="36" t="s">
        <v>177</v>
      </c>
      <c r="L920" s="39"/>
    </row>
    <row r="921" spans="1:12" x14ac:dyDescent="0.35">
      <c r="A921" s="34" t="str">
        <f t="shared" si="42"/>
        <v>DON-0917</v>
      </c>
      <c r="B921" s="35">
        <v>46161</v>
      </c>
      <c r="C921" s="36" t="s">
        <v>104</v>
      </c>
      <c r="D921" s="36" t="s">
        <v>105</v>
      </c>
      <c r="E921" s="36" t="s">
        <v>102</v>
      </c>
      <c r="F921" s="36" t="s">
        <v>103</v>
      </c>
      <c r="G921" s="37">
        <v>69</v>
      </c>
      <c r="H921" s="66">
        <v>46661</v>
      </c>
      <c r="I921" s="38">
        <f t="shared" ca="1" si="43"/>
        <v>462</v>
      </c>
      <c r="J921" s="38" t="str">
        <f t="shared" ca="1" si="44"/>
        <v>OK</v>
      </c>
      <c r="K921" s="36" t="s">
        <v>182</v>
      </c>
      <c r="L921" s="39"/>
    </row>
    <row r="922" spans="1:12" x14ac:dyDescent="0.35">
      <c r="A922" s="34" t="str">
        <f t="shared" si="42"/>
        <v>DON-0918</v>
      </c>
      <c r="B922" s="35">
        <v>46161</v>
      </c>
      <c r="C922" s="36" t="s">
        <v>78</v>
      </c>
      <c r="D922" s="36" t="s">
        <v>79</v>
      </c>
      <c r="E922" s="36" t="s">
        <v>74</v>
      </c>
      <c r="F922" s="36" t="s">
        <v>80</v>
      </c>
      <c r="G922" s="37">
        <v>52</v>
      </c>
      <c r="H922" s="66">
        <v>46759</v>
      </c>
      <c r="I922" s="38">
        <f t="shared" ca="1" si="43"/>
        <v>560</v>
      </c>
      <c r="J922" s="38" t="str">
        <f t="shared" ca="1" si="44"/>
        <v>OK</v>
      </c>
      <c r="K922" s="36" t="s">
        <v>177</v>
      </c>
      <c r="L922" s="39"/>
    </row>
    <row r="923" spans="1:12" x14ac:dyDescent="0.35">
      <c r="A923" s="34" t="str">
        <f t="shared" si="42"/>
        <v>DON-0919</v>
      </c>
      <c r="B923" s="35">
        <v>46161</v>
      </c>
      <c r="C923" s="36" t="s">
        <v>104</v>
      </c>
      <c r="D923" s="36" t="s">
        <v>105</v>
      </c>
      <c r="E923" s="36" t="s">
        <v>102</v>
      </c>
      <c r="F923" s="36" t="s">
        <v>103</v>
      </c>
      <c r="G923" s="37">
        <v>55</v>
      </c>
      <c r="H923" s="66">
        <v>47025</v>
      </c>
      <c r="I923" s="38">
        <f t="shared" ca="1" si="43"/>
        <v>826</v>
      </c>
      <c r="J923" s="38" t="str">
        <f t="shared" ca="1" si="44"/>
        <v>OK</v>
      </c>
      <c r="K923" s="36" t="s">
        <v>177</v>
      </c>
      <c r="L923" s="39"/>
    </row>
    <row r="924" spans="1:12" x14ac:dyDescent="0.35">
      <c r="A924" s="34" t="str">
        <f t="shared" si="42"/>
        <v>DON-0920</v>
      </c>
      <c r="B924" s="35">
        <v>46161</v>
      </c>
      <c r="C924" s="36" t="s">
        <v>40</v>
      </c>
      <c r="D924" s="36" t="s">
        <v>41</v>
      </c>
      <c r="E924" s="36" t="s">
        <v>31</v>
      </c>
      <c r="F924" s="36" t="s">
        <v>42</v>
      </c>
      <c r="G924" s="37">
        <v>46</v>
      </c>
      <c r="H924" s="66">
        <v>47254</v>
      </c>
      <c r="I924" s="38">
        <f t="shared" ca="1" si="43"/>
        <v>1055</v>
      </c>
      <c r="J924" s="38" t="str">
        <f t="shared" ca="1" si="44"/>
        <v>OK</v>
      </c>
      <c r="K924" s="36" t="s">
        <v>182</v>
      </c>
      <c r="L924" s="39"/>
    </row>
    <row r="925" spans="1:12" x14ac:dyDescent="0.35">
      <c r="A925" s="34" t="str">
        <f t="shared" si="42"/>
        <v>DON-0921</v>
      </c>
      <c r="B925" s="35">
        <v>46164</v>
      </c>
      <c r="C925" s="36" t="s">
        <v>141</v>
      </c>
      <c r="D925" s="36" t="s">
        <v>142</v>
      </c>
      <c r="E925" s="36" t="s">
        <v>8</v>
      </c>
      <c r="F925" s="36" t="s">
        <v>143</v>
      </c>
      <c r="G925" s="37">
        <v>28</v>
      </c>
      <c r="H925" s="66">
        <v>46181</v>
      </c>
      <c r="I925" s="38">
        <f t="shared" ca="1" si="43"/>
        <v>-18</v>
      </c>
      <c r="J925" s="38" t="str">
        <f t="shared" ca="1" si="44"/>
        <v>EXPIRED</v>
      </c>
      <c r="K925" s="36" t="s">
        <v>181</v>
      </c>
      <c r="L925" s="39"/>
    </row>
    <row r="926" spans="1:12" x14ac:dyDescent="0.35">
      <c r="A926" s="34" t="str">
        <f t="shared" si="42"/>
        <v>DON-0922</v>
      </c>
      <c r="B926" s="35">
        <v>46164</v>
      </c>
      <c r="C926" s="36" t="s">
        <v>146</v>
      </c>
      <c r="D926" s="36" t="s">
        <v>147</v>
      </c>
      <c r="E926" s="36" t="s">
        <v>8</v>
      </c>
      <c r="F926" s="36" t="s">
        <v>148</v>
      </c>
      <c r="G926" s="37">
        <v>29</v>
      </c>
      <c r="H926" s="66">
        <v>46185</v>
      </c>
      <c r="I926" s="38">
        <f t="shared" ca="1" si="43"/>
        <v>-14</v>
      </c>
      <c r="J926" s="38" t="str">
        <f t="shared" ca="1" si="44"/>
        <v>EXPIRED</v>
      </c>
      <c r="K926" s="36" t="s">
        <v>181</v>
      </c>
      <c r="L926" s="39"/>
    </row>
    <row r="927" spans="1:12" x14ac:dyDescent="0.35">
      <c r="A927" s="34" t="str">
        <f t="shared" si="42"/>
        <v>DON-0923</v>
      </c>
      <c r="B927" s="35">
        <v>46164</v>
      </c>
      <c r="C927" s="36" t="s">
        <v>157</v>
      </c>
      <c r="D927" s="36" t="s">
        <v>158</v>
      </c>
      <c r="E927" s="36" t="s">
        <v>159</v>
      </c>
      <c r="F927" s="36" t="s">
        <v>160</v>
      </c>
      <c r="G927" s="37">
        <v>12</v>
      </c>
      <c r="H927" s="66">
        <v>46451</v>
      </c>
      <c r="I927" s="38">
        <f t="shared" ca="1" si="43"/>
        <v>252</v>
      </c>
      <c r="J927" s="38" t="str">
        <f t="shared" ca="1" si="44"/>
        <v>OK</v>
      </c>
      <c r="K927" s="36" t="s">
        <v>181</v>
      </c>
      <c r="L927" s="39"/>
    </row>
    <row r="928" spans="1:12" x14ac:dyDescent="0.35">
      <c r="A928" s="34" t="str">
        <f t="shared" si="42"/>
        <v>DON-0924</v>
      </c>
      <c r="B928" s="35">
        <v>46164</v>
      </c>
      <c r="C928" s="36" t="s">
        <v>161</v>
      </c>
      <c r="D928" s="36" t="s">
        <v>162</v>
      </c>
      <c r="E928" s="36" t="s">
        <v>159</v>
      </c>
      <c r="F928" s="36" t="s">
        <v>163</v>
      </c>
      <c r="G928" s="37">
        <v>14</v>
      </c>
      <c r="H928" s="66">
        <v>46695</v>
      </c>
      <c r="I928" s="38">
        <f t="shared" ca="1" si="43"/>
        <v>496</v>
      </c>
      <c r="J928" s="38" t="str">
        <f t="shared" ca="1" si="44"/>
        <v>OK</v>
      </c>
      <c r="K928" s="36" t="s">
        <v>181</v>
      </c>
      <c r="L928" s="39"/>
    </row>
    <row r="929" spans="1:12" x14ac:dyDescent="0.35">
      <c r="A929" s="34" t="str">
        <f t="shared" si="42"/>
        <v>DON-0925</v>
      </c>
      <c r="B929" s="35">
        <v>46164</v>
      </c>
      <c r="C929" s="36" t="s">
        <v>54</v>
      </c>
      <c r="D929" s="36" t="s">
        <v>55</v>
      </c>
      <c r="E929" s="36" t="s">
        <v>53</v>
      </c>
      <c r="F929" s="36" t="s">
        <v>56</v>
      </c>
      <c r="G929" s="37">
        <v>54</v>
      </c>
      <c r="H929" s="66">
        <v>46888</v>
      </c>
      <c r="I929" s="38">
        <f t="shared" ca="1" si="43"/>
        <v>689</v>
      </c>
      <c r="J929" s="38" t="str">
        <f t="shared" ca="1" si="44"/>
        <v>OK</v>
      </c>
      <c r="K929" s="36" t="s">
        <v>181</v>
      </c>
      <c r="L929" s="39"/>
    </row>
    <row r="930" spans="1:12" x14ac:dyDescent="0.35">
      <c r="A930" s="34" t="str">
        <f t="shared" si="42"/>
        <v>DON-0926</v>
      </c>
      <c r="B930" s="35">
        <v>46164</v>
      </c>
      <c r="C930" s="36" t="s">
        <v>57</v>
      </c>
      <c r="D930" s="36" t="s">
        <v>58</v>
      </c>
      <c r="E930" s="36" t="s">
        <v>53</v>
      </c>
      <c r="F930" s="36" t="s">
        <v>42</v>
      </c>
      <c r="G930" s="37">
        <v>76</v>
      </c>
      <c r="H930" s="66">
        <v>47232</v>
      </c>
      <c r="I930" s="38">
        <f t="shared" ca="1" si="43"/>
        <v>1033</v>
      </c>
      <c r="J930" s="38" t="str">
        <f t="shared" ca="1" si="44"/>
        <v>OK</v>
      </c>
      <c r="K930" s="36" t="s">
        <v>181</v>
      </c>
      <c r="L930" s="39"/>
    </row>
    <row r="931" spans="1:12" x14ac:dyDescent="0.35">
      <c r="A931" s="34" t="str">
        <f t="shared" si="42"/>
        <v>DON-0927</v>
      </c>
      <c r="B931" s="35">
        <v>46165</v>
      </c>
      <c r="C931" s="36" t="s">
        <v>132</v>
      </c>
      <c r="D931" s="36" t="s">
        <v>133</v>
      </c>
      <c r="E931" s="36" t="s">
        <v>10</v>
      </c>
      <c r="F931" s="36" t="s">
        <v>134</v>
      </c>
      <c r="G931" s="37">
        <v>13</v>
      </c>
      <c r="H931" s="66">
        <v>46191</v>
      </c>
      <c r="I931" s="38">
        <f t="shared" ca="1" si="43"/>
        <v>-8</v>
      </c>
      <c r="J931" s="38" t="str">
        <f t="shared" ca="1" si="44"/>
        <v>EXPIRED</v>
      </c>
      <c r="K931" s="36" t="s">
        <v>182</v>
      </c>
      <c r="L931" s="39"/>
    </row>
    <row r="932" spans="1:12" x14ac:dyDescent="0.35">
      <c r="A932" s="34" t="str">
        <f t="shared" si="42"/>
        <v>DON-0928</v>
      </c>
      <c r="B932" s="35">
        <v>46165</v>
      </c>
      <c r="C932" s="36" t="s">
        <v>157</v>
      </c>
      <c r="D932" s="36" t="s">
        <v>158</v>
      </c>
      <c r="E932" s="36" t="s">
        <v>159</v>
      </c>
      <c r="F932" s="36" t="s">
        <v>160</v>
      </c>
      <c r="G932" s="37">
        <v>21</v>
      </c>
      <c r="H932" s="66">
        <v>46321</v>
      </c>
      <c r="I932" s="38">
        <f t="shared" ca="1" si="43"/>
        <v>122</v>
      </c>
      <c r="J932" s="38" t="str">
        <f t="shared" ca="1" si="44"/>
        <v>OK</v>
      </c>
      <c r="K932" s="36" t="s">
        <v>180</v>
      </c>
      <c r="L932" s="39"/>
    </row>
    <row r="933" spans="1:12" x14ac:dyDescent="0.35">
      <c r="A933" s="34" t="str">
        <f t="shared" si="42"/>
        <v>DON-0929</v>
      </c>
      <c r="B933" s="35">
        <v>46165</v>
      </c>
      <c r="C933" s="36" t="s">
        <v>114</v>
      </c>
      <c r="D933" s="36" t="s">
        <v>13</v>
      </c>
      <c r="E933" s="36" t="s">
        <v>14</v>
      </c>
      <c r="F933" s="36" t="s">
        <v>115</v>
      </c>
      <c r="G933" s="37">
        <v>23</v>
      </c>
      <c r="H933" s="66">
        <v>46394</v>
      </c>
      <c r="I933" s="38">
        <f t="shared" ca="1" si="43"/>
        <v>195</v>
      </c>
      <c r="J933" s="38" t="str">
        <f t="shared" ca="1" si="44"/>
        <v>OK</v>
      </c>
      <c r="K933" s="36" t="s">
        <v>182</v>
      </c>
      <c r="L933" s="39"/>
    </row>
    <row r="934" spans="1:12" x14ac:dyDescent="0.35">
      <c r="A934" s="34" t="str">
        <f t="shared" si="42"/>
        <v>DON-0930</v>
      </c>
      <c r="B934" s="35">
        <v>46165</v>
      </c>
      <c r="C934" s="36" t="s">
        <v>48</v>
      </c>
      <c r="D934" s="36" t="s">
        <v>49</v>
      </c>
      <c r="E934" s="36" t="s">
        <v>31</v>
      </c>
      <c r="F934" s="36" t="s">
        <v>50</v>
      </c>
      <c r="G934" s="37">
        <v>64</v>
      </c>
      <c r="H934" s="66">
        <v>46399</v>
      </c>
      <c r="I934" s="38">
        <f t="shared" ca="1" si="43"/>
        <v>200</v>
      </c>
      <c r="J934" s="38" t="str">
        <f t="shared" ca="1" si="44"/>
        <v>OK</v>
      </c>
      <c r="K934" s="36" t="s">
        <v>182</v>
      </c>
      <c r="L934" s="39"/>
    </row>
    <row r="935" spans="1:12" x14ac:dyDescent="0.35">
      <c r="A935" s="34" t="str">
        <f t="shared" si="42"/>
        <v>DON-0931</v>
      </c>
      <c r="B935" s="35">
        <v>46165</v>
      </c>
      <c r="C935" s="36" t="s">
        <v>48</v>
      </c>
      <c r="D935" s="36" t="s">
        <v>49</v>
      </c>
      <c r="E935" s="36" t="s">
        <v>31</v>
      </c>
      <c r="F935" s="36" t="s">
        <v>50</v>
      </c>
      <c r="G935" s="37">
        <v>38</v>
      </c>
      <c r="H935" s="66">
        <v>46472</v>
      </c>
      <c r="I935" s="38">
        <f t="shared" ca="1" si="43"/>
        <v>273</v>
      </c>
      <c r="J935" s="38" t="str">
        <f t="shared" ca="1" si="44"/>
        <v>OK</v>
      </c>
      <c r="K935" s="36" t="s">
        <v>180</v>
      </c>
      <c r="L935" s="39"/>
    </row>
    <row r="936" spans="1:12" x14ac:dyDescent="0.35">
      <c r="A936" s="34" t="str">
        <f t="shared" si="42"/>
        <v>DON-0932</v>
      </c>
      <c r="B936" s="35">
        <v>46165</v>
      </c>
      <c r="C936" s="36" t="s">
        <v>67</v>
      </c>
      <c r="D936" s="36" t="s">
        <v>68</v>
      </c>
      <c r="E936" s="36" t="s">
        <v>66</v>
      </c>
      <c r="F936" s="36" t="s">
        <v>42</v>
      </c>
      <c r="G936" s="37">
        <v>43</v>
      </c>
      <c r="H936" s="66">
        <v>46653</v>
      </c>
      <c r="I936" s="38">
        <f t="shared" ca="1" si="43"/>
        <v>454</v>
      </c>
      <c r="J936" s="38" t="str">
        <f t="shared" ca="1" si="44"/>
        <v>OK</v>
      </c>
      <c r="K936" s="36" t="s">
        <v>182</v>
      </c>
      <c r="L936" s="39"/>
    </row>
    <row r="937" spans="1:12" x14ac:dyDescent="0.35">
      <c r="A937" s="34" t="str">
        <f t="shared" si="42"/>
        <v>DON-0933</v>
      </c>
      <c r="B937" s="35">
        <v>46165</v>
      </c>
      <c r="C937" s="36" t="s">
        <v>69</v>
      </c>
      <c r="D937" s="36" t="s">
        <v>70</v>
      </c>
      <c r="E937" s="36" t="s">
        <v>66</v>
      </c>
      <c r="F937" s="36" t="s">
        <v>71</v>
      </c>
      <c r="G937" s="37">
        <v>30</v>
      </c>
      <c r="H937" s="66">
        <v>46906</v>
      </c>
      <c r="I937" s="38">
        <f t="shared" ca="1" si="43"/>
        <v>707</v>
      </c>
      <c r="J937" s="38" t="str">
        <f t="shared" ca="1" si="44"/>
        <v>OK</v>
      </c>
      <c r="K937" s="36" t="s">
        <v>182</v>
      </c>
      <c r="L937" s="39"/>
    </row>
    <row r="938" spans="1:12" x14ac:dyDescent="0.35">
      <c r="A938" s="34" t="str">
        <f t="shared" si="42"/>
        <v>DON-0934</v>
      </c>
      <c r="B938" s="35">
        <v>46165</v>
      </c>
      <c r="C938" s="36" t="s">
        <v>54</v>
      </c>
      <c r="D938" s="36" t="s">
        <v>55</v>
      </c>
      <c r="E938" s="36" t="s">
        <v>53</v>
      </c>
      <c r="F938" s="36" t="s">
        <v>56</v>
      </c>
      <c r="G938" s="37">
        <v>46</v>
      </c>
      <c r="H938" s="66">
        <v>46922</v>
      </c>
      <c r="I938" s="38">
        <f t="shared" ca="1" si="43"/>
        <v>723</v>
      </c>
      <c r="J938" s="38" t="str">
        <f t="shared" ca="1" si="44"/>
        <v>OK</v>
      </c>
      <c r="K938" s="36" t="s">
        <v>182</v>
      </c>
      <c r="L938" s="39"/>
    </row>
    <row r="939" spans="1:12" x14ac:dyDescent="0.35">
      <c r="A939" s="34" t="str">
        <f t="shared" si="42"/>
        <v>DON-0935</v>
      </c>
      <c r="B939" s="35">
        <v>46165</v>
      </c>
      <c r="C939" s="36" t="s">
        <v>54</v>
      </c>
      <c r="D939" s="36" t="s">
        <v>55</v>
      </c>
      <c r="E939" s="36" t="s">
        <v>53</v>
      </c>
      <c r="F939" s="36" t="s">
        <v>56</v>
      </c>
      <c r="G939" s="37">
        <v>73</v>
      </c>
      <c r="H939" s="66">
        <v>46969</v>
      </c>
      <c r="I939" s="38">
        <f t="shared" ca="1" si="43"/>
        <v>770</v>
      </c>
      <c r="J939" s="38" t="str">
        <f t="shared" ca="1" si="44"/>
        <v>OK</v>
      </c>
      <c r="K939" s="36" t="s">
        <v>180</v>
      </c>
      <c r="L939" s="39"/>
    </row>
    <row r="940" spans="1:12" x14ac:dyDescent="0.35">
      <c r="A940" s="34" t="str">
        <f t="shared" si="42"/>
        <v>DON-0936</v>
      </c>
      <c r="B940" s="35">
        <v>46165</v>
      </c>
      <c r="C940" s="36" t="s">
        <v>43</v>
      </c>
      <c r="D940" s="36" t="s">
        <v>44</v>
      </c>
      <c r="E940" s="36" t="s">
        <v>31</v>
      </c>
      <c r="F940" s="36" t="s">
        <v>42</v>
      </c>
      <c r="G940" s="37">
        <v>75</v>
      </c>
      <c r="H940" s="66">
        <v>47019</v>
      </c>
      <c r="I940" s="38">
        <f t="shared" ca="1" si="43"/>
        <v>820</v>
      </c>
      <c r="J940" s="38" t="str">
        <f t="shared" ca="1" si="44"/>
        <v>OK</v>
      </c>
      <c r="K940" s="36" t="s">
        <v>182</v>
      </c>
      <c r="L940" s="39"/>
    </row>
    <row r="941" spans="1:12" x14ac:dyDescent="0.35">
      <c r="A941" s="34" t="str">
        <f t="shared" si="42"/>
        <v>DON-0937</v>
      </c>
      <c r="B941" s="35">
        <v>46165</v>
      </c>
      <c r="C941" s="36" t="s">
        <v>29</v>
      </c>
      <c r="D941" s="36" t="s">
        <v>30</v>
      </c>
      <c r="E941" s="36" t="s">
        <v>31</v>
      </c>
      <c r="F941" s="36" t="s">
        <v>32</v>
      </c>
      <c r="G941" s="37">
        <v>30</v>
      </c>
      <c r="H941" s="66">
        <v>47242</v>
      </c>
      <c r="I941" s="38">
        <f t="shared" ca="1" si="43"/>
        <v>1043</v>
      </c>
      <c r="J941" s="38" t="str">
        <f t="shared" ca="1" si="44"/>
        <v>OK</v>
      </c>
      <c r="K941" s="36" t="s">
        <v>182</v>
      </c>
      <c r="L941" s="39"/>
    </row>
    <row r="942" spans="1:12" x14ac:dyDescent="0.35">
      <c r="A942" s="34" t="str">
        <f t="shared" si="42"/>
        <v>DON-0938</v>
      </c>
      <c r="B942" s="35">
        <v>46170</v>
      </c>
      <c r="C942" s="36" t="s">
        <v>141</v>
      </c>
      <c r="D942" s="36" t="s">
        <v>142</v>
      </c>
      <c r="E942" s="36" t="s">
        <v>8</v>
      </c>
      <c r="F942" s="36" t="s">
        <v>143</v>
      </c>
      <c r="G942" s="37">
        <v>13</v>
      </c>
      <c r="H942" s="66">
        <v>46184</v>
      </c>
      <c r="I942" s="38">
        <f t="shared" ca="1" si="43"/>
        <v>-15</v>
      </c>
      <c r="J942" s="38" t="str">
        <f t="shared" ca="1" si="44"/>
        <v>EXPIRED</v>
      </c>
      <c r="K942" s="36" t="s">
        <v>177</v>
      </c>
      <c r="L942" s="39"/>
    </row>
    <row r="943" spans="1:12" x14ac:dyDescent="0.35">
      <c r="A943" s="34" t="str">
        <f t="shared" si="42"/>
        <v>DON-0939</v>
      </c>
      <c r="B943" s="35">
        <v>46170</v>
      </c>
      <c r="C943" s="36" t="s">
        <v>97</v>
      </c>
      <c r="D943" s="36" t="s">
        <v>98</v>
      </c>
      <c r="E943" s="36" t="s">
        <v>93</v>
      </c>
      <c r="F943" s="36" t="s">
        <v>99</v>
      </c>
      <c r="G943" s="37">
        <v>25</v>
      </c>
      <c r="H943" s="66">
        <v>46279</v>
      </c>
      <c r="I943" s="38">
        <f t="shared" ca="1" si="43"/>
        <v>80</v>
      </c>
      <c r="J943" s="38" t="str">
        <f t="shared" ca="1" si="44"/>
        <v>OK</v>
      </c>
      <c r="K943" s="36" t="s">
        <v>177</v>
      </c>
      <c r="L943" s="39"/>
    </row>
    <row r="944" spans="1:12" x14ac:dyDescent="0.35">
      <c r="A944" s="34" t="str">
        <f t="shared" si="42"/>
        <v>DON-0940</v>
      </c>
      <c r="B944" s="35">
        <v>46170</v>
      </c>
      <c r="C944" s="36" t="s">
        <v>72</v>
      </c>
      <c r="D944" s="36" t="s">
        <v>73</v>
      </c>
      <c r="E944" s="36" t="s">
        <v>74</v>
      </c>
      <c r="F944" s="36" t="s">
        <v>75</v>
      </c>
      <c r="G944" s="37">
        <v>43</v>
      </c>
      <c r="H944" s="66">
        <v>46419</v>
      </c>
      <c r="I944" s="38">
        <f t="shared" ca="1" si="43"/>
        <v>220</v>
      </c>
      <c r="J944" s="38" t="str">
        <f t="shared" ca="1" si="44"/>
        <v>OK</v>
      </c>
      <c r="K944" s="36" t="s">
        <v>177</v>
      </c>
      <c r="L944" s="39"/>
    </row>
    <row r="945" spans="1:12" x14ac:dyDescent="0.35">
      <c r="A945" s="34" t="str">
        <f t="shared" si="42"/>
        <v>DON-0941</v>
      </c>
      <c r="B945" s="35">
        <v>46170</v>
      </c>
      <c r="C945" s="36" t="s">
        <v>117</v>
      </c>
      <c r="D945" s="36" t="s">
        <v>118</v>
      </c>
      <c r="E945" s="36" t="s">
        <v>14</v>
      </c>
      <c r="F945" s="36" t="s">
        <v>119</v>
      </c>
      <c r="G945" s="37">
        <v>23</v>
      </c>
      <c r="H945" s="66">
        <v>46530</v>
      </c>
      <c r="I945" s="38">
        <f t="shared" ca="1" si="43"/>
        <v>331</v>
      </c>
      <c r="J945" s="38" t="str">
        <f t="shared" ca="1" si="44"/>
        <v>OK</v>
      </c>
      <c r="K945" s="36" t="s">
        <v>177</v>
      </c>
      <c r="L945" s="39"/>
    </row>
    <row r="946" spans="1:12" x14ac:dyDescent="0.35">
      <c r="A946" s="34" t="str">
        <f t="shared" si="42"/>
        <v>DON-0942</v>
      </c>
      <c r="B946" s="35">
        <v>46170</v>
      </c>
      <c r="C946" s="36" t="s">
        <v>40</v>
      </c>
      <c r="D946" s="36" t="s">
        <v>41</v>
      </c>
      <c r="E946" s="36" t="s">
        <v>31</v>
      </c>
      <c r="F946" s="36" t="s">
        <v>42</v>
      </c>
      <c r="G946" s="37">
        <v>72</v>
      </c>
      <c r="H946" s="66">
        <v>46607</v>
      </c>
      <c r="I946" s="38">
        <f t="shared" ca="1" si="43"/>
        <v>408</v>
      </c>
      <c r="J946" s="38" t="str">
        <f t="shared" ca="1" si="44"/>
        <v>OK</v>
      </c>
      <c r="K946" s="36" t="s">
        <v>177</v>
      </c>
      <c r="L946" s="39"/>
    </row>
    <row r="947" spans="1:12" x14ac:dyDescent="0.35">
      <c r="A947" s="34" t="str">
        <f t="shared" si="42"/>
        <v>DON-0943</v>
      </c>
      <c r="B947" s="35">
        <v>46171</v>
      </c>
      <c r="C947" s="36" t="s">
        <v>128</v>
      </c>
      <c r="D947" s="36" t="s">
        <v>9</v>
      </c>
      <c r="E947" s="36" t="s">
        <v>10</v>
      </c>
      <c r="F947" s="36" t="s">
        <v>129</v>
      </c>
      <c r="G947" s="37">
        <v>29</v>
      </c>
      <c r="H947" s="66">
        <v>46175</v>
      </c>
      <c r="I947" s="38">
        <f t="shared" ca="1" si="43"/>
        <v>-24</v>
      </c>
      <c r="J947" s="38" t="str">
        <f t="shared" ca="1" si="44"/>
        <v>EXPIRED</v>
      </c>
      <c r="K947" s="36" t="s">
        <v>182</v>
      </c>
      <c r="L947" s="39"/>
    </row>
    <row r="948" spans="1:12" x14ac:dyDescent="0.35">
      <c r="A948" s="34" t="str">
        <f t="shared" si="42"/>
        <v>DON-0944</v>
      </c>
      <c r="B948" s="35">
        <v>46171</v>
      </c>
      <c r="C948" s="36" t="s">
        <v>135</v>
      </c>
      <c r="D948" s="36" t="s">
        <v>5</v>
      </c>
      <c r="E948" s="36" t="s">
        <v>6</v>
      </c>
      <c r="F948" s="36" t="s">
        <v>136</v>
      </c>
      <c r="G948" s="37">
        <v>40</v>
      </c>
      <c r="H948" s="66">
        <v>46178</v>
      </c>
      <c r="I948" s="38">
        <f t="shared" ca="1" si="43"/>
        <v>-21</v>
      </c>
      <c r="J948" s="38" t="str">
        <f t="shared" ca="1" si="44"/>
        <v>EXPIRED</v>
      </c>
      <c r="K948" s="36" t="s">
        <v>182</v>
      </c>
      <c r="L948" s="39"/>
    </row>
    <row r="949" spans="1:12" x14ac:dyDescent="0.35">
      <c r="A949" s="34" t="str">
        <f t="shared" si="42"/>
        <v>DON-0945</v>
      </c>
      <c r="B949" s="35">
        <v>46171</v>
      </c>
      <c r="C949" s="36" t="s">
        <v>153</v>
      </c>
      <c r="D949" s="36" t="s">
        <v>154</v>
      </c>
      <c r="E949" s="36" t="s">
        <v>12</v>
      </c>
      <c r="F949" s="36" t="s">
        <v>155</v>
      </c>
      <c r="G949" s="37">
        <v>29</v>
      </c>
      <c r="H949" s="66">
        <v>46344</v>
      </c>
      <c r="I949" s="38">
        <f t="shared" ca="1" si="43"/>
        <v>145</v>
      </c>
      <c r="J949" s="38" t="str">
        <f t="shared" ca="1" si="44"/>
        <v>OK</v>
      </c>
      <c r="K949" s="36" t="s">
        <v>182</v>
      </c>
      <c r="L949" s="39"/>
    </row>
    <row r="950" spans="1:12" x14ac:dyDescent="0.35">
      <c r="A950" s="34" t="str">
        <f t="shared" si="42"/>
        <v>DON-0946</v>
      </c>
      <c r="B950" s="35">
        <v>46171</v>
      </c>
      <c r="C950" s="36" t="s">
        <v>81</v>
      </c>
      <c r="D950" s="36" t="s">
        <v>82</v>
      </c>
      <c r="E950" s="36" t="s">
        <v>74</v>
      </c>
      <c r="F950" s="36" t="s">
        <v>80</v>
      </c>
      <c r="G950" s="37">
        <v>42</v>
      </c>
      <c r="H950" s="66">
        <v>46674</v>
      </c>
      <c r="I950" s="38">
        <f t="shared" ca="1" si="43"/>
        <v>475</v>
      </c>
      <c r="J950" s="38" t="str">
        <f t="shared" ca="1" si="44"/>
        <v>OK</v>
      </c>
      <c r="K950" s="36" t="s">
        <v>182</v>
      </c>
      <c r="L950" s="39"/>
    </row>
    <row r="951" spans="1:12" x14ac:dyDescent="0.35">
      <c r="A951" s="34" t="str">
        <f t="shared" si="42"/>
        <v>DON-0947</v>
      </c>
      <c r="B951" s="35">
        <v>46175</v>
      </c>
      <c r="C951" s="36" t="s">
        <v>146</v>
      </c>
      <c r="D951" s="36" t="s">
        <v>147</v>
      </c>
      <c r="E951" s="36" t="s">
        <v>8</v>
      </c>
      <c r="F951" s="36" t="s">
        <v>148</v>
      </c>
      <c r="G951" s="37">
        <v>15</v>
      </c>
      <c r="H951" s="66">
        <v>46183</v>
      </c>
      <c r="I951" s="38">
        <f t="shared" ca="1" si="43"/>
        <v>-16</v>
      </c>
      <c r="J951" s="38" t="str">
        <f t="shared" ca="1" si="44"/>
        <v>EXPIRED</v>
      </c>
      <c r="K951" s="36" t="s">
        <v>177</v>
      </c>
      <c r="L951" s="39"/>
    </row>
    <row r="952" spans="1:12" x14ac:dyDescent="0.35">
      <c r="A952" s="34" t="str">
        <f t="shared" si="42"/>
        <v>DON-0948</v>
      </c>
      <c r="B952" s="35">
        <v>46175</v>
      </c>
      <c r="C952" s="36" t="s">
        <v>157</v>
      </c>
      <c r="D952" s="36" t="s">
        <v>158</v>
      </c>
      <c r="E952" s="36" t="s">
        <v>159</v>
      </c>
      <c r="F952" s="36" t="s">
        <v>160</v>
      </c>
      <c r="G952" s="37">
        <v>11</v>
      </c>
      <c r="H952" s="66">
        <v>46311</v>
      </c>
      <c r="I952" s="38">
        <f t="shared" ca="1" si="43"/>
        <v>112</v>
      </c>
      <c r="J952" s="38" t="str">
        <f t="shared" ca="1" si="44"/>
        <v>OK</v>
      </c>
      <c r="K952" s="36" t="s">
        <v>177</v>
      </c>
      <c r="L952" s="39"/>
    </row>
    <row r="953" spans="1:12" x14ac:dyDescent="0.35">
      <c r="A953" s="34" t="str">
        <f t="shared" si="42"/>
        <v>DON-0949</v>
      </c>
      <c r="B953" s="35">
        <v>46175</v>
      </c>
      <c r="C953" s="36" t="s">
        <v>114</v>
      </c>
      <c r="D953" s="36" t="s">
        <v>13</v>
      </c>
      <c r="E953" s="36" t="s">
        <v>14</v>
      </c>
      <c r="F953" s="36" t="s">
        <v>115</v>
      </c>
      <c r="G953" s="37">
        <v>19</v>
      </c>
      <c r="H953" s="66">
        <v>46397</v>
      </c>
      <c r="I953" s="38">
        <f t="shared" ca="1" si="43"/>
        <v>198</v>
      </c>
      <c r="J953" s="38" t="str">
        <f t="shared" ca="1" si="44"/>
        <v>OK</v>
      </c>
      <c r="K953" s="36" t="s">
        <v>177</v>
      </c>
      <c r="L953" s="39"/>
    </row>
    <row r="954" spans="1:12" x14ac:dyDescent="0.35">
      <c r="A954" s="34" t="str">
        <f t="shared" si="42"/>
        <v>DON-0950</v>
      </c>
      <c r="B954" s="35">
        <v>46175</v>
      </c>
      <c r="C954" s="36" t="s">
        <v>61</v>
      </c>
      <c r="D954" s="36" t="s">
        <v>62</v>
      </c>
      <c r="E954" s="36" t="s">
        <v>53</v>
      </c>
      <c r="F954" s="36" t="s">
        <v>42</v>
      </c>
      <c r="G954" s="37">
        <v>35</v>
      </c>
      <c r="H954" s="66">
        <v>46760</v>
      </c>
      <c r="I954" s="38">
        <f t="shared" ca="1" si="43"/>
        <v>561</v>
      </c>
      <c r="J954" s="38" t="str">
        <f t="shared" ca="1" si="44"/>
        <v>OK</v>
      </c>
      <c r="K954" s="36" t="s">
        <v>177</v>
      </c>
      <c r="L954" s="39"/>
    </row>
    <row r="955" spans="1:12" x14ac:dyDescent="0.35">
      <c r="A955" s="34" t="str">
        <f t="shared" si="42"/>
        <v>DON-0951</v>
      </c>
      <c r="B955" s="35">
        <v>46175</v>
      </c>
      <c r="C955" s="36" t="s">
        <v>125</v>
      </c>
      <c r="D955" s="36" t="s">
        <v>126</v>
      </c>
      <c r="E955" s="36" t="s">
        <v>14</v>
      </c>
      <c r="F955" s="36" t="s">
        <v>127</v>
      </c>
      <c r="G955" s="37">
        <v>19</v>
      </c>
      <c r="H955" s="66">
        <v>46932</v>
      </c>
      <c r="I955" s="38">
        <f t="shared" ca="1" si="43"/>
        <v>733</v>
      </c>
      <c r="J955" s="38" t="str">
        <f t="shared" ca="1" si="44"/>
        <v>OK</v>
      </c>
      <c r="K955" s="36" t="s">
        <v>177</v>
      </c>
      <c r="L955" s="39"/>
    </row>
    <row r="956" spans="1:12" x14ac:dyDescent="0.35">
      <c r="A956" s="34" t="str">
        <f t="shared" si="42"/>
        <v>DON-0952</v>
      </c>
      <c r="B956" s="35">
        <v>46176</v>
      </c>
      <c r="C956" s="36" t="s">
        <v>94</v>
      </c>
      <c r="D956" s="36" t="s">
        <v>95</v>
      </c>
      <c r="E956" s="36" t="s">
        <v>93</v>
      </c>
      <c r="F956" s="36" t="s">
        <v>96</v>
      </c>
      <c r="G956" s="37">
        <v>33</v>
      </c>
      <c r="H956" s="66">
        <v>46297</v>
      </c>
      <c r="I956" s="38">
        <f t="shared" ca="1" si="43"/>
        <v>98</v>
      </c>
      <c r="J956" s="38" t="str">
        <f t="shared" ca="1" si="44"/>
        <v>OK</v>
      </c>
      <c r="K956" s="36" t="s">
        <v>179</v>
      </c>
      <c r="L956" s="39"/>
    </row>
    <row r="957" spans="1:12" x14ac:dyDescent="0.35">
      <c r="A957" s="34" t="str">
        <f t="shared" si="42"/>
        <v>DON-0953</v>
      </c>
      <c r="B957" s="35">
        <v>46176</v>
      </c>
      <c r="C957" s="36" t="s">
        <v>130</v>
      </c>
      <c r="D957" s="36" t="s">
        <v>16</v>
      </c>
      <c r="E957" s="36" t="s">
        <v>10</v>
      </c>
      <c r="F957" s="36" t="s">
        <v>131</v>
      </c>
      <c r="G957" s="37">
        <v>28</v>
      </c>
      <c r="H957" s="66">
        <v>46192</v>
      </c>
      <c r="I957" s="38">
        <f t="shared" ca="1" si="43"/>
        <v>-7</v>
      </c>
      <c r="J957" s="38" t="str">
        <f t="shared" ca="1" si="44"/>
        <v>EXPIRED</v>
      </c>
      <c r="K957" s="36" t="s">
        <v>179</v>
      </c>
      <c r="L957" s="39"/>
    </row>
    <row r="958" spans="1:12" x14ac:dyDescent="0.35">
      <c r="A958" s="34" t="str">
        <f t="shared" si="42"/>
        <v>DON-0954</v>
      </c>
      <c r="B958" s="35">
        <v>46176</v>
      </c>
      <c r="C958" s="36" t="s">
        <v>146</v>
      </c>
      <c r="D958" s="36" t="s">
        <v>147</v>
      </c>
      <c r="E958" s="36" t="s">
        <v>8</v>
      </c>
      <c r="F958" s="36" t="s">
        <v>148</v>
      </c>
      <c r="G958" s="37">
        <v>45</v>
      </c>
      <c r="H958" s="66">
        <v>46196</v>
      </c>
      <c r="I958" s="38">
        <f t="shared" ca="1" si="43"/>
        <v>-3</v>
      </c>
      <c r="J958" s="38" t="str">
        <f t="shared" ca="1" si="44"/>
        <v>EXPIRED</v>
      </c>
      <c r="K958" s="36" t="s">
        <v>179</v>
      </c>
      <c r="L958" s="39"/>
    </row>
    <row r="959" spans="1:12" x14ac:dyDescent="0.35">
      <c r="A959" s="34" t="str">
        <f t="shared" si="42"/>
        <v>DON-0955</v>
      </c>
      <c r="B959" s="35">
        <v>46176</v>
      </c>
      <c r="C959" s="36" t="s">
        <v>151</v>
      </c>
      <c r="D959" s="36" t="s">
        <v>152</v>
      </c>
      <c r="E959" s="36" t="s">
        <v>8</v>
      </c>
      <c r="F959" s="36" t="s">
        <v>143</v>
      </c>
      <c r="G959" s="37">
        <v>23</v>
      </c>
      <c r="H959" s="66">
        <v>46204</v>
      </c>
      <c r="I959" s="38">
        <f t="shared" ca="1" si="43"/>
        <v>5</v>
      </c>
      <c r="J959" s="38" t="str">
        <f t="shared" ca="1" si="44"/>
        <v>WARNING</v>
      </c>
      <c r="K959" s="36" t="s">
        <v>181</v>
      </c>
      <c r="L959" s="39"/>
    </row>
    <row r="960" spans="1:12" x14ac:dyDescent="0.35">
      <c r="A960" s="34" t="str">
        <f t="shared" si="42"/>
        <v>DON-0956</v>
      </c>
      <c r="B960" s="35">
        <v>46176</v>
      </c>
      <c r="C960" s="36" t="s">
        <v>117</v>
      </c>
      <c r="D960" s="36" t="s">
        <v>118</v>
      </c>
      <c r="E960" s="36" t="s">
        <v>14</v>
      </c>
      <c r="F960" s="36" t="s">
        <v>119</v>
      </c>
      <c r="G960" s="37">
        <v>17</v>
      </c>
      <c r="H960" s="66">
        <v>46304</v>
      </c>
      <c r="I960" s="38">
        <f t="shared" ca="1" si="43"/>
        <v>105</v>
      </c>
      <c r="J960" s="38" t="str">
        <f t="shared" ca="1" si="44"/>
        <v>OK</v>
      </c>
      <c r="K960" s="36" t="s">
        <v>181</v>
      </c>
      <c r="L960" s="39"/>
    </row>
    <row r="961" spans="1:12" x14ac:dyDescent="0.35">
      <c r="A961" s="34" t="str">
        <f t="shared" si="42"/>
        <v>DON-0957</v>
      </c>
      <c r="B961" s="35">
        <v>46176</v>
      </c>
      <c r="C961" s="36" t="s">
        <v>76</v>
      </c>
      <c r="D961" s="36" t="s">
        <v>77</v>
      </c>
      <c r="E961" s="36" t="s">
        <v>74</v>
      </c>
      <c r="F961" s="36" t="s">
        <v>75</v>
      </c>
      <c r="G961" s="37">
        <v>17</v>
      </c>
      <c r="H961" s="66">
        <v>46308</v>
      </c>
      <c r="I961" s="38">
        <f t="shared" ca="1" si="43"/>
        <v>109</v>
      </c>
      <c r="J961" s="38" t="str">
        <f t="shared" ca="1" si="44"/>
        <v>OK</v>
      </c>
      <c r="K961" s="36" t="s">
        <v>179</v>
      </c>
      <c r="L961" s="39"/>
    </row>
    <row r="962" spans="1:12" x14ac:dyDescent="0.35">
      <c r="A962" s="34" t="str">
        <f t="shared" si="42"/>
        <v>DON-0958</v>
      </c>
      <c r="B962" s="35">
        <v>46176</v>
      </c>
      <c r="C962" s="36" t="s">
        <v>157</v>
      </c>
      <c r="D962" s="36" t="s">
        <v>158</v>
      </c>
      <c r="E962" s="36" t="s">
        <v>159</v>
      </c>
      <c r="F962" s="36" t="s">
        <v>160</v>
      </c>
      <c r="G962" s="37">
        <v>21</v>
      </c>
      <c r="H962" s="66">
        <v>46389</v>
      </c>
      <c r="I962" s="38">
        <f t="shared" ca="1" si="43"/>
        <v>190</v>
      </c>
      <c r="J962" s="38" t="str">
        <f t="shared" ca="1" si="44"/>
        <v>OK</v>
      </c>
      <c r="K962" s="36" t="s">
        <v>181</v>
      </c>
      <c r="L962" s="39"/>
    </row>
    <row r="963" spans="1:12" x14ac:dyDescent="0.35">
      <c r="A963" s="34" t="str">
        <f t="shared" si="42"/>
        <v>DON-0959</v>
      </c>
      <c r="B963" s="35">
        <v>46176</v>
      </c>
      <c r="C963" s="36" t="s">
        <v>48</v>
      </c>
      <c r="D963" s="36" t="s">
        <v>49</v>
      </c>
      <c r="E963" s="36" t="s">
        <v>31</v>
      </c>
      <c r="F963" s="36" t="s">
        <v>50</v>
      </c>
      <c r="G963" s="37">
        <v>51</v>
      </c>
      <c r="H963" s="66">
        <v>46395</v>
      </c>
      <c r="I963" s="38">
        <f t="shared" ca="1" si="43"/>
        <v>196</v>
      </c>
      <c r="J963" s="38" t="str">
        <f t="shared" ca="1" si="44"/>
        <v>OK</v>
      </c>
      <c r="K963" s="36" t="s">
        <v>179</v>
      </c>
      <c r="L963" s="39"/>
    </row>
    <row r="964" spans="1:12" x14ac:dyDescent="0.35">
      <c r="A964" s="34" t="str">
        <f t="shared" si="42"/>
        <v>DON-0960</v>
      </c>
      <c r="B964" s="35">
        <v>46176</v>
      </c>
      <c r="C964" s="36" t="s">
        <v>91</v>
      </c>
      <c r="D964" s="36" t="s">
        <v>92</v>
      </c>
      <c r="E964" s="36" t="s">
        <v>93</v>
      </c>
      <c r="F964" s="36" t="s">
        <v>85</v>
      </c>
      <c r="G964" s="37">
        <v>22</v>
      </c>
      <c r="H964" s="66">
        <v>46406</v>
      </c>
      <c r="I964" s="38">
        <f t="shared" ca="1" si="43"/>
        <v>207</v>
      </c>
      <c r="J964" s="38" t="str">
        <f t="shared" ca="1" si="44"/>
        <v>OK</v>
      </c>
      <c r="K964" s="36" t="s">
        <v>181</v>
      </c>
      <c r="L964" s="39"/>
    </row>
    <row r="965" spans="1:12" x14ac:dyDescent="0.35">
      <c r="A965" s="34" t="str">
        <f t="shared" ref="A965:A1028" si="45">IF(G965="","","DON-"&amp;TEXT(ROW()-4,"0000"))</f>
        <v>DON-0961</v>
      </c>
      <c r="B965" s="35">
        <v>46176</v>
      </c>
      <c r="C965" s="36" t="s">
        <v>76</v>
      </c>
      <c r="D965" s="36" t="s">
        <v>77</v>
      </c>
      <c r="E965" s="36" t="s">
        <v>74</v>
      </c>
      <c r="F965" s="36" t="s">
        <v>75</v>
      </c>
      <c r="G965" s="37">
        <v>40</v>
      </c>
      <c r="H965" s="66">
        <v>46424</v>
      </c>
      <c r="I965" s="38">
        <f t="shared" ref="I965:I1028" ca="1" si="46">IF(H965="","",H965-TODAY())</f>
        <v>225</v>
      </c>
      <c r="J965" s="38" t="str">
        <f t="shared" ref="J965:J1028" ca="1" si="47">IF(I965="","",IF(I965&lt;=0,"EXPIRED",IF(I965&lt;=3,"CRITICAL",IF(I965&lt;=7,"WARNING",IF(I965&lt;=30,"NOTICE","OK")))))</f>
        <v>OK</v>
      </c>
      <c r="K965" s="36" t="s">
        <v>181</v>
      </c>
      <c r="L965" s="39"/>
    </row>
    <row r="966" spans="1:12" x14ac:dyDescent="0.35">
      <c r="A966" s="34" t="str">
        <f t="shared" si="45"/>
        <v>DON-0962</v>
      </c>
      <c r="B966" s="35">
        <v>46176</v>
      </c>
      <c r="C966" s="36" t="s">
        <v>59</v>
      </c>
      <c r="D966" s="36" t="s">
        <v>60</v>
      </c>
      <c r="E966" s="36" t="s">
        <v>53</v>
      </c>
      <c r="F966" s="36" t="s">
        <v>56</v>
      </c>
      <c r="G966" s="37">
        <v>88</v>
      </c>
      <c r="H966" s="66">
        <v>46661</v>
      </c>
      <c r="I966" s="38">
        <f t="shared" ca="1" si="46"/>
        <v>462</v>
      </c>
      <c r="J966" s="38" t="str">
        <f t="shared" ca="1" si="47"/>
        <v>OK</v>
      </c>
      <c r="K966" s="36" t="s">
        <v>181</v>
      </c>
      <c r="L966" s="39"/>
    </row>
    <row r="967" spans="1:12" x14ac:dyDescent="0.35">
      <c r="A967" s="34" t="str">
        <f t="shared" si="45"/>
        <v>DON-0963</v>
      </c>
      <c r="B967" s="35">
        <v>46176</v>
      </c>
      <c r="C967" s="36" t="s">
        <v>59</v>
      </c>
      <c r="D967" s="36" t="s">
        <v>60</v>
      </c>
      <c r="E967" s="36" t="s">
        <v>53</v>
      </c>
      <c r="F967" s="36" t="s">
        <v>56</v>
      </c>
      <c r="G967" s="37">
        <v>88</v>
      </c>
      <c r="H967" s="66">
        <v>46774</v>
      </c>
      <c r="I967" s="38">
        <f t="shared" ca="1" si="46"/>
        <v>575</v>
      </c>
      <c r="J967" s="38" t="str">
        <f t="shared" ca="1" si="47"/>
        <v>OK</v>
      </c>
      <c r="K967" s="36" t="s">
        <v>179</v>
      </c>
      <c r="L967" s="39"/>
    </row>
    <row r="968" spans="1:12" x14ac:dyDescent="0.35">
      <c r="A968" s="34" t="str">
        <f t="shared" si="45"/>
        <v>DON-0964</v>
      </c>
      <c r="B968" s="35">
        <v>46176</v>
      </c>
      <c r="C968" s="36" t="s">
        <v>29</v>
      </c>
      <c r="D968" s="36" t="s">
        <v>30</v>
      </c>
      <c r="E968" s="36" t="s">
        <v>31</v>
      </c>
      <c r="F968" s="36" t="s">
        <v>32</v>
      </c>
      <c r="G968" s="37">
        <v>46</v>
      </c>
      <c r="H968" s="66">
        <v>46816</v>
      </c>
      <c r="I968" s="38">
        <f t="shared" ca="1" si="46"/>
        <v>617</v>
      </c>
      <c r="J968" s="38" t="str">
        <f t="shared" ca="1" si="47"/>
        <v>OK</v>
      </c>
      <c r="K968" s="36" t="s">
        <v>181</v>
      </c>
      <c r="L968" s="39"/>
    </row>
    <row r="969" spans="1:12" x14ac:dyDescent="0.35">
      <c r="A969" s="34" t="str">
        <f t="shared" si="45"/>
        <v>DON-0965</v>
      </c>
      <c r="B969" s="35">
        <v>46176</v>
      </c>
      <c r="C969" s="36" t="s">
        <v>161</v>
      </c>
      <c r="D969" s="36" t="s">
        <v>162</v>
      </c>
      <c r="E969" s="36" t="s">
        <v>159</v>
      </c>
      <c r="F969" s="36" t="s">
        <v>163</v>
      </c>
      <c r="G969" s="37">
        <v>11</v>
      </c>
      <c r="H969" s="66">
        <v>46860</v>
      </c>
      <c r="I969" s="38">
        <f t="shared" ca="1" si="46"/>
        <v>661</v>
      </c>
      <c r="J969" s="38" t="str">
        <f t="shared" ca="1" si="47"/>
        <v>OK</v>
      </c>
      <c r="K969" s="36" t="s">
        <v>179</v>
      </c>
      <c r="L969" s="39"/>
    </row>
    <row r="970" spans="1:12" x14ac:dyDescent="0.35">
      <c r="A970" s="34" t="str">
        <f t="shared" si="45"/>
        <v>DON-0966</v>
      </c>
      <c r="B970" s="35">
        <v>46176</v>
      </c>
      <c r="C970" s="36" t="s">
        <v>122</v>
      </c>
      <c r="D970" s="36" t="s">
        <v>123</v>
      </c>
      <c r="E970" s="36" t="s">
        <v>14</v>
      </c>
      <c r="F970" s="36" t="s">
        <v>124</v>
      </c>
      <c r="G970" s="37">
        <v>10</v>
      </c>
      <c r="H970" s="66">
        <v>46914</v>
      </c>
      <c r="I970" s="38">
        <f t="shared" ca="1" si="46"/>
        <v>715</v>
      </c>
      <c r="J970" s="38" t="str">
        <f t="shared" ca="1" si="47"/>
        <v>OK</v>
      </c>
      <c r="K970" s="36" t="s">
        <v>181</v>
      </c>
      <c r="L970" s="39"/>
    </row>
    <row r="971" spans="1:12" x14ac:dyDescent="0.35">
      <c r="A971" s="34" t="str">
        <f t="shared" si="45"/>
        <v>DON-0967</v>
      </c>
      <c r="B971" s="35">
        <v>46181</v>
      </c>
      <c r="C971" s="36" t="s">
        <v>138</v>
      </c>
      <c r="D971" s="36" t="s">
        <v>139</v>
      </c>
      <c r="E971" s="36" t="s">
        <v>6</v>
      </c>
      <c r="F971" s="36" t="s">
        <v>140</v>
      </c>
      <c r="G971" s="37">
        <v>37</v>
      </c>
      <c r="H971" s="66">
        <v>46195</v>
      </c>
      <c r="I971" s="38">
        <f t="shared" ca="1" si="46"/>
        <v>-4</v>
      </c>
      <c r="J971" s="38" t="str">
        <f t="shared" ca="1" si="47"/>
        <v>EXPIRED</v>
      </c>
      <c r="K971" s="36" t="s">
        <v>177</v>
      </c>
      <c r="L971" s="39"/>
    </row>
    <row r="972" spans="1:12" x14ac:dyDescent="0.35">
      <c r="A972" s="34" t="str">
        <f t="shared" si="45"/>
        <v>DON-0968</v>
      </c>
      <c r="B972" s="35">
        <v>46181</v>
      </c>
      <c r="C972" s="36" t="s">
        <v>151</v>
      </c>
      <c r="D972" s="36" t="s">
        <v>152</v>
      </c>
      <c r="E972" s="36" t="s">
        <v>8</v>
      </c>
      <c r="F972" s="36" t="s">
        <v>143</v>
      </c>
      <c r="G972" s="37">
        <v>34</v>
      </c>
      <c r="H972" s="66">
        <v>46211</v>
      </c>
      <c r="I972" s="38">
        <f t="shared" ca="1" si="46"/>
        <v>12</v>
      </c>
      <c r="J972" s="38" t="str">
        <f t="shared" ca="1" si="47"/>
        <v>NOTICE</v>
      </c>
      <c r="K972" s="36" t="s">
        <v>177</v>
      </c>
      <c r="L972" s="39"/>
    </row>
    <row r="973" spans="1:12" x14ac:dyDescent="0.35">
      <c r="A973" s="34" t="str">
        <f t="shared" si="45"/>
        <v>DON-0969</v>
      </c>
      <c r="B973" s="35">
        <v>46181</v>
      </c>
      <c r="C973" s="36" t="s">
        <v>149</v>
      </c>
      <c r="D973" s="36" t="s">
        <v>150</v>
      </c>
      <c r="E973" s="36" t="s">
        <v>8</v>
      </c>
      <c r="F973" s="36" t="s">
        <v>75</v>
      </c>
      <c r="G973" s="37">
        <v>34</v>
      </c>
      <c r="H973" s="66">
        <v>46218</v>
      </c>
      <c r="I973" s="38">
        <f t="shared" ca="1" si="46"/>
        <v>19</v>
      </c>
      <c r="J973" s="38" t="str">
        <f t="shared" ca="1" si="47"/>
        <v>NOTICE</v>
      </c>
      <c r="K973" s="36" t="s">
        <v>177</v>
      </c>
      <c r="L973" s="39"/>
    </row>
    <row r="974" spans="1:12" x14ac:dyDescent="0.35">
      <c r="A974" s="34" t="str">
        <f t="shared" si="45"/>
        <v>DON-0970</v>
      </c>
      <c r="B974" s="35">
        <v>46181</v>
      </c>
      <c r="C974" s="36" t="s">
        <v>149</v>
      </c>
      <c r="D974" s="36" t="s">
        <v>150</v>
      </c>
      <c r="E974" s="36" t="s">
        <v>8</v>
      </c>
      <c r="F974" s="36" t="s">
        <v>75</v>
      </c>
      <c r="G974" s="37">
        <v>22</v>
      </c>
      <c r="H974" s="66">
        <v>46228</v>
      </c>
      <c r="I974" s="38">
        <f t="shared" ca="1" si="46"/>
        <v>29</v>
      </c>
      <c r="J974" s="38" t="str">
        <f t="shared" ca="1" si="47"/>
        <v>NOTICE</v>
      </c>
      <c r="K974" s="36" t="s">
        <v>182</v>
      </c>
      <c r="L974" s="39"/>
    </row>
    <row r="975" spans="1:12" x14ac:dyDescent="0.35">
      <c r="A975" s="34" t="str">
        <f t="shared" si="45"/>
        <v>DON-0971</v>
      </c>
      <c r="B975" s="35">
        <v>46181</v>
      </c>
      <c r="C975" s="36" t="s">
        <v>153</v>
      </c>
      <c r="D975" s="36" t="s">
        <v>154</v>
      </c>
      <c r="E975" s="36" t="s">
        <v>12</v>
      </c>
      <c r="F975" s="36" t="s">
        <v>155</v>
      </c>
      <c r="G975" s="37">
        <v>19</v>
      </c>
      <c r="H975" s="66">
        <v>46381</v>
      </c>
      <c r="I975" s="38">
        <f t="shared" ca="1" si="46"/>
        <v>182</v>
      </c>
      <c r="J975" s="38" t="str">
        <f t="shared" ca="1" si="47"/>
        <v>OK</v>
      </c>
      <c r="K975" s="36" t="s">
        <v>182</v>
      </c>
      <c r="L975" s="39"/>
    </row>
    <row r="976" spans="1:12" x14ac:dyDescent="0.35">
      <c r="A976" s="34" t="str">
        <f t="shared" si="45"/>
        <v>DON-0972</v>
      </c>
      <c r="B976" s="35">
        <v>46181</v>
      </c>
      <c r="C976" s="36" t="s">
        <v>100</v>
      </c>
      <c r="D976" s="36" t="s">
        <v>101</v>
      </c>
      <c r="E976" s="36" t="s">
        <v>102</v>
      </c>
      <c r="F976" s="36" t="s">
        <v>103</v>
      </c>
      <c r="G976" s="37">
        <v>27</v>
      </c>
      <c r="H976" s="66">
        <v>46626</v>
      </c>
      <c r="I976" s="38">
        <f t="shared" ca="1" si="46"/>
        <v>427</v>
      </c>
      <c r="J976" s="38" t="str">
        <f t="shared" ca="1" si="47"/>
        <v>OK</v>
      </c>
      <c r="K976" s="36" t="s">
        <v>177</v>
      </c>
      <c r="L976" s="39"/>
    </row>
    <row r="977" spans="1:12" x14ac:dyDescent="0.35">
      <c r="A977" s="34" t="str">
        <f t="shared" si="45"/>
        <v>DON-0973</v>
      </c>
      <c r="B977" s="35">
        <v>46181</v>
      </c>
      <c r="C977" s="36" t="s">
        <v>40</v>
      </c>
      <c r="D977" s="36" t="s">
        <v>41</v>
      </c>
      <c r="E977" s="36" t="s">
        <v>31</v>
      </c>
      <c r="F977" s="36" t="s">
        <v>42</v>
      </c>
      <c r="G977" s="37">
        <v>67</v>
      </c>
      <c r="H977" s="66">
        <v>46668</v>
      </c>
      <c r="I977" s="38">
        <f t="shared" ca="1" si="46"/>
        <v>469</v>
      </c>
      <c r="J977" s="38" t="str">
        <f t="shared" ca="1" si="47"/>
        <v>OK</v>
      </c>
      <c r="K977" s="36" t="s">
        <v>182</v>
      </c>
      <c r="L977" s="39"/>
    </row>
    <row r="978" spans="1:12" x14ac:dyDescent="0.35">
      <c r="A978" s="34" t="str">
        <f t="shared" si="45"/>
        <v>DON-0974</v>
      </c>
      <c r="B978" s="35">
        <v>46181</v>
      </c>
      <c r="C978" s="36" t="s">
        <v>46</v>
      </c>
      <c r="D978" s="36" t="s">
        <v>47</v>
      </c>
      <c r="E978" s="36" t="s">
        <v>31</v>
      </c>
      <c r="F978" s="36" t="s">
        <v>42</v>
      </c>
      <c r="G978" s="37">
        <v>54</v>
      </c>
      <c r="H978" s="66">
        <v>46754</v>
      </c>
      <c r="I978" s="38">
        <f t="shared" ca="1" si="46"/>
        <v>555</v>
      </c>
      <c r="J978" s="38" t="str">
        <f t="shared" ca="1" si="47"/>
        <v>OK</v>
      </c>
      <c r="K978" s="36" t="s">
        <v>177</v>
      </c>
      <c r="L978" s="39"/>
    </row>
    <row r="979" spans="1:12" x14ac:dyDescent="0.35">
      <c r="A979" s="34" t="str">
        <f t="shared" si="45"/>
        <v>DON-0975</v>
      </c>
      <c r="B979" s="35">
        <v>46181</v>
      </c>
      <c r="C979" s="36" t="s">
        <v>72</v>
      </c>
      <c r="D979" s="36" t="s">
        <v>73</v>
      </c>
      <c r="E979" s="36" t="s">
        <v>74</v>
      </c>
      <c r="F979" s="36" t="s">
        <v>75</v>
      </c>
      <c r="G979" s="37">
        <v>41</v>
      </c>
      <c r="H979" s="66">
        <v>46760</v>
      </c>
      <c r="I979" s="38">
        <f t="shared" ca="1" si="46"/>
        <v>561</v>
      </c>
      <c r="J979" s="38" t="str">
        <f t="shared" ca="1" si="47"/>
        <v>OK</v>
      </c>
      <c r="K979" s="36" t="s">
        <v>182</v>
      </c>
      <c r="L979" s="39"/>
    </row>
    <row r="980" spans="1:12" x14ac:dyDescent="0.35">
      <c r="A980" s="34" t="str">
        <f t="shared" si="45"/>
        <v>DON-0976</v>
      </c>
      <c r="B980" s="35">
        <v>46181</v>
      </c>
      <c r="C980" s="36" t="s">
        <v>106</v>
      </c>
      <c r="D980" s="36" t="s">
        <v>107</v>
      </c>
      <c r="E980" s="36" t="s">
        <v>102</v>
      </c>
      <c r="F980" s="36" t="s">
        <v>108</v>
      </c>
      <c r="G980" s="37">
        <v>29</v>
      </c>
      <c r="H980" s="66">
        <v>47172</v>
      </c>
      <c r="I980" s="38">
        <f t="shared" ca="1" si="46"/>
        <v>973</v>
      </c>
      <c r="J980" s="38" t="str">
        <f t="shared" ca="1" si="47"/>
        <v>OK</v>
      </c>
      <c r="K980" s="36" t="s">
        <v>182</v>
      </c>
      <c r="L980" s="39"/>
    </row>
    <row r="981" spans="1:12" x14ac:dyDescent="0.35">
      <c r="A981" s="34" t="str">
        <f t="shared" si="45"/>
        <v>DON-0977</v>
      </c>
      <c r="B981" s="35">
        <v>46181</v>
      </c>
      <c r="C981" s="36" t="s">
        <v>125</v>
      </c>
      <c r="D981" s="36" t="s">
        <v>126</v>
      </c>
      <c r="E981" s="36" t="s">
        <v>14</v>
      </c>
      <c r="F981" s="36" t="s">
        <v>127</v>
      </c>
      <c r="G981" s="37">
        <v>13</v>
      </c>
      <c r="H981" s="66">
        <v>47589</v>
      </c>
      <c r="I981" s="38">
        <f t="shared" ca="1" si="46"/>
        <v>1390</v>
      </c>
      <c r="J981" s="38" t="str">
        <f t="shared" ca="1" si="47"/>
        <v>OK</v>
      </c>
      <c r="K981" s="36" t="s">
        <v>177</v>
      </c>
      <c r="L981" s="39"/>
    </row>
    <row r="982" spans="1:12" x14ac:dyDescent="0.35">
      <c r="A982" s="34" t="str">
        <f t="shared" si="45"/>
        <v>DON-0978</v>
      </c>
      <c r="B982" s="35">
        <v>46184</v>
      </c>
      <c r="C982" s="36" t="s">
        <v>83</v>
      </c>
      <c r="D982" s="36" t="s">
        <v>84</v>
      </c>
      <c r="E982" s="36" t="s">
        <v>74</v>
      </c>
      <c r="F982" s="36" t="s">
        <v>85</v>
      </c>
      <c r="G982" s="37">
        <v>44</v>
      </c>
      <c r="H982" s="66">
        <v>46367</v>
      </c>
      <c r="I982" s="38">
        <f t="shared" ca="1" si="46"/>
        <v>168</v>
      </c>
      <c r="J982" s="38" t="str">
        <f t="shared" ca="1" si="47"/>
        <v>OK</v>
      </c>
      <c r="K982" s="36" t="s">
        <v>176</v>
      </c>
      <c r="L982" s="39"/>
    </row>
    <row r="983" spans="1:12" x14ac:dyDescent="0.35">
      <c r="A983" s="34" t="str">
        <f t="shared" si="45"/>
        <v>DON-0979</v>
      </c>
      <c r="B983" s="35">
        <v>46184</v>
      </c>
      <c r="C983" s="36" t="s">
        <v>86</v>
      </c>
      <c r="D983" s="36" t="s">
        <v>87</v>
      </c>
      <c r="E983" s="36" t="s">
        <v>74</v>
      </c>
      <c r="F983" s="36" t="s">
        <v>75</v>
      </c>
      <c r="G983" s="37">
        <v>34</v>
      </c>
      <c r="H983" s="66">
        <v>46456</v>
      </c>
      <c r="I983" s="38">
        <f t="shared" ca="1" si="46"/>
        <v>257</v>
      </c>
      <c r="J983" s="38" t="str">
        <f t="shared" ca="1" si="47"/>
        <v>OK</v>
      </c>
      <c r="K983" s="36" t="s">
        <v>176</v>
      </c>
      <c r="L983" s="39"/>
    </row>
    <row r="984" spans="1:12" x14ac:dyDescent="0.35">
      <c r="A984" s="34" t="str">
        <f t="shared" si="45"/>
        <v>DON-0980</v>
      </c>
      <c r="B984" s="35">
        <v>46184</v>
      </c>
      <c r="C984" s="36" t="s">
        <v>43</v>
      </c>
      <c r="D984" s="36" t="s">
        <v>44</v>
      </c>
      <c r="E984" s="36" t="s">
        <v>31</v>
      </c>
      <c r="F984" s="36" t="s">
        <v>42</v>
      </c>
      <c r="G984" s="37">
        <v>56</v>
      </c>
      <c r="H984" s="66">
        <v>46557</v>
      </c>
      <c r="I984" s="38">
        <f t="shared" ca="1" si="46"/>
        <v>358</v>
      </c>
      <c r="J984" s="38" t="str">
        <f t="shared" ca="1" si="47"/>
        <v>OK</v>
      </c>
      <c r="K984" s="36" t="s">
        <v>176</v>
      </c>
      <c r="L984" s="39"/>
    </row>
    <row r="985" spans="1:12" x14ac:dyDescent="0.35">
      <c r="A985" s="34" t="str">
        <f t="shared" si="45"/>
        <v>DON-0981</v>
      </c>
      <c r="B985" s="35">
        <v>46184</v>
      </c>
      <c r="C985" s="36" t="s">
        <v>81</v>
      </c>
      <c r="D985" s="36" t="s">
        <v>82</v>
      </c>
      <c r="E985" s="36" t="s">
        <v>74</v>
      </c>
      <c r="F985" s="36" t="s">
        <v>80</v>
      </c>
      <c r="G985" s="37">
        <v>38</v>
      </c>
      <c r="H985" s="66">
        <v>46582</v>
      </c>
      <c r="I985" s="38">
        <f t="shared" ca="1" si="46"/>
        <v>383</v>
      </c>
      <c r="J985" s="38" t="str">
        <f t="shared" ca="1" si="47"/>
        <v>OK</v>
      </c>
      <c r="K985" s="36" t="s">
        <v>176</v>
      </c>
      <c r="L985" s="39"/>
    </row>
    <row r="986" spans="1:12" x14ac:dyDescent="0.35">
      <c r="A986" s="34" t="str">
        <f t="shared" si="45"/>
        <v>DON-0982</v>
      </c>
      <c r="B986" s="35">
        <v>46184</v>
      </c>
      <c r="C986" s="36" t="s">
        <v>46</v>
      </c>
      <c r="D986" s="36" t="s">
        <v>47</v>
      </c>
      <c r="E986" s="36" t="s">
        <v>31</v>
      </c>
      <c r="F986" s="36" t="s">
        <v>42</v>
      </c>
      <c r="G986" s="37">
        <v>80</v>
      </c>
      <c r="H986" s="66">
        <v>46749</v>
      </c>
      <c r="I986" s="38">
        <f t="shared" ca="1" si="46"/>
        <v>550</v>
      </c>
      <c r="J986" s="38" t="str">
        <f t="shared" ca="1" si="47"/>
        <v>OK</v>
      </c>
      <c r="K986" s="36" t="s">
        <v>176</v>
      </c>
      <c r="L986" s="39"/>
    </row>
    <row r="987" spans="1:12" x14ac:dyDescent="0.35">
      <c r="A987" s="34" t="str">
        <f t="shared" si="45"/>
        <v>DON-0983</v>
      </c>
      <c r="B987" s="35">
        <v>46184</v>
      </c>
      <c r="C987" s="36" t="s">
        <v>111</v>
      </c>
      <c r="D987" s="36" t="s">
        <v>112</v>
      </c>
      <c r="E987" s="36" t="s">
        <v>102</v>
      </c>
      <c r="F987" s="36" t="s">
        <v>113</v>
      </c>
      <c r="G987" s="37">
        <v>42</v>
      </c>
      <c r="H987" s="66">
        <v>46847</v>
      </c>
      <c r="I987" s="38">
        <f t="shared" ca="1" si="46"/>
        <v>648</v>
      </c>
      <c r="J987" s="38" t="str">
        <f t="shared" ca="1" si="47"/>
        <v>OK</v>
      </c>
      <c r="K987" s="36" t="s">
        <v>176</v>
      </c>
      <c r="L987" s="39"/>
    </row>
    <row r="988" spans="1:12" x14ac:dyDescent="0.35">
      <c r="A988" s="34" t="str">
        <f t="shared" si="45"/>
        <v>DON-0984</v>
      </c>
      <c r="B988" s="35">
        <v>46187</v>
      </c>
      <c r="C988" s="36" t="s">
        <v>153</v>
      </c>
      <c r="D988" s="36" t="s">
        <v>154</v>
      </c>
      <c r="E988" s="36" t="s">
        <v>12</v>
      </c>
      <c r="F988" s="36" t="s">
        <v>155</v>
      </c>
      <c r="G988" s="37">
        <v>25</v>
      </c>
      <c r="H988" s="66">
        <v>46353</v>
      </c>
      <c r="I988" s="38">
        <f t="shared" ca="1" si="46"/>
        <v>154</v>
      </c>
      <c r="J988" s="38" t="str">
        <f t="shared" ca="1" si="47"/>
        <v>OK</v>
      </c>
      <c r="K988" s="36" t="s">
        <v>177</v>
      </c>
      <c r="L988" s="39"/>
    </row>
    <row r="989" spans="1:12" x14ac:dyDescent="0.35">
      <c r="A989" s="34" t="str">
        <f t="shared" si="45"/>
        <v>DON-0985</v>
      </c>
      <c r="B989" s="35">
        <v>46187</v>
      </c>
      <c r="C989" s="36" t="s">
        <v>86</v>
      </c>
      <c r="D989" s="36" t="s">
        <v>87</v>
      </c>
      <c r="E989" s="36" t="s">
        <v>74</v>
      </c>
      <c r="F989" s="36" t="s">
        <v>75</v>
      </c>
      <c r="G989" s="37">
        <v>28</v>
      </c>
      <c r="H989" s="66">
        <v>46519</v>
      </c>
      <c r="I989" s="38">
        <f t="shared" ca="1" si="46"/>
        <v>320</v>
      </c>
      <c r="J989" s="38" t="str">
        <f t="shared" ca="1" si="47"/>
        <v>OK</v>
      </c>
      <c r="K989" s="36" t="s">
        <v>177</v>
      </c>
      <c r="L989" s="39"/>
    </row>
    <row r="990" spans="1:12" x14ac:dyDescent="0.35">
      <c r="A990" s="34" t="str">
        <f t="shared" si="45"/>
        <v>DON-0986</v>
      </c>
      <c r="B990" s="35">
        <v>46187</v>
      </c>
      <c r="C990" s="36" t="s">
        <v>72</v>
      </c>
      <c r="D990" s="36" t="s">
        <v>73</v>
      </c>
      <c r="E990" s="36" t="s">
        <v>74</v>
      </c>
      <c r="F990" s="36" t="s">
        <v>75</v>
      </c>
      <c r="G990" s="37">
        <v>19</v>
      </c>
      <c r="H990" s="66">
        <v>46620</v>
      </c>
      <c r="I990" s="38">
        <f t="shared" ca="1" si="46"/>
        <v>421</v>
      </c>
      <c r="J990" s="38" t="str">
        <f t="shared" ca="1" si="47"/>
        <v>OK</v>
      </c>
      <c r="K990" s="36" t="s">
        <v>177</v>
      </c>
      <c r="L990" s="39"/>
    </row>
    <row r="991" spans="1:12" x14ac:dyDescent="0.35">
      <c r="A991" s="34" t="str">
        <f t="shared" si="45"/>
        <v>DON-0987</v>
      </c>
      <c r="B991" s="35">
        <v>46187</v>
      </c>
      <c r="C991" s="36" t="s">
        <v>104</v>
      </c>
      <c r="D991" s="36" t="s">
        <v>105</v>
      </c>
      <c r="E991" s="36" t="s">
        <v>102</v>
      </c>
      <c r="F991" s="36" t="s">
        <v>103</v>
      </c>
      <c r="G991" s="37">
        <v>29</v>
      </c>
      <c r="H991" s="66">
        <v>47241</v>
      </c>
      <c r="I991" s="38">
        <f t="shared" ca="1" si="46"/>
        <v>1042</v>
      </c>
      <c r="J991" s="38" t="str">
        <f t="shared" ca="1" si="47"/>
        <v>OK</v>
      </c>
      <c r="K991" s="36" t="s">
        <v>177</v>
      </c>
      <c r="L991" s="39"/>
    </row>
    <row r="992" spans="1:12" x14ac:dyDescent="0.35">
      <c r="A992" s="34" t="str">
        <f t="shared" si="45"/>
        <v>DON-0988</v>
      </c>
      <c r="B992" s="35">
        <v>46191</v>
      </c>
      <c r="C992" s="36" t="s">
        <v>130</v>
      </c>
      <c r="D992" s="36" t="s">
        <v>16</v>
      </c>
      <c r="E992" s="36" t="s">
        <v>10</v>
      </c>
      <c r="F992" s="36" t="s">
        <v>131</v>
      </c>
      <c r="G992" s="37">
        <v>14</v>
      </c>
      <c r="H992" s="66">
        <v>46210</v>
      </c>
      <c r="I992" s="38">
        <f t="shared" ca="1" si="46"/>
        <v>11</v>
      </c>
      <c r="J992" s="38" t="str">
        <f t="shared" ca="1" si="47"/>
        <v>NOTICE</v>
      </c>
      <c r="K992" s="36" t="s">
        <v>177</v>
      </c>
      <c r="L992" s="39"/>
    </row>
    <row r="993" spans="1:12" x14ac:dyDescent="0.35">
      <c r="A993" s="34" t="str">
        <f t="shared" si="45"/>
        <v>DON-0989</v>
      </c>
      <c r="B993" s="35">
        <v>46191</v>
      </c>
      <c r="C993" s="36" t="s">
        <v>138</v>
      </c>
      <c r="D993" s="36" t="s">
        <v>139</v>
      </c>
      <c r="E993" s="36" t="s">
        <v>6</v>
      </c>
      <c r="F993" s="36" t="s">
        <v>140</v>
      </c>
      <c r="G993" s="37">
        <v>37</v>
      </c>
      <c r="H993" s="66">
        <v>46214</v>
      </c>
      <c r="I993" s="38">
        <f t="shared" ca="1" si="46"/>
        <v>15</v>
      </c>
      <c r="J993" s="38" t="str">
        <f t="shared" ca="1" si="47"/>
        <v>NOTICE</v>
      </c>
      <c r="K993" s="36" t="s">
        <v>176</v>
      </c>
      <c r="L993" s="39"/>
    </row>
    <row r="994" spans="1:12" x14ac:dyDescent="0.35">
      <c r="A994" s="34" t="str">
        <f t="shared" si="45"/>
        <v>DON-0990</v>
      </c>
      <c r="B994" s="35">
        <v>46191</v>
      </c>
      <c r="C994" s="36" t="s">
        <v>149</v>
      </c>
      <c r="D994" s="36" t="s">
        <v>150</v>
      </c>
      <c r="E994" s="36" t="s">
        <v>8</v>
      </c>
      <c r="F994" s="36" t="s">
        <v>75</v>
      </c>
      <c r="G994" s="37">
        <v>30</v>
      </c>
      <c r="H994" s="66">
        <v>46214</v>
      </c>
      <c r="I994" s="38">
        <f t="shared" ca="1" si="46"/>
        <v>15</v>
      </c>
      <c r="J994" s="38" t="str">
        <f t="shared" ca="1" si="47"/>
        <v>NOTICE</v>
      </c>
      <c r="K994" s="36" t="s">
        <v>176</v>
      </c>
      <c r="L994" s="39"/>
    </row>
    <row r="995" spans="1:12" x14ac:dyDescent="0.35">
      <c r="A995" s="34" t="str">
        <f t="shared" si="45"/>
        <v>DON-0991</v>
      </c>
      <c r="B995" s="35">
        <v>46191</v>
      </c>
      <c r="C995" s="36" t="s">
        <v>132</v>
      </c>
      <c r="D995" s="36" t="s">
        <v>133</v>
      </c>
      <c r="E995" s="36" t="s">
        <v>10</v>
      </c>
      <c r="F995" s="36" t="s">
        <v>134</v>
      </c>
      <c r="G995" s="37">
        <v>18</v>
      </c>
      <c r="H995" s="66">
        <v>46219</v>
      </c>
      <c r="I995" s="38">
        <f t="shared" ca="1" si="46"/>
        <v>20</v>
      </c>
      <c r="J995" s="38" t="str">
        <f t="shared" ca="1" si="47"/>
        <v>NOTICE</v>
      </c>
      <c r="K995" s="36" t="s">
        <v>177</v>
      </c>
      <c r="L995" s="39"/>
    </row>
    <row r="996" spans="1:12" x14ac:dyDescent="0.35">
      <c r="A996" s="34" t="str">
        <f t="shared" si="45"/>
        <v>DON-0992</v>
      </c>
      <c r="B996" s="35">
        <v>46191</v>
      </c>
      <c r="C996" s="36" t="s">
        <v>91</v>
      </c>
      <c r="D996" s="36" t="s">
        <v>92</v>
      </c>
      <c r="E996" s="36" t="s">
        <v>93</v>
      </c>
      <c r="F996" s="36" t="s">
        <v>85</v>
      </c>
      <c r="G996" s="37">
        <v>15</v>
      </c>
      <c r="H996" s="66">
        <v>46447</v>
      </c>
      <c r="I996" s="38">
        <f t="shared" ca="1" si="46"/>
        <v>248</v>
      </c>
      <c r="J996" s="38" t="str">
        <f t="shared" ca="1" si="47"/>
        <v>OK</v>
      </c>
      <c r="K996" s="36" t="s">
        <v>176</v>
      </c>
      <c r="L996" s="39"/>
    </row>
    <row r="997" spans="1:12" x14ac:dyDescent="0.35">
      <c r="A997" s="34" t="str">
        <f t="shared" si="45"/>
        <v>DON-0993</v>
      </c>
      <c r="B997" s="35">
        <v>46191</v>
      </c>
      <c r="C997" s="36" t="s">
        <v>69</v>
      </c>
      <c r="D997" s="36" t="s">
        <v>70</v>
      </c>
      <c r="E997" s="36" t="s">
        <v>66</v>
      </c>
      <c r="F997" s="36" t="s">
        <v>71</v>
      </c>
      <c r="G997" s="37">
        <v>42</v>
      </c>
      <c r="H997" s="66">
        <v>46642</v>
      </c>
      <c r="I997" s="38">
        <f t="shared" ca="1" si="46"/>
        <v>443</v>
      </c>
      <c r="J997" s="38" t="str">
        <f t="shared" ca="1" si="47"/>
        <v>OK</v>
      </c>
      <c r="K997" s="36" t="s">
        <v>175</v>
      </c>
      <c r="L997" s="39"/>
    </row>
    <row r="998" spans="1:12" x14ac:dyDescent="0.35">
      <c r="A998" s="34" t="str">
        <f t="shared" si="45"/>
        <v>DON-0994</v>
      </c>
      <c r="B998" s="35">
        <v>46191</v>
      </c>
      <c r="C998" s="36" t="s">
        <v>34</v>
      </c>
      <c r="D998" s="36" t="s">
        <v>35</v>
      </c>
      <c r="E998" s="36" t="s">
        <v>31</v>
      </c>
      <c r="F998" s="36" t="s">
        <v>36</v>
      </c>
      <c r="G998" s="37">
        <v>74</v>
      </c>
      <c r="H998" s="66">
        <v>46899</v>
      </c>
      <c r="I998" s="38">
        <f t="shared" ca="1" si="46"/>
        <v>700</v>
      </c>
      <c r="J998" s="38" t="str">
        <f t="shared" ca="1" si="47"/>
        <v>OK</v>
      </c>
      <c r="K998" s="36" t="s">
        <v>176</v>
      </c>
      <c r="L998" s="39"/>
    </row>
    <row r="999" spans="1:12" x14ac:dyDescent="0.35">
      <c r="A999" s="34" t="str">
        <f t="shared" si="45"/>
        <v>DON-0995</v>
      </c>
      <c r="B999" s="35">
        <v>46191</v>
      </c>
      <c r="C999" s="36" t="s">
        <v>37</v>
      </c>
      <c r="D999" s="36" t="s">
        <v>38</v>
      </c>
      <c r="E999" s="36" t="s">
        <v>31</v>
      </c>
      <c r="F999" s="36" t="s">
        <v>39</v>
      </c>
      <c r="G999" s="37">
        <v>48</v>
      </c>
      <c r="H999" s="66">
        <v>46937</v>
      </c>
      <c r="I999" s="38">
        <f t="shared" ca="1" si="46"/>
        <v>738</v>
      </c>
      <c r="J999" s="38" t="str">
        <f t="shared" ca="1" si="47"/>
        <v>OK</v>
      </c>
      <c r="K999" s="36" t="s">
        <v>175</v>
      </c>
      <c r="L999" s="39"/>
    </row>
    <row r="1000" spans="1:12" x14ac:dyDescent="0.35">
      <c r="A1000" s="34" t="str">
        <f t="shared" si="45"/>
        <v>DON-0996</v>
      </c>
      <c r="B1000" s="35">
        <v>46191</v>
      </c>
      <c r="C1000" s="36" t="s">
        <v>40</v>
      </c>
      <c r="D1000" s="36" t="s">
        <v>41</v>
      </c>
      <c r="E1000" s="36" t="s">
        <v>31</v>
      </c>
      <c r="F1000" s="36" t="s">
        <v>42</v>
      </c>
      <c r="G1000" s="37">
        <v>73</v>
      </c>
      <c r="H1000" s="66">
        <v>46958</v>
      </c>
      <c r="I1000" s="38">
        <f t="shared" ca="1" si="46"/>
        <v>759</v>
      </c>
      <c r="J1000" s="38" t="str">
        <f t="shared" ca="1" si="47"/>
        <v>OK</v>
      </c>
      <c r="K1000" s="36" t="s">
        <v>177</v>
      </c>
      <c r="L1000" s="39"/>
    </row>
    <row r="1001" spans="1:12" x14ac:dyDescent="0.35">
      <c r="A1001" s="34" t="str">
        <f t="shared" si="45"/>
        <v>DON-0997</v>
      </c>
      <c r="B1001" s="35">
        <v>46191</v>
      </c>
      <c r="C1001" s="36" t="s">
        <v>69</v>
      </c>
      <c r="D1001" s="36" t="s">
        <v>70</v>
      </c>
      <c r="E1001" s="36" t="s">
        <v>66</v>
      </c>
      <c r="F1001" s="36" t="s">
        <v>71</v>
      </c>
      <c r="G1001" s="37">
        <v>21</v>
      </c>
      <c r="H1001" s="66">
        <v>47229</v>
      </c>
      <c r="I1001" s="38">
        <f t="shared" ca="1" si="46"/>
        <v>1030</v>
      </c>
      <c r="J1001" s="38" t="str">
        <f t="shared" ca="1" si="47"/>
        <v>OK</v>
      </c>
      <c r="K1001" s="36" t="s">
        <v>176</v>
      </c>
      <c r="L1001" s="39"/>
    </row>
    <row r="1002" spans="1:12" x14ac:dyDescent="0.35">
      <c r="A1002" s="34" t="str">
        <f t="shared" si="45"/>
        <v>DON-0998</v>
      </c>
      <c r="B1002" s="35">
        <v>46191</v>
      </c>
      <c r="C1002" s="36" t="s">
        <v>125</v>
      </c>
      <c r="D1002" s="36" t="s">
        <v>126</v>
      </c>
      <c r="E1002" s="36" t="s">
        <v>14</v>
      </c>
      <c r="F1002" s="36" t="s">
        <v>127</v>
      </c>
      <c r="G1002" s="37">
        <v>11</v>
      </c>
      <c r="H1002" s="66">
        <v>47428</v>
      </c>
      <c r="I1002" s="38">
        <f t="shared" ca="1" si="46"/>
        <v>1229</v>
      </c>
      <c r="J1002" s="38" t="str">
        <f t="shared" ca="1" si="47"/>
        <v>OK</v>
      </c>
      <c r="K1002" s="36" t="s">
        <v>176</v>
      </c>
      <c r="L1002" s="39"/>
    </row>
    <row r="1003" spans="1:12" x14ac:dyDescent="0.35">
      <c r="A1003" s="34" t="str">
        <f t="shared" si="45"/>
        <v>DON-0999</v>
      </c>
      <c r="B1003" s="35">
        <v>46191</v>
      </c>
      <c r="C1003" s="36" t="s">
        <v>122</v>
      </c>
      <c r="D1003" s="36" t="s">
        <v>123</v>
      </c>
      <c r="E1003" s="36" t="s">
        <v>14</v>
      </c>
      <c r="F1003" s="36" t="s">
        <v>124</v>
      </c>
      <c r="G1003" s="37">
        <v>14</v>
      </c>
      <c r="H1003" s="66">
        <v>47834</v>
      </c>
      <c r="I1003" s="38">
        <f t="shared" ca="1" si="46"/>
        <v>1635</v>
      </c>
      <c r="J1003" s="38" t="str">
        <f t="shared" ca="1" si="47"/>
        <v>OK</v>
      </c>
      <c r="K1003" s="36" t="s">
        <v>175</v>
      </c>
      <c r="L1003" s="39"/>
    </row>
    <row r="1004" spans="1:12" x14ac:dyDescent="0.35">
      <c r="A1004" s="45" t="str">
        <f t="shared" si="45"/>
        <v>DON-1000</v>
      </c>
      <c r="B1004" s="46">
        <v>46198</v>
      </c>
      <c r="C1004" s="47" t="s">
        <v>94</v>
      </c>
      <c r="D1004" s="47" t="str">
        <f>IF(C1004="","",IFERROR(VLOOKUP(C1004,'Food Catalog'!$A:$B,2,0),"Unknown"))</f>
        <v>Pancake Mix</v>
      </c>
      <c r="E1004" s="47" t="str">
        <f>IF(C1004="","",IFERROR(VLOOKUP(C1004,'Food Catalog'!$A:$C,3,0),""))</f>
        <v>Breakfast</v>
      </c>
      <c r="F1004" s="47" t="str">
        <f>IF(C1004="","",IFERROR(VLOOKUP(C1004,'Food Catalog'!$A:$D,4,0),""))</f>
        <v>Box (32 oz)</v>
      </c>
      <c r="G1004" s="48">
        <v>4</v>
      </c>
      <c r="H1004" s="67">
        <v>46199</v>
      </c>
      <c r="I1004" s="49">
        <f t="shared" ca="1" si="46"/>
        <v>0</v>
      </c>
      <c r="J1004" s="49" t="str">
        <f t="shared" ca="1" si="47"/>
        <v>EXPIRED</v>
      </c>
      <c r="K1004" s="47" t="s">
        <v>181</v>
      </c>
      <c r="L1004" s="50"/>
    </row>
    <row r="1005" spans="1:12" x14ac:dyDescent="0.35">
      <c r="A1005" s="34" t="str">
        <f t="shared" si="45"/>
        <v>DON-1001</v>
      </c>
      <c r="B1005" s="35">
        <v>46198</v>
      </c>
      <c r="C1005" s="36" t="s">
        <v>144</v>
      </c>
      <c r="D1005" s="36" t="s">
        <v>7</v>
      </c>
      <c r="E1005" s="36" t="s">
        <v>8</v>
      </c>
      <c r="F1005" s="36" t="s">
        <v>145</v>
      </c>
      <c r="G1005" s="37">
        <v>15</v>
      </c>
      <c r="H1005" s="66">
        <v>46199</v>
      </c>
      <c r="I1005" s="38">
        <f t="shared" ca="1" si="46"/>
        <v>0</v>
      </c>
      <c r="J1005" s="38" t="str">
        <f t="shared" ca="1" si="47"/>
        <v>EXPIRED</v>
      </c>
      <c r="K1005" s="36" t="s">
        <v>179</v>
      </c>
      <c r="L1005" s="39"/>
    </row>
    <row r="1006" spans="1:12" x14ac:dyDescent="0.35">
      <c r="A1006" s="34" t="str">
        <f t="shared" si="45"/>
        <v>DON-1002</v>
      </c>
      <c r="B1006" s="35">
        <v>46198</v>
      </c>
      <c r="C1006" s="36" t="s">
        <v>128</v>
      </c>
      <c r="D1006" s="36" t="s">
        <v>9</v>
      </c>
      <c r="E1006" s="36" t="s">
        <v>10</v>
      </c>
      <c r="F1006" s="36" t="s">
        <v>129</v>
      </c>
      <c r="G1006" s="37">
        <v>18</v>
      </c>
      <c r="H1006" s="66">
        <v>46200</v>
      </c>
      <c r="I1006" s="38">
        <f t="shared" ca="1" si="46"/>
        <v>1</v>
      </c>
      <c r="J1006" s="38" t="str">
        <f t="shared" ca="1" si="47"/>
        <v>CRITICAL</v>
      </c>
      <c r="K1006" s="36" t="s">
        <v>182</v>
      </c>
      <c r="L1006" s="39"/>
    </row>
    <row r="1007" spans="1:12" x14ac:dyDescent="0.35">
      <c r="A1007" s="34" t="str">
        <f t="shared" si="45"/>
        <v>DON-1003</v>
      </c>
      <c r="B1007" s="35">
        <v>46198</v>
      </c>
      <c r="C1007" s="36" t="s">
        <v>137</v>
      </c>
      <c r="D1007" s="36" t="s">
        <v>15</v>
      </c>
      <c r="E1007" s="36" t="s">
        <v>6</v>
      </c>
      <c r="F1007" s="36" t="s">
        <v>136</v>
      </c>
      <c r="G1007" s="37">
        <v>20</v>
      </c>
      <c r="H1007" s="66">
        <v>46202</v>
      </c>
      <c r="I1007" s="38">
        <f t="shared" ca="1" si="46"/>
        <v>3</v>
      </c>
      <c r="J1007" s="38" t="str">
        <f t="shared" ca="1" si="47"/>
        <v>CRITICAL</v>
      </c>
      <c r="K1007" s="36" t="s">
        <v>182</v>
      </c>
      <c r="L1007" s="39"/>
    </row>
    <row r="1008" spans="1:12" x14ac:dyDescent="0.35">
      <c r="A1008" s="34" t="str">
        <f t="shared" si="45"/>
        <v>DON-1004</v>
      </c>
      <c r="B1008" s="35">
        <v>46198</v>
      </c>
      <c r="C1008" s="36" t="s">
        <v>156</v>
      </c>
      <c r="D1008" s="36" t="s">
        <v>11</v>
      </c>
      <c r="E1008" s="36" t="s">
        <v>12</v>
      </c>
      <c r="F1008" s="36" t="s">
        <v>155</v>
      </c>
      <c r="G1008" s="37">
        <v>12</v>
      </c>
      <c r="H1008" s="66">
        <v>46203</v>
      </c>
      <c r="I1008" s="38">
        <f t="shared" ca="1" si="46"/>
        <v>4</v>
      </c>
      <c r="J1008" s="38" t="str">
        <f t="shared" ca="1" si="47"/>
        <v>WARNING</v>
      </c>
      <c r="K1008" s="36" t="s">
        <v>182</v>
      </c>
      <c r="L1008" s="39"/>
    </row>
    <row r="1009" spans="1:12" x14ac:dyDescent="0.35">
      <c r="A1009" s="34" t="str">
        <f t="shared" si="45"/>
        <v>DON-1005</v>
      </c>
      <c r="B1009" s="35">
        <v>46198</v>
      </c>
      <c r="C1009" s="36" t="s">
        <v>114</v>
      </c>
      <c r="D1009" s="36" t="s">
        <v>13</v>
      </c>
      <c r="E1009" s="36" t="s">
        <v>14</v>
      </c>
      <c r="F1009" s="36" t="s">
        <v>115</v>
      </c>
      <c r="G1009" s="37">
        <v>8</v>
      </c>
      <c r="H1009" s="66">
        <v>46204</v>
      </c>
      <c r="I1009" s="38">
        <f t="shared" ca="1" si="46"/>
        <v>5</v>
      </c>
      <c r="J1009" s="38" t="str">
        <f t="shared" ca="1" si="47"/>
        <v>WARNING</v>
      </c>
      <c r="K1009" s="36" t="s">
        <v>180</v>
      </c>
      <c r="L1009" s="39"/>
    </row>
    <row r="1010" spans="1:12" x14ac:dyDescent="0.35">
      <c r="A1010" s="34" t="str">
        <f t="shared" si="45"/>
        <v>DON-1006</v>
      </c>
      <c r="B1010" s="35">
        <v>46198</v>
      </c>
      <c r="C1010" s="36" t="s">
        <v>130</v>
      </c>
      <c r="D1010" s="36" t="s">
        <v>16</v>
      </c>
      <c r="E1010" s="36" t="s">
        <v>10</v>
      </c>
      <c r="F1010" s="36" t="s">
        <v>131</v>
      </c>
      <c r="G1010" s="37">
        <v>30</v>
      </c>
      <c r="H1010" s="66">
        <v>46205</v>
      </c>
      <c r="I1010" s="38">
        <f t="shared" ca="1" si="46"/>
        <v>6</v>
      </c>
      <c r="J1010" s="38" t="str">
        <f t="shared" ca="1" si="47"/>
        <v>WARNING</v>
      </c>
      <c r="K1010" s="36" t="s">
        <v>181</v>
      </c>
      <c r="L1010" s="39"/>
    </row>
    <row r="1011" spans="1:12" x14ac:dyDescent="0.35">
      <c r="A1011" s="34" t="str">
        <f t="shared" si="45"/>
        <v>DON-1007</v>
      </c>
      <c r="B1011" s="35">
        <v>46198</v>
      </c>
      <c r="C1011" s="36" t="s">
        <v>146</v>
      </c>
      <c r="D1011" s="36" t="s">
        <v>147</v>
      </c>
      <c r="E1011" s="36" t="s">
        <v>8</v>
      </c>
      <c r="F1011" s="36" t="s">
        <v>148</v>
      </c>
      <c r="G1011" s="37">
        <v>18</v>
      </c>
      <c r="H1011" s="66">
        <v>46207</v>
      </c>
      <c r="I1011" s="38">
        <f t="shared" ca="1" si="46"/>
        <v>8</v>
      </c>
      <c r="J1011" s="38" t="str">
        <f t="shared" ca="1" si="47"/>
        <v>NOTICE</v>
      </c>
      <c r="K1011" s="36" t="s">
        <v>182</v>
      </c>
      <c r="L1011" s="39"/>
    </row>
    <row r="1012" spans="1:12" x14ac:dyDescent="0.35">
      <c r="A1012" s="34" t="str">
        <f t="shared" si="45"/>
        <v>DON-1008</v>
      </c>
      <c r="B1012" s="35">
        <v>46198</v>
      </c>
      <c r="C1012" s="36" t="s">
        <v>97</v>
      </c>
      <c r="D1012" s="36" t="s">
        <v>98</v>
      </c>
      <c r="E1012" s="36" t="s">
        <v>93</v>
      </c>
      <c r="F1012" s="36" t="s">
        <v>99</v>
      </c>
      <c r="G1012" s="37">
        <v>35</v>
      </c>
      <c r="H1012" s="66">
        <v>46209</v>
      </c>
      <c r="I1012" s="38">
        <f t="shared" ca="1" si="46"/>
        <v>10</v>
      </c>
      <c r="J1012" s="38" t="str">
        <f t="shared" ca="1" si="47"/>
        <v>NOTICE</v>
      </c>
      <c r="K1012" s="36" t="s">
        <v>176</v>
      </c>
      <c r="L1012" s="39"/>
    </row>
    <row r="1013" spans="1:12" x14ac:dyDescent="0.35">
      <c r="A1013" s="34" t="str">
        <f t="shared" si="45"/>
        <v>DON-1009</v>
      </c>
      <c r="B1013" s="40">
        <v>46198</v>
      </c>
      <c r="C1013" s="41" t="s">
        <v>132</v>
      </c>
      <c r="D1013" s="41" t="s">
        <v>133</v>
      </c>
      <c r="E1013" s="41" t="s">
        <v>10</v>
      </c>
      <c r="F1013" s="41" t="s">
        <v>134</v>
      </c>
      <c r="G1013" s="42">
        <v>10</v>
      </c>
      <c r="H1013" s="68">
        <v>46211</v>
      </c>
      <c r="I1013" s="43">
        <f t="shared" ca="1" si="46"/>
        <v>12</v>
      </c>
      <c r="J1013" s="43" t="str">
        <f t="shared" ca="1" si="47"/>
        <v>NOTICE</v>
      </c>
      <c r="K1013" s="41" t="s">
        <v>182</v>
      </c>
      <c r="L1013" s="44"/>
    </row>
    <row r="1014" spans="1:12" x14ac:dyDescent="0.35">
      <c r="A1014" s="45" t="str">
        <f t="shared" si="45"/>
        <v>DON-1010</v>
      </c>
      <c r="B1014" s="46">
        <v>46198</v>
      </c>
      <c r="C1014" s="47" t="s">
        <v>59</v>
      </c>
      <c r="D1014" s="47" t="str">
        <f>IF(C1014="","",IFERROR(VLOOKUP(C1014,'Food Catalog'!$A:$B,2,0),"Unknown"))</f>
        <v>Canned Diced Tomatoes</v>
      </c>
      <c r="E1014" s="47" t="str">
        <f>IF(C1014="","",IFERROR(VLOOKUP(C1014,'Food Catalog'!$A:$C,3,0),""))</f>
        <v>Canned Vegetables</v>
      </c>
      <c r="F1014" s="47" t="str">
        <f>IF(C1014="","",IFERROR(VLOOKUP(C1014,'Food Catalog'!$A:$D,4,0),""))</f>
        <v>Can (14.5 oz)</v>
      </c>
      <c r="G1014" s="48">
        <v>5</v>
      </c>
      <c r="H1014" s="67">
        <v>46563</v>
      </c>
      <c r="I1014" s="49">
        <f t="shared" ca="1" si="46"/>
        <v>364</v>
      </c>
      <c r="J1014" s="49" t="str">
        <f t="shared" ca="1" si="47"/>
        <v>OK</v>
      </c>
      <c r="K1014" s="47" t="s">
        <v>178</v>
      </c>
      <c r="L1014" s="50"/>
    </row>
    <row r="1015" spans="1:12" x14ac:dyDescent="0.35">
      <c r="A1015" s="34" t="str">
        <f t="shared" si="45"/>
        <v>DON-1011</v>
      </c>
      <c r="B1015" s="35">
        <v>46199</v>
      </c>
      <c r="C1015" s="36" t="s">
        <v>137</v>
      </c>
      <c r="D1015" s="47" t="s">
        <v>15</v>
      </c>
      <c r="E1015" s="36" t="s">
        <v>6</v>
      </c>
      <c r="F1015" s="36" t="s">
        <v>136</v>
      </c>
      <c r="G1015" s="37">
        <v>25</v>
      </c>
      <c r="H1015" s="66">
        <v>46202</v>
      </c>
      <c r="I1015" s="38">
        <f t="shared" ca="1" si="46"/>
        <v>3</v>
      </c>
      <c r="J1015" s="38" t="str">
        <f t="shared" ca="1" si="47"/>
        <v>CRITICAL</v>
      </c>
      <c r="K1015" s="36" t="s">
        <v>182</v>
      </c>
      <c r="L1015" s="39"/>
    </row>
    <row r="1016" spans="1:12" x14ac:dyDescent="0.35">
      <c r="A1016" s="45" t="str">
        <f t="shared" si="45"/>
        <v/>
      </c>
      <c r="B1016" s="46"/>
      <c r="C1016" s="47"/>
      <c r="D1016" s="47" t="str">
        <f>IF(C1016="","",IFERROR(VLOOKUP(C1016,'Food Catalog'!$A:$B,2,0),"Unknown"))</f>
        <v/>
      </c>
      <c r="E1016" s="47" t="str">
        <f>IF(C1016="","",IFERROR(VLOOKUP(C1016,'Food Catalog'!$A:$C,3,0),""))</f>
        <v/>
      </c>
      <c r="F1016" s="47" t="str">
        <f>IF(C1016="","",IFERROR(VLOOKUP(C1016,'Food Catalog'!$A:$D,4,0),""))</f>
        <v/>
      </c>
      <c r="G1016" s="48"/>
      <c r="H1016" s="67"/>
      <c r="I1016" s="49" t="str">
        <f t="shared" ca="1" si="46"/>
        <v/>
      </c>
      <c r="J1016" s="49" t="str">
        <f t="shared" ca="1" si="47"/>
        <v/>
      </c>
      <c r="K1016" s="47"/>
      <c r="L1016" s="50"/>
    </row>
    <row r="1017" spans="1:12" x14ac:dyDescent="0.35">
      <c r="A1017" s="45" t="str">
        <f t="shared" si="45"/>
        <v/>
      </c>
      <c r="B1017" s="46"/>
      <c r="C1017" s="47"/>
      <c r="D1017" s="47" t="str">
        <f>IF(C1017="","",IFERROR(VLOOKUP(C1017,'Food Catalog'!$A:$B,2,0),"Unknown"))</f>
        <v/>
      </c>
      <c r="E1017" s="47" t="str">
        <f>IF(C1017="","",IFERROR(VLOOKUP(C1017,'Food Catalog'!$A:$C,3,0),""))</f>
        <v/>
      </c>
      <c r="F1017" s="47" t="str">
        <f>IF(C1017="","",IFERROR(VLOOKUP(C1017,'Food Catalog'!$A:$D,4,0),""))</f>
        <v/>
      </c>
      <c r="G1017" s="48"/>
      <c r="H1017" s="67"/>
      <c r="I1017" s="49" t="str">
        <f t="shared" ca="1" si="46"/>
        <v/>
      </c>
      <c r="J1017" s="49" t="str">
        <f t="shared" ca="1" si="47"/>
        <v/>
      </c>
      <c r="K1017" s="47"/>
      <c r="L1017" s="50"/>
    </row>
    <row r="1018" spans="1:12" x14ac:dyDescent="0.35">
      <c r="A1018" s="45" t="str">
        <f t="shared" si="45"/>
        <v/>
      </c>
      <c r="B1018" s="46"/>
      <c r="C1018" s="47"/>
      <c r="D1018" s="47" t="str">
        <f>IF(C1018="","",IFERROR(VLOOKUP(C1018,'Food Catalog'!$A:$B,2,0),"Unknown"))</f>
        <v/>
      </c>
      <c r="E1018" s="47" t="str">
        <f>IF(C1018="","",IFERROR(VLOOKUP(C1018,'Food Catalog'!$A:$C,3,0),""))</f>
        <v/>
      </c>
      <c r="F1018" s="47" t="str">
        <f>IF(C1018="","",IFERROR(VLOOKUP(C1018,'Food Catalog'!$A:$D,4,0),""))</f>
        <v/>
      </c>
      <c r="G1018" s="48"/>
      <c r="H1018" s="67"/>
      <c r="I1018" s="49" t="str">
        <f t="shared" ca="1" si="46"/>
        <v/>
      </c>
      <c r="J1018" s="49" t="str">
        <f t="shared" ca="1" si="47"/>
        <v/>
      </c>
      <c r="K1018" s="47"/>
      <c r="L1018" s="50"/>
    </row>
    <row r="1019" spans="1:12" x14ac:dyDescent="0.35">
      <c r="A1019" s="45" t="str">
        <f t="shared" si="45"/>
        <v/>
      </c>
      <c r="B1019" s="46"/>
      <c r="C1019" s="47"/>
      <c r="D1019" s="47" t="str">
        <f>IF(C1019="","",IFERROR(VLOOKUP(C1019,'Food Catalog'!$A:$B,2,0),"Unknown"))</f>
        <v/>
      </c>
      <c r="E1019" s="47" t="str">
        <f>IF(C1019="","",IFERROR(VLOOKUP(C1019,'Food Catalog'!$A:$C,3,0),""))</f>
        <v/>
      </c>
      <c r="F1019" s="47" t="str">
        <f>IF(C1019="","",IFERROR(VLOOKUP(C1019,'Food Catalog'!$A:$D,4,0),""))</f>
        <v/>
      </c>
      <c r="G1019" s="48"/>
      <c r="H1019" s="67"/>
      <c r="I1019" s="49" t="str">
        <f t="shared" ca="1" si="46"/>
        <v/>
      </c>
      <c r="J1019" s="49" t="str">
        <f t="shared" ca="1" si="47"/>
        <v/>
      </c>
      <c r="K1019" s="47"/>
      <c r="L1019" s="50"/>
    </row>
    <row r="1020" spans="1:12" x14ac:dyDescent="0.35">
      <c r="A1020" s="45" t="str">
        <f t="shared" si="45"/>
        <v/>
      </c>
      <c r="B1020" s="46"/>
      <c r="C1020" s="47"/>
      <c r="D1020" s="47" t="str">
        <f>IF(C1020="","",IFERROR(VLOOKUP(C1020,'Food Catalog'!$A:$B,2,0),"Unknown"))</f>
        <v/>
      </c>
      <c r="E1020" s="47" t="str">
        <f>IF(C1020="","",IFERROR(VLOOKUP(C1020,'Food Catalog'!$A:$C,3,0),""))</f>
        <v/>
      </c>
      <c r="F1020" s="47" t="str">
        <f>IF(C1020="","",IFERROR(VLOOKUP(C1020,'Food Catalog'!$A:$D,4,0),""))</f>
        <v/>
      </c>
      <c r="G1020" s="48"/>
      <c r="H1020" s="67"/>
      <c r="I1020" s="49" t="str">
        <f t="shared" ca="1" si="46"/>
        <v/>
      </c>
      <c r="J1020" s="49" t="str">
        <f t="shared" ca="1" si="47"/>
        <v/>
      </c>
      <c r="K1020" s="47"/>
      <c r="L1020" s="50"/>
    </row>
    <row r="1021" spans="1:12" x14ac:dyDescent="0.35">
      <c r="A1021" s="45" t="str">
        <f t="shared" si="45"/>
        <v/>
      </c>
      <c r="B1021" s="46"/>
      <c r="C1021" s="47"/>
      <c r="D1021" s="47" t="str">
        <f>IF(C1021="","",IFERROR(VLOOKUP(C1021,'Food Catalog'!$A:$B,2,0),"Unknown"))</f>
        <v/>
      </c>
      <c r="E1021" s="47" t="str">
        <f>IF(C1021="","",IFERROR(VLOOKUP(C1021,'Food Catalog'!$A:$C,3,0),""))</f>
        <v/>
      </c>
      <c r="F1021" s="47" t="str">
        <f>IF(C1021="","",IFERROR(VLOOKUP(C1021,'Food Catalog'!$A:$D,4,0),""))</f>
        <v/>
      </c>
      <c r="G1021" s="48"/>
      <c r="H1021" s="67"/>
      <c r="I1021" s="49" t="str">
        <f t="shared" ca="1" si="46"/>
        <v/>
      </c>
      <c r="J1021" s="49" t="str">
        <f t="shared" ca="1" si="47"/>
        <v/>
      </c>
      <c r="K1021" s="47"/>
      <c r="L1021" s="50"/>
    </row>
    <row r="1022" spans="1:12" x14ac:dyDescent="0.35">
      <c r="A1022" s="45" t="str">
        <f t="shared" si="45"/>
        <v/>
      </c>
      <c r="B1022" s="46"/>
      <c r="C1022" s="47"/>
      <c r="D1022" s="47" t="str">
        <f>IF(C1022="","",IFERROR(VLOOKUP(C1022,'Food Catalog'!$A:$B,2,0),"Unknown"))</f>
        <v/>
      </c>
      <c r="E1022" s="47" t="str">
        <f>IF(C1022="","",IFERROR(VLOOKUP(C1022,'Food Catalog'!$A:$C,3,0),""))</f>
        <v/>
      </c>
      <c r="F1022" s="47" t="str">
        <f>IF(C1022="","",IFERROR(VLOOKUP(C1022,'Food Catalog'!$A:$D,4,0),""))</f>
        <v/>
      </c>
      <c r="G1022" s="48"/>
      <c r="H1022" s="67"/>
      <c r="I1022" s="49" t="str">
        <f t="shared" ca="1" si="46"/>
        <v/>
      </c>
      <c r="J1022" s="49" t="str">
        <f t="shared" ca="1" si="47"/>
        <v/>
      </c>
      <c r="K1022" s="47"/>
      <c r="L1022" s="50"/>
    </row>
    <row r="1023" spans="1:12" x14ac:dyDescent="0.35">
      <c r="A1023" s="45" t="str">
        <f t="shared" si="45"/>
        <v/>
      </c>
      <c r="B1023" s="46"/>
      <c r="C1023" s="47"/>
      <c r="D1023" s="47" t="str">
        <f>IF(C1023="","",IFERROR(VLOOKUP(C1023,'Food Catalog'!$A:$B,2,0),"Unknown"))</f>
        <v/>
      </c>
      <c r="E1023" s="47" t="str">
        <f>IF(C1023="","",IFERROR(VLOOKUP(C1023,'Food Catalog'!$A:$C,3,0),""))</f>
        <v/>
      </c>
      <c r="F1023" s="47" t="str">
        <f>IF(C1023="","",IFERROR(VLOOKUP(C1023,'Food Catalog'!$A:$D,4,0),""))</f>
        <v/>
      </c>
      <c r="G1023" s="48"/>
      <c r="H1023" s="67"/>
      <c r="I1023" s="49" t="str">
        <f t="shared" ca="1" si="46"/>
        <v/>
      </c>
      <c r="J1023" s="49" t="str">
        <f t="shared" ca="1" si="47"/>
        <v/>
      </c>
      <c r="K1023" s="47"/>
      <c r="L1023" s="50"/>
    </row>
    <row r="1024" spans="1:12" x14ac:dyDescent="0.35">
      <c r="A1024" s="45" t="str">
        <f t="shared" si="45"/>
        <v/>
      </c>
      <c r="B1024" s="46"/>
      <c r="C1024" s="47"/>
      <c r="D1024" s="47" t="str">
        <f>IF(C1024="","",IFERROR(VLOOKUP(C1024,'Food Catalog'!$A:$B,2,0),"Unknown"))</f>
        <v/>
      </c>
      <c r="E1024" s="47" t="str">
        <f>IF(C1024="","",IFERROR(VLOOKUP(C1024,'Food Catalog'!$A:$C,3,0),""))</f>
        <v/>
      </c>
      <c r="F1024" s="47" t="str">
        <f>IF(C1024="","",IFERROR(VLOOKUP(C1024,'Food Catalog'!$A:$D,4,0),""))</f>
        <v/>
      </c>
      <c r="G1024" s="48"/>
      <c r="H1024" s="67"/>
      <c r="I1024" s="49" t="str">
        <f t="shared" ca="1" si="46"/>
        <v/>
      </c>
      <c r="J1024" s="49" t="str">
        <f t="shared" ca="1" si="47"/>
        <v/>
      </c>
      <c r="K1024" s="47"/>
      <c r="L1024" s="50"/>
    </row>
    <row r="1025" spans="1:12" x14ac:dyDescent="0.35">
      <c r="A1025" s="45" t="str">
        <f t="shared" si="45"/>
        <v/>
      </c>
      <c r="B1025" s="46"/>
      <c r="C1025" s="47"/>
      <c r="D1025" s="47" t="str">
        <f>IF(C1025="","",IFERROR(VLOOKUP(C1025,'Food Catalog'!$A:$B,2,0),"Unknown"))</f>
        <v/>
      </c>
      <c r="E1025" s="47" t="str">
        <f>IF(C1025="","",IFERROR(VLOOKUP(C1025,'Food Catalog'!$A:$C,3,0),""))</f>
        <v/>
      </c>
      <c r="F1025" s="47" t="str">
        <f>IF(C1025="","",IFERROR(VLOOKUP(C1025,'Food Catalog'!$A:$D,4,0),""))</f>
        <v/>
      </c>
      <c r="G1025" s="48"/>
      <c r="H1025" s="67"/>
      <c r="I1025" s="49" t="str">
        <f t="shared" ca="1" si="46"/>
        <v/>
      </c>
      <c r="J1025" s="49" t="str">
        <f t="shared" ca="1" si="47"/>
        <v/>
      </c>
      <c r="K1025" s="47"/>
      <c r="L1025" s="50"/>
    </row>
    <row r="1026" spans="1:12" x14ac:dyDescent="0.35">
      <c r="A1026" s="45" t="str">
        <f t="shared" si="45"/>
        <v/>
      </c>
      <c r="B1026" s="46"/>
      <c r="C1026" s="47"/>
      <c r="D1026" s="47" t="str">
        <f>IF(C1026="","",IFERROR(VLOOKUP(C1026,'Food Catalog'!$A:$B,2,0),"Unknown"))</f>
        <v/>
      </c>
      <c r="E1026" s="47" t="str">
        <f>IF(C1026="","",IFERROR(VLOOKUP(C1026,'Food Catalog'!$A:$C,3,0),""))</f>
        <v/>
      </c>
      <c r="F1026" s="47" t="str">
        <f>IF(C1026="","",IFERROR(VLOOKUP(C1026,'Food Catalog'!$A:$D,4,0),""))</f>
        <v/>
      </c>
      <c r="G1026" s="48"/>
      <c r="H1026" s="67"/>
      <c r="I1026" s="49" t="str">
        <f t="shared" ca="1" si="46"/>
        <v/>
      </c>
      <c r="J1026" s="49" t="str">
        <f t="shared" ca="1" si="47"/>
        <v/>
      </c>
      <c r="K1026" s="47"/>
      <c r="L1026" s="50"/>
    </row>
    <row r="1027" spans="1:12" x14ac:dyDescent="0.35">
      <c r="A1027" s="45" t="str">
        <f t="shared" si="45"/>
        <v/>
      </c>
      <c r="B1027" s="46"/>
      <c r="C1027" s="47"/>
      <c r="D1027" s="47" t="str">
        <f>IF(C1027="","",IFERROR(VLOOKUP(C1027,'Food Catalog'!$A:$B,2,0),"Unknown"))</f>
        <v/>
      </c>
      <c r="E1027" s="47" t="str">
        <f>IF(C1027="","",IFERROR(VLOOKUP(C1027,'Food Catalog'!$A:$C,3,0),""))</f>
        <v/>
      </c>
      <c r="F1027" s="47" t="str">
        <f>IF(C1027="","",IFERROR(VLOOKUP(C1027,'Food Catalog'!$A:$D,4,0),""))</f>
        <v/>
      </c>
      <c r="G1027" s="48"/>
      <c r="H1027" s="67"/>
      <c r="I1027" s="49" t="str">
        <f t="shared" ca="1" si="46"/>
        <v/>
      </c>
      <c r="J1027" s="49" t="str">
        <f t="shared" ca="1" si="47"/>
        <v/>
      </c>
      <c r="K1027" s="47"/>
      <c r="L1027" s="50"/>
    </row>
    <row r="1028" spans="1:12" x14ac:dyDescent="0.35">
      <c r="A1028" s="45" t="str">
        <f t="shared" si="45"/>
        <v/>
      </c>
      <c r="B1028" s="46"/>
      <c r="C1028" s="47"/>
      <c r="D1028" s="47" t="str">
        <f>IF(C1028="","",IFERROR(VLOOKUP(C1028,'Food Catalog'!$A:$B,2,0),"Unknown"))</f>
        <v/>
      </c>
      <c r="E1028" s="47" t="str">
        <f>IF(C1028="","",IFERROR(VLOOKUP(C1028,'Food Catalog'!$A:$C,3,0),""))</f>
        <v/>
      </c>
      <c r="F1028" s="47" t="str">
        <f>IF(C1028="","",IFERROR(VLOOKUP(C1028,'Food Catalog'!$A:$D,4,0),""))</f>
        <v/>
      </c>
      <c r="G1028" s="48"/>
      <c r="H1028" s="67"/>
      <c r="I1028" s="49" t="str">
        <f t="shared" ca="1" si="46"/>
        <v/>
      </c>
      <c r="J1028" s="49" t="str">
        <f t="shared" ca="1" si="47"/>
        <v/>
      </c>
      <c r="K1028" s="47"/>
      <c r="L1028" s="50"/>
    </row>
    <row r="1029" spans="1:12" x14ac:dyDescent="0.35">
      <c r="A1029" s="45" t="str">
        <f t="shared" ref="A1029:A1092" si="48">IF(G1029="","","DON-"&amp;TEXT(ROW()-4,"0000"))</f>
        <v/>
      </c>
      <c r="B1029" s="46"/>
      <c r="C1029" s="47"/>
      <c r="D1029" s="47" t="str">
        <f>IF(C1029="","",IFERROR(VLOOKUP(C1029,'Food Catalog'!$A:$B,2,0),"Unknown"))</f>
        <v/>
      </c>
      <c r="E1029" s="47" t="str">
        <f>IF(C1029="","",IFERROR(VLOOKUP(C1029,'Food Catalog'!$A:$C,3,0),""))</f>
        <v/>
      </c>
      <c r="F1029" s="47" t="str">
        <f>IF(C1029="","",IFERROR(VLOOKUP(C1029,'Food Catalog'!$A:$D,4,0),""))</f>
        <v/>
      </c>
      <c r="G1029" s="48"/>
      <c r="H1029" s="67"/>
      <c r="I1029" s="49" t="str">
        <f t="shared" ref="I1029:I1092" ca="1" si="49">IF(H1029="","",H1029-TODAY())</f>
        <v/>
      </c>
      <c r="J1029" s="49" t="str">
        <f t="shared" ref="J1029:J1092" ca="1" si="50">IF(I1029="","",IF(I1029&lt;=0,"EXPIRED",IF(I1029&lt;=3,"CRITICAL",IF(I1029&lt;=7,"WARNING",IF(I1029&lt;=30,"NOTICE","OK")))))</f>
        <v/>
      </c>
      <c r="K1029" s="47"/>
      <c r="L1029" s="50"/>
    </row>
    <row r="1030" spans="1:12" x14ac:dyDescent="0.35">
      <c r="A1030" s="45" t="str">
        <f t="shared" si="48"/>
        <v/>
      </c>
      <c r="B1030" s="46"/>
      <c r="C1030" s="47"/>
      <c r="D1030" s="47" t="str">
        <f>IF(C1030="","",IFERROR(VLOOKUP(C1030,'Food Catalog'!$A:$B,2,0),"Unknown"))</f>
        <v/>
      </c>
      <c r="E1030" s="47" t="str">
        <f>IF(C1030="","",IFERROR(VLOOKUP(C1030,'Food Catalog'!$A:$C,3,0),""))</f>
        <v/>
      </c>
      <c r="F1030" s="47" t="str">
        <f>IF(C1030="","",IFERROR(VLOOKUP(C1030,'Food Catalog'!$A:$D,4,0),""))</f>
        <v/>
      </c>
      <c r="G1030" s="48"/>
      <c r="H1030" s="67"/>
      <c r="I1030" s="49" t="str">
        <f t="shared" ca="1" si="49"/>
        <v/>
      </c>
      <c r="J1030" s="49" t="str">
        <f t="shared" ca="1" si="50"/>
        <v/>
      </c>
      <c r="K1030" s="47"/>
      <c r="L1030" s="50"/>
    </row>
    <row r="1031" spans="1:12" x14ac:dyDescent="0.35">
      <c r="A1031" s="45" t="str">
        <f t="shared" si="48"/>
        <v/>
      </c>
      <c r="B1031" s="46"/>
      <c r="C1031" s="47"/>
      <c r="D1031" s="47" t="str">
        <f>IF(C1031="","",IFERROR(VLOOKUP(C1031,'Food Catalog'!$A:$B,2,0),"Unknown"))</f>
        <v/>
      </c>
      <c r="E1031" s="47" t="str">
        <f>IF(C1031="","",IFERROR(VLOOKUP(C1031,'Food Catalog'!$A:$C,3,0),""))</f>
        <v/>
      </c>
      <c r="F1031" s="47" t="str">
        <f>IF(C1031="","",IFERROR(VLOOKUP(C1031,'Food Catalog'!$A:$D,4,0),""))</f>
        <v/>
      </c>
      <c r="G1031" s="48"/>
      <c r="H1031" s="67"/>
      <c r="I1031" s="49" t="str">
        <f t="shared" ca="1" si="49"/>
        <v/>
      </c>
      <c r="J1031" s="49" t="str">
        <f t="shared" ca="1" si="50"/>
        <v/>
      </c>
      <c r="K1031" s="47"/>
      <c r="L1031" s="50"/>
    </row>
    <row r="1032" spans="1:12" x14ac:dyDescent="0.35">
      <c r="A1032" s="45" t="str">
        <f t="shared" si="48"/>
        <v/>
      </c>
      <c r="B1032" s="46"/>
      <c r="C1032" s="47"/>
      <c r="D1032" s="47" t="str">
        <f>IF(C1032="","",IFERROR(VLOOKUP(C1032,'Food Catalog'!$A:$B,2,0),"Unknown"))</f>
        <v/>
      </c>
      <c r="E1032" s="47" t="str">
        <f>IF(C1032="","",IFERROR(VLOOKUP(C1032,'Food Catalog'!$A:$C,3,0),""))</f>
        <v/>
      </c>
      <c r="F1032" s="47" t="str">
        <f>IF(C1032="","",IFERROR(VLOOKUP(C1032,'Food Catalog'!$A:$D,4,0),""))</f>
        <v/>
      </c>
      <c r="G1032" s="48"/>
      <c r="H1032" s="67"/>
      <c r="I1032" s="49" t="str">
        <f t="shared" ca="1" si="49"/>
        <v/>
      </c>
      <c r="J1032" s="49" t="str">
        <f t="shared" ca="1" si="50"/>
        <v/>
      </c>
      <c r="K1032" s="47"/>
      <c r="L1032" s="50"/>
    </row>
    <row r="1033" spans="1:12" x14ac:dyDescent="0.35">
      <c r="A1033" s="45" t="str">
        <f t="shared" si="48"/>
        <v/>
      </c>
      <c r="B1033" s="46"/>
      <c r="C1033" s="47"/>
      <c r="D1033" s="47" t="str">
        <f>IF(C1033="","",IFERROR(VLOOKUP(C1033,'Food Catalog'!$A:$B,2,0),"Unknown"))</f>
        <v/>
      </c>
      <c r="E1033" s="47" t="str">
        <f>IF(C1033="","",IFERROR(VLOOKUP(C1033,'Food Catalog'!$A:$C,3,0),""))</f>
        <v/>
      </c>
      <c r="F1033" s="47" t="str">
        <f>IF(C1033="","",IFERROR(VLOOKUP(C1033,'Food Catalog'!$A:$D,4,0),""))</f>
        <v/>
      </c>
      <c r="G1033" s="48"/>
      <c r="H1033" s="67"/>
      <c r="I1033" s="49" t="str">
        <f t="shared" ca="1" si="49"/>
        <v/>
      </c>
      <c r="J1033" s="49" t="str">
        <f t="shared" ca="1" si="50"/>
        <v/>
      </c>
      <c r="K1033" s="47"/>
      <c r="L1033" s="50"/>
    </row>
    <row r="1034" spans="1:12" x14ac:dyDescent="0.35">
      <c r="A1034" s="45" t="str">
        <f t="shared" si="48"/>
        <v/>
      </c>
      <c r="B1034" s="46"/>
      <c r="C1034" s="47"/>
      <c r="D1034" s="47" t="str">
        <f>IF(C1034="","",IFERROR(VLOOKUP(C1034,'Food Catalog'!$A:$B,2,0),"Unknown"))</f>
        <v/>
      </c>
      <c r="E1034" s="47" t="str">
        <f>IF(C1034="","",IFERROR(VLOOKUP(C1034,'Food Catalog'!$A:$C,3,0),""))</f>
        <v/>
      </c>
      <c r="F1034" s="47" t="str">
        <f>IF(C1034="","",IFERROR(VLOOKUP(C1034,'Food Catalog'!$A:$D,4,0),""))</f>
        <v/>
      </c>
      <c r="G1034" s="48"/>
      <c r="H1034" s="67"/>
      <c r="I1034" s="49" t="str">
        <f t="shared" ca="1" si="49"/>
        <v/>
      </c>
      <c r="J1034" s="49" t="str">
        <f t="shared" ca="1" si="50"/>
        <v/>
      </c>
      <c r="K1034" s="47"/>
      <c r="L1034" s="50"/>
    </row>
    <row r="1035" spans="1:12" x14ac:dyDescent="0.35">
      <c r="A1035" s="45" t="str">
        <f t="shared" si="48"/>
        <v/>
      </c>
      <c r="B1035" s="46"/>
      <c r="C1035" s="47"/>
      <c r="D1035" s="47" t="str">
        <f>IF(C1035="","",IFERROR(VLOOKUP(C1035,'Food Catalog'!$A:$B,2,0),"Unknown"))</f>
        <v/>
      </c>
      <c r="E1035" s="47" t="str">
        <f>IF(C1035="","",IFERROR(VLOOKUP(C1035,'Food Catalog'!$A:$C,3,0),""))</f>
        <v/>
      </c>
      <c r="F1035" s="47" t="str">
        <f>IF(C1035="","",IFERROR(VLOOKUP(C1035,'Food Catalog'!$A:$D,4,0),""))</f>
        <v/>
      </c>
      <c r="G1035" s="48"/>
      <c r="H1035" s="67"/>
      <c r="I1035" s="49" t="str">
        <f t="shared" ca="1" si="49"/>
        <v/>
      </c>
      <c r="J1035" s="49" t="str">
        <f t="shared" ca="1" si="50"/>
        <v/>
      </c>
      <c r="K1035" s="47"/>
      <c r="L1035" s="50"/>
    </row>
    <row r="1036" spans="1:12" x14ac:dyDescent="0.35">
      <c r="A1036" s="45" t="str">
        <f t="shared" si="48"/>
        <v/>
      </c>
      <c r="B1036" s="46"/>
      <c r="C1036" s="47"/>
      <c r="D1036" s="47" t="str">
        <f>IF(C1036="","",IFERROR(VLOOKUP(C1036,'Food Catalog'!$A:$B,2,0),"Unknown"))</f>
        <v/>
      </c>
      <c r="E1036" s="47" t="str">
        <f>IF(C1036="","",IFERROR(VLOOKUP(C1036,'Food Catalog'!$A:$C,3,0),""))</f>
        <v/>
      </c>
      <c r="F1036" s="47" t="str">
        <f>IF(C1036="","",IFERROR(VLOOKUP(C1036,'Food Catalog'!$A:$D,4,0),""))</f>
        <v/>
      </c>
      <c r="G1036" s="48"/>
      <c r="H1036" s="67"/>
      <c r="I1036" s="49" t="str">
        <f t="shared" ca="1" si="49"/>
        <v/>
      </c>
      <c r="J1036" s="49" t="str">
        <f t="shared" ca="1" si="50"/>
        <v/>
      </c>
      <c r="K1036" s="47"/>
      <c r="L1036" s="50"/>
    </row>
    <row r="1037" spans="1:12" x14ac:dyDescent="0.35">
      <c r="A1037" s="45" t="str">
        <f t="shared" si="48"/>
        <v/>
      </c>
      <c r="B1037" s="46"/>
      <c r="C1037" s="47"/>
      <c r="D1037" s="47" t="str">
        <f>IF(C1037="","",IFERROR(VLOOKUP(C1037,'Food Catalog'!$A:$B,2,0),"Unknown"))</f>
        <v/>
      </c>
      <c r="E1037" s="47" t="str">
        <f>IF(C1037="","",IFERROR(VLOOKUP(C1037,'Food Catalog'!$A:$C,3,0),""))</f>
        <v/>
      </c>
      <c r="F1037" s="47" t="str">
        <f>IF(C1037="","",IFERROR(VLOOKUP(C1037,'Food Catalog'!$A:$D,4,0),""))</f>
        <v/>
      </c>
      <c r="G1037" s="48"/>
      <c r="H1037" s="67"/>
      <c r="I1037" s="49" t="str">
        <f t="shared" ca="1" si="49"/>
        <v/>
      </c>
      <c r="J1037" s="49" t="str">
        <f t="shared" ca="1" si="50"/>
        <v/>
      </c>
      <c r="K1037" s="47"/>
      <c r="L1037" s="50"/>
    </row>
    <row r="1038" spans="1:12" x14ac:dyDescent="0.35">
      <c r="A1038" s="45" t="str">
        <f t="shared" si="48"/>
        <v/>
      </c>
      <c r="B1038" s="46"/>
      <c r="C1038" s="47"/>
      <c r="D1038" s="47" t="str">
        <f>IF(C1038="","",IFERROR(VLOOKUP(C1038,'Food Catalog'!$A:$B,2,0),"Unknown"))</f>
        <v/>
      </c>
      <c r="E1038" s="47" t="str">
        <f>IF(C1038="","",IFERROR(VLOOKUP(C1038,'Food Catalog'!$A:$C,3,0),""))</f>
        <v/>
      </c>
      <c r="F1038" s="47" t="str">
        <f>IF(C1038="","",IFERROR(VLOOKUP(C1038,'Food Catalog'!$A:$D,4,0),""))</f>
        <v/>
      </c>
      <c r="G1038" s="48"/>
      <c r="H1038" s="67"/>
      <c r="I1038" s="49" t="str">
        <f t="shared" ca="1" si="49"/>
        <v/>
      </c>
      <c r="J1038" s="49" t="str">
        <f t="shared" ca="1" si="50"/>
        <v/>
      </c>
      <c r="K1038" s="47"/>
      <c r="L1038" s="50"/>
    </row>
    <row r="1039" spans="1:12" x14ac:dyDescent="0.35">
      <c r="A1039" s="45" t="str">
        <f t="shared" si="48"/>
        <v/>
      </c>
      <c r="B1039" s="46"/>
      <c r="C1039" s="47"/>
      <c r="D1039" s="47" t="str">
        <f>IF(C1039="","",IFERROR(VLOOKUP(C1039,'Food Catalog'!$A:$B,2,0),"Unknown"))</f>
        <v/>
      </c>
      <c r="E1039" s="47" t="str">
        <f>IF(C1039="","",IFERROR(VLOOKUP(C1039,'Food Catalog'!$A:$C,3,0),""))</f>
        <v/>
      </c>
      <c r="F1039" s="47" t="str">
        <f>IF(C1039="","",IFERROR(VLOOKUP(C1039,'Food Catalog'!$A:$D,4,0),""))</f>
        <v/>
      </c>
      <c r="G1039" s="48"/>
      <c r="H1039" s="67"/>
      <c r="I1039" s="49" t="str">
        <f t="shared" ca="1" si="49"/>
        <v/>
      </c>
      <c r="J1039" s="49" t="str">
        <f t="shared" ca="1" si="50"/>
        <v/>
      </c>
      <c r="K1039" s="47"/>
      <c r="L1039" s="50"/>
    </row>
    <row r="1040" spans="1:12" x14ac:dyDescent="0.35">
      <c r="A1040" s="45" t="str">
        <f t="shared" si="48"/>
        <v/>
      </c>
      <c r="B1040" s="46"/>
      <c r="C1040" s="47"/>
      <c r="D1040" s="47" t="str">
        <f>IF(C1040="","",IFERROR(VLOOKUP(C1040,'Food Catalog'!$A:$B,2,0),"Unknown"))</f>
        <v/>
      </c>
      <c r="E1040" s="47" t="str">
        <f>IF(C1040="","",IFERROR(VLOOKUP(C1040,'Food Catalog'!$A:$C,3,0),""))</f>
        <v/>
      </c>
      <c r="F1040" s="47" t="str">
        <f>IF(C1040="","",IFERROR(VLOOKUP(C1040,'Food Catalog'!$A:$D,4,0),""))</f>
        <v/>
      </c>
      <c r="G1040" s="48"/>
      <c r="H1040" s="67"/>
      <c r="I1040" s="49" t="str">
        <f t="shared" ca="1" si="49"/>
        <v/>
      </c>
      <c r="J1040" s="49" t="str">
        <f t="shared" ca="1" si="50"/>
        <v/>
      </c>
      <c r="K1040" s="47"/>
      <c r="L1040" s="50"/>
    </row>
    <row r="1041" spans="1:12" x14ac:dyDescent="0.35">
      <c r="A1041" s="45" t="str">
        <f t="shared" si="48"/>
        <v/>
      </c>
      <c r="B1041" s="46"/>
      <c r="C1041" s="47"/>
      <c r="D1041" s="47" t="str">
        <f>IF(C1041="","",IFERROR(VLOOKUP(C1041,'Food Catalog'!$A:$B,2,0),"Unknown"))</f>
        <v/>
      </c>
      <c r="E1041" s="47" t="str">
        <f>IF(C1041="","",IFERROR(VLOOKUP(C1041,'Food Catalog'!$A:$C,3,0),""))</f>
        <v/>
      </c>
      <c r="F1041" s="47" t="str">
        <f>IF(C1041="","",IFERROR(VLOOKUP(C1041,'Food Catalog'!$A:$D,4,0),""))</f>
        <v/>
      </c>
      <c r="G1041" s="48"/>
      <c r="H1041" s="67"/>
      <c r="I1041" s="49" t="str">
        <f t="shared" ca="1" si="49"/>
        <v/>
      </c>
      <c r="J1041" s="49" t="str">
        <f t="shared" ca="1" si="50"/>
        <v/>
      </c>
      <c r="K1041" s="47"/>
      <c r="L1041" s="50"/>
    </row>
    <row r="1042" spans="1:12" x14ac:dyDescent="0.35">
      <c r="A1042" s="45" t="str">
        <f t="shared" si="48"/>
        <v/>
      </c>
      <c r="B1042" s="46"/>
      <c r="C1042" s="47"/>
      <c r="D1042" s="47" t="str">
        <f>IF(C1042="","",IFERROR(VLOOKUP(C1042,'Food Catalog'!$A:$B,2,0),"Unknown"))</f>
        <v/>
      </c>
      <c r="E1042" s="47" t="str">
        <f>IF(C1042="","",IFERROR(VLOOKUP(C1042,'Food Catalog'!$A:$C,3,0),""))</f>
        <v/>
      </c>
      <c r="F1042" s="47" t="str">
        <f>IF(C1042="","",IFERROR(VLOOKUP(C1042,'Food Catalog'!$A:$D,4,0),""))</f>
        <v/>
      </c>
      <c r="G1042" s="48"/>
      <c r="H1042" s="67"/>
      <c r="I1042" s="49" t="str">
        <f t="shared" ca="1" si="49"/>
        <v/>
      </c>
      <c r="J1042" s="49" t="str">
        <f t="shared" ca="1" si="50"/>
        <v/>
      </c>
      <c r="K1042" s="47"/>
      <c r="L1042" s="50"/>
    </row>
    <row r="1043" spans="1:12" x14ac:dyDescent="0.35">
      <c r="A1043" s="45" t="str">
        <f t="shared" si="48"/>
        <v/>
      </c>
      <c r="B1043" s="46"/>
      <c r="C1043" s="47"/>
      <c r="D1043" s="47" t="str">
        <f>IF(C1043="","",IFERROR(VLOOKUP(C1043,'Food Catalog'!$A:$B,2,0),"Unknown"))</f>
        <v/>
      </c>
      <c r="E1043" s="47" t="str">
        <f>IF(C1043="","",IFERROR(VLOOKUP(C1043,'Food Catalog'!$A:$C,3,0),""))</f>
        <v/>
      </c>
      <c r="F1043" s="47" t="str">
        <f>IF(C1043="","",IFERROR(VLOOKUP(C1043,'Food Catalog'!$A:$D,4,0),""))</f>
        <v/>
      </c>
      <c r="G1043" s="48"/>
      <c r="H1043" s="67"/>
      <c r="I1043" s="49" t="str">
        <f t="shared" ca="1" si="49"/>
        <v/>
      </c>
      <c r="J1043" s="49" t="str">
        <f t="shared" ca="1" si="50"/>
        <v/>
      </c>
      <c r="K1043" s="47"/>
      <c r="L1043" s="50"/>
    </row>
    <row r="1044" spans="1:12" x14ac:dyDescent="0.35">
      <c r="A1044" s="45" t="str">
        <f t="shared" si="48"/>
        <v/>
      </c>
      <c r="B1044" s="46"/>
      <c r="C1044" s="47"/>
      <c r="D1044" s="47" t="str">
        <f>IF(C1044="","",IFERROR(VLOOKUP(C1044,'Food Catalog'!$A:$B,2,0),"Unknown"))</f>
        <v/>
      </c>
      <c r="E1044" s="47" t="str">
        <f>IF(C1044="","",IFERROR(VLOOKUP(C1044,'Food Catalog'!$A:$C,3,0),""))</f>
        <v/>
      </c>
      <c r="F1044" s="47" t="str">
        <f>IF(C1044="","",IFERROR(VLOOKUP(C1044,'Food Catalog'!$A:$D,4,0),""))</f>
        <v/>
      </c>
      <c r="G1044" s="48"/>
      <c r="H1044" s="67"/>
      <c r="I1044" s="49" t="str">
        <f t="shared" ca="1" si="49"/>
        <v/>
      </c>
      <c r="J1044" s="49" t="str">
        <f t="shared" ca="1" si="50"/>
        <v/>
      </c>
      <c r="K1044" s="47"/>
      <c r="L1044" s="50"/>
    </row>
    <row r="1045" spans="1:12" x14ac:dyDescent="0.35">
      <c r="A1045" s="45" t="str">
        <f t="shared" si="48"/>
        <v/>
      </c>
      <c r="B1045" s="46"/>
      <c r="C1045" s="47"/>
      <c r="D1045" s="47" t="str">
        <f>IF(C1045="","",IFERROR(VLOOKUP(C1045,'Food Catalog'!$A:$B,2,0),"Unknown"))</f>
        <v/>
      </c>
      <c r="E1045" s="47" t="str">
        <f>IF(C1045="","",IFERROR(VLOOKUP(C1045,'Food Catalog'!$A:$C,3,0),""))</f>
        <v/>
      </c>
      <c r="F1045" s="47" t="str">
        <f>IF(C1045="","",IFERROR(VLOOKUP(C1045,'Food Catalog'!$A:$D,4,0),""))</f>
        <v/>
      </c>
      <c r="G1045" s="48"/>
      <c r="H1045" s="67"/>
      <c r="I1045" s="49" t="str">
        <f t="shared" ca="1" si="49"/>
        <v/>
      </c>
      <c r="J1045" s="49" t="str">
        <f t="shared" ca="1" si="50"/>
        <v/>
      </c>
      <c r="K1045" s="47"/>
      <c r="L1045" s="50"/>
    </row>
    <row r="1046" spans="1:12" x14ac:dyDescent="0.35">
      <c r="A1046" s="45" t="str">
        <f t="shared" si="48"/>
        <v/>
      </c>
      <c r="B1046" s="46"/>
      <c r="C1046" s="47"/>
      <c r="D1046" s="47" t="str">
        <f>IF(C1046="","",IFERROR(VLOOKUP(C1046,'Food Catalog'!$A:$B,2,0),"Unknown"))</f>
        <v/>
      </c>
      <c r="E1046" s="47" t="str">
        <f>IF(C1046="","",IFERROR(VLOOKUP(C1046,'Food Catalog'!$A:$C,3,0),""))</f>
        <v/>
      </c>
      <c r="F1046" s="47" t="str">
        <f>IF(C1046="","",IFERROR(VLOOKUP(C1046,'Food Catalog'!$A:$D,4,0),""))</f>
        <v/>
      </c>
      <c r="G1046" s="48"/>
      <c r="H1046" s="67"/>
      <c r="I1046" s="49" t="str">
        <f t="shared" ca="1" si="49"/>
        <v/>
      </c>
      <c r="J1046" s="49" t="str">
        <f t="shared" ca="1" si="50"/>
        <v/>
      </c>
      <c r="K1046" s="47"/>
      <c r="L1046" s="50"/>
    </row>
    <row r="1047" spans="1:12" x14ac:dyDescent="0.35">
      <c r="A1047" s="45" t="str">
        <f t="shared" si="48"/>
        <v/>
      </c>
      <c r="B1047" s="46"/>
      <c r="C1047" s="47"/>
      <c r="D1047" s="47" t="str">
        <f>IF(C1047="","",IFERROR(VLOOKUP(C1047,'Food Catalog'!$A:$B,2,0),"Unknown"))</f>
        <v/>
      </c>
      <c r="E1047" s="47" t="str">
        <f>IF(C1047="","",IFERROR(VLOOKUP(C1047,'Food Catalog'!$A:$C,3,0),""))</f>
        <v/>
      </c>
      <c r="F1047" s="47" t="str">
        <f>IF(C1047="","",IFERROR(VLOOKUP(C1047,'Food Catalog'!$A:$D,4,0),""))</f>
        <v/>
      </c>
      <c r="G1047" s="48"/>
      <c r="H1047" s="67"/>
      <c r="I1047" s="49" t="str">
        <f t="shared" ca="1" si="49"/>
        <v/>
      </c>
      <c r="J1047" s="49" t="str">
        <f t="shared" ca="1" si="50"/>
        <v/>
      </c>
      <c r="K1047" s="47"/>
      <c r="L1047" s="50"/>
    </row>
    <row r="1048" spans="1:12" x14ac:dyDescent="0.35">
      <c r="A1048" s="45" t="str">
        <f t="shared" si="48"/>
        <v/>
      </c>
      <c r="B1048" s="46"/>
      <c r="C1048" s="47"/>
      <c r="D1048" s="47" t="str">
        <f>IF(C1048="","",IFERROR(VLOOKUP(C1048,'Food Catalog'!$A:$B,2,0),"Unknown"))</f>
        <v/>
      </c>
      <c r="E1048" s="47" t="str">
        <f>IF(C1048="","",IFERROR(VLOOKUP(C1048,'Food Catalog'!$A:$C,3,0),""))</f>
        <v/>
      </c>
      <c r="F1048" s="47" t="str">
        <f>IF(C1048="","",IFERROR(VLOOKUP(C1048,'Food Catalog'!$A:$D,4,0),""))</f>
        <v/>
      </c>
      <c r="G1048" s="48"/>
      <c r="H1048" s="67"/>
      <c r="I1048" s="49" t="str">
        <f t="shared" ca="1" si="49"/>
        <v/>
      </c>
      <c r="J1048" s="49" t="str">
        <f t="shared" ca="1" si="50"/>
        <v/>
      </c>
      <c r="K1048" s="47"/>
      <c r="L1048" s="50"/>
    </row>
    <row r="1049" spans="1:12" x14ac:dyDescent="0.35">
      <c r="A1049" s="45" t="str">
        <f t="shared" si="48"/>
        <v/>
      </c>
      <c r="B1049" s="46"/>
      <c r="C1049" s="47"/>
      <c r="D1049" s="47" t="str">
        <f>IF(C1049="","",IFERROR(VLOOKUP(C1049,'Food Catalog'!$A:$B,2,0),"Unknown"))</f>
        <v/>
      </c>
      <c r="E1049" s="47" t="str">
        <f>IF(C1049="","",IFERROR(VLOOKUP(C1049,'Food Catalog'!$A:$C,3,0),""))</f>
        <v/>
      </c>
      <c r="F1049" s="47" t="str">
        <f>IF(C1049="","",IFERROR(VLOOKUP(C1049,'Food Catalog'!$A:$D,4,0),""))</f>
        <v/>
      </c>
      <c r="G1049" s="48"/>
      <c r="H1049" s="67"/>
      <c r="I1049" s="49" t="str">
        <f t="shared" ca="1" si="49"/>
        <v/>
      </c>
      <c r="J1049" s="49" t="str">
        <f t="shared" ca="1" si="50"/>
        <v/>
      </c>
      <c r="K1049" s="47"/>
      <c r="L1049" s="50"/>
    </row>
    <row r="1050" spans="1:12" x14ac:dyDescent="0.35">
      <c r="A1050" s="45" t="str">
        <f t="shared" si="48"/>
        <v/>
      </c>
      <c r="B1050" s="46"/>
      <c r="C1050" s="47"/>
      <c r="D1050" s="47" t="str">
        <f>IF(C1050="","",IFERROR(VLOOKUP(C1050,'Food Catalog'!$A:$B,2,0),"Unknown"))</f>
        <v/>
      </c>
      <c r="E1050" s="47" t="str">
        <f>IF(C1050="","",IFERROR(VLOOKUP(C1050,'Food Catalog'!$A:$C,3,0),""))</f>
        <v/>
      </c>
      <c r="F1050" s="47" t="str">
        <f>IF(C1050="","",IFERROR(VLOOKUP(C1050,'Food Catalog'!$A:$D,4,0),""))</f>
        <v/>
      </c>
      <c r="G1050" s="48"/>
      <c r="H1050" s="67"/>
      <c r="I1050" s="49" t="str">
        <f t="shared" ca="1" si="49"/>
        <v/>
      </c>
      <c r="J1050" s="49" t="str">
        <f t="shared" ca="1" si="50"/>
        <v/>
      </c>
      <c r="K1050" s="47"/>
      <c r="L1050" s="50"/>
    </row>
    <row r="1051" spans="1:12" x14ac:dyDescent="0.35">
      <c r="A1051" s="45" t="str">
        <f t="shared" si="48"/>
        <v/>
      </c>
      <c r="B1051" s="46"/>
      <c r="C1051" s="47"/>
      <c r="D1051" s="47" t="str">
        <f>IF(C1051="","",IFERROR(VLOOKUP(C1051,'Food Catalog'!$A:$B,2,0),"Unknown"))</f>
        <v/>
      </c>
      <c r="E1051" s="47" t="str">
        <f>IF(C1051="","",IFERROR(VLOOKUP(C1051,'Food Catalog'!$A:$C,3,0),""))</f>
        <v/>
      </c>
      <c r="F1051" s="47" t="str">
        <f>IF(C1051="","",IFERROR(VLOOKUP(C1051,'Food Catalog'!$A:$D,4,0),""))</f>
        <v/>
      </c>
      <c r="G1051" s="48"/>
      <c r="H1051" s="67"/>
      <c r="I1051" s="49" t="str">
        <f t="shared" ca="1" si="49"/>
        <v/>
      </c>
      <c r="J1051" s="49" t="str">
        <f t="shared" ca="1" si="50"/>
        <v/>
      </c>
      <c r="K1051" s="47"/>
      <c r="L1051" s="50"/>
    </row>
    <row r="1052" spans="1:12" x14ac:dyDescent="0.35">
      <c r="A1052" s="45" t="str">
        <f t="shared" si="48"/>
        <v/>
      </c>
      <c r="B1052" s="46"/>
      <c r="C1052" s="47"/>
      <c r="D1052" s="47" t="str">
        <f>IF(C1052="","",IFERROR(VLOOKUP(C1052,'Food Catalog'!$A:$B,2,0),"Unknown"))</f>
        <v/>
      </c>
      <c r="E1052" s="47" t="str">
        <f>IF(C1052="","",IFERROR(VLOOKUP(C1052,'Food Catalog'!$A:$C,3,0),""))</f>
        <v/>
      </c>
      <c r="F1052" s="47" t="str">
        <f>IF(C1052="","",IFERROR(VLOOKUP(C1052,'Food Catalog'!$A:$D,4,0),""))</f>
        <v/>
      </c>
      <c r="G1052" s="48"/>
      <c r="H1052" s="67"/>
      <c r="I1052" s="49" t="str">
        <f t="shared" ca="1" si="49"/>
        <v/>
      </c>
      <c r="J1052" s="49" t="str">
        <f t="shared" ca="1" si="50"/>
        <v/>
      </c>
      <c r="K1052" s="47"/>
      <c r="L1052" s="50"/>
    </row>
    <row r="1053" spans="1:12" x14ac:dyDescent="0.35">
      <c r="A1053" s="45" t="str">
        <f t="shared" si="48"/>
        <v/>
      </c>
      <c r="B1053" s="46"/>
      <c r="C1053" s="47"/>
      <c r="D1053" s="47" t="str">
        <f>IF(C1053="","",IFERROR(VLOOKUP(C1053,'Food Catalog'!$A:$B,2,0),"Unknown"))</f>
        <v/>
      </c>
      <c r="E1053" s="47" t="str">
        <f>IF(C1053="","",IFERROR(VLOOKUP(C1053,'Food Catalog'!$A:$C,3,0),""))</f>
        <v/>
      </c>
      <c r="F1053" s="47" t="str">
        <f>IF(C1053="","",IFERROR(VLOOKUP(C1053,'Food Catalog'!$A:$D,4,0),""))</f>
        <v/>
      </c>
      <c r="G1053" s="48"/>
      <c r="H1053" s="67"/>
      <c r="I1053" s="49" t="str">
        <f t="shared" ca="1" si="49"/>
        <v/>
      </c>
      <c r="J1053" s="49" t="str">
        <f t="shared" ca="1" si="50"/>
        <v/>
      </c>
      <c r="K1053" s="47"/>
      <c r="L1053" s="50"/>
    </row>
    <row r="1054" spans="1:12" x14ac:dyDescent="0.35">
      <c r="A1054" s="45" t="str">
        <f t="shared" si="48"/>
        <v/>
      </c>
      <c r="B1054" s="46"/>
      <c r="C1054" s="47"/>
      <c r="D1054" s="47" t="str">
        <f>IF(C1054="","",IFERROR(VLOOKUP(C1054,'Food Catalog'!$A:$B,2,0),"Unknown"))</f>
        <v/>
      </c>
      <c r="E1054" s="47" t="str">
        <f>IF(C1054="","",IFERROR(VLOOKUP(C1054,'Food Catalog'!$A:$C,3,0),""))</f>
        <v/>
      </c>
      <c r="F1054" s="47" t="str">
        <f>IF(C1054="","",IFERROR(VLOOKUP(C1054,'Food Catalog'!$A:$D,4,0),""))</f>
        <v/>
      </c>
      <c r="G1054" s="48"/>
      <c r="H1054" s="67"/>
      <c r="I1054" s="49" t="str">
        <f t="shared" ca="1" si="49"/>
        <v/>
      </c>
      <c r="J1054" s="49" t="str">
        <f t="shared" ca="1" si="50"/>
        <v/>
      </c>
      <c r="K1054" s="47"/>
      <c r="L1054" s="50"/>
    </row>
    <row r="1055" spans="1:12" x14ac:dyDescent="0.35">
      <c r="A1055" s="45" t="str">
        <f t="shared" si="48"/>
        <v/>
      </c>
      <c r="B1055" s="46"/>
      <c r="C1055" s="47"/>
      <c r="D1055" s="47" t="str">
        <f>IF(C1055="","",IFERROR(VLOOKUP(C1055,'Food Catalog'!$A:$B,2,0),"Unknown"))</f>
        <v/>
      </c>
      <c r="E1055" s="47" t="str">
        <f>IF(C1055="","",IFERROR(VLOOKUP(C1055,'Food Catalog'!$A:$C,3,0),""))</f>
        <v/>
      </c>
      <c r="F1055" s="47" t="str">
        <f>IF(C1055="","",IFERROR(VLOOKUP(C1055,'Food Catalog'!$A:$D,4,0),""))</f>
        <v/>
      </c>
      <c r="G1055" s="48"/>
      <c r="H1055" s="67"/>
      <c r="I1055" s="49" t="str">
        <f t="shared" ca="1" si="49"/>
        <v/>
      </c>
      <c r="J1055" s="49" t="str">
        <f t="shared" ca="1" si="50"/>
        <v/>
      </c>
      <c r="K1055" s="47"/>
      <c r="L1055" s="50"/>
    </row>
    <row r="1056" spans="1:12" x14ac:dyDescent="0.35">
      <c r="A1056" s="45" t="str">
        <f t="shared" si="48"/>
        <v/>
      </c>
      <c r="B1056" s="46"/>
      <c r="C1056" s="47"/>
      <c r="D1056" s="47" t="str">
        <f>IF(C1056="","",IFERROR(VLOOKUP(C1056,'Food Catalog'!$A:$B,2,0),"Unknown"))</f>
        <v/>
      </c>
      <c r="E1056" s="47" t="str">
        <f>IF(C1056="","",IFERROR(VLOOKUP(C1056,'Food Catalog'!$A:$C,3,0),""))</f>
        <v/>
      </c>
      <c r="F1056" s="47" t="str">
        <f>IF(C1056="","",IFERROR(VLOOKUP(C1056,'Food Catalog'!$A:$D,4,0),""))</f>
        <v/>
      </c>
      <c r="G1056" s="48"/>
      <c r="H1056" s="67"/>
      <c r="I1056" s="49" t="str">
        <f t="shared" ca="1" si="49"/>
        <v/>
      </c>
      <c r="J1056" s="49" t="str">
        <f t="shared" ca="1" si="50"/>
        <v/>
      </c>
      <c r="K1056" s="47"/>
      <c r="L1056" s="50"/>
    </row>
    <row r="1057" spans="1:12" x14ac:dyDescent="0.35">
      <c r="A1057" s="45" t="str">
        <f t="shared" si="48"/>
        <v/>
      </c>
      <c r="B1057" s="46"/>
      <c r="C1057" s="47"/>
      <c r="D1057" s="47" t="str">
        <f>IF(C1057="","",IFERROR(VLOOKUP(C1057,'Food Catalog'!$A:$B,2,0),"Unknown"))</f>
        <v/>
      </c>
      <c r="E1057" s="47" t="str">
        <f>IF(C1057="","",IFERROR(VLOOKUP(C1057,'Food Catalog'!$A:$C,3,0),""))</f>
        <v/>
      </c>
      <c r="F1057" s="47" t="str">
        <f>IF(C1057="","",IFERROR(VLOOKUP(C1057,'Food Catalog'!$A:$D,4,0),""))</f>
        <v/>
      </c>
      <c r="G1057" s="48"/>
      <c r="H1057" s="67"/>
      <c r="I1057" s="49" t="str">
        <f t="shared" ca="1" si="49"/>
        <v/>
      </c>
      <c r="J1057" s="49" t="str">
        <f t="shared" ca="1" si="50"/>
        <v/>
      </c>
      <c r="K1057" s="47"/>
      <c r="L1057" s="50"/>
    </row>
    <row r="1058" spans="1:12" x14ac:dyDescent="0.35">
      <c r="A1058" s="45" t="str">
        <f t="shared" si="48"/>
        <v/>
      </c>
      <c r="B1058" s="46"/>
      <c r="C1058" s="47"/>
      <c r="D1058" s="47" t="str">
        <f>IF(C1058="","",IFERROR(VLOOKUP(C1058,'Food Catalog'!$A:$B,2,0),"Unknown"))</f>
        <v/>
      </c>
      <c r="E1058" s="47" t="str">
        <f>IF(C1058="","",IFERROR(VLOOKUP(C1058,'Food Catalog'!$A:$C,3,0),""))</f>
        <v/>
      </c>
      <c r="F1058" s="47" t="str">
        <f>IF(C1058="","",IFERROR(VLOOKUP(C1058,'Food Catalog'!$A:$D,4,0),""))</f>
        <v/>
      </c>
      <c r="G1058" s="48"/>
      <c r="H1058" s="67"/>
      <c r="I1058" s="49" t="str">
        <f t="shared" ca="1" si="49"/>
        <v/>
      </c>
      <c r="J1058" s="49" t="str">
        <f t="shared" ca="1" si="50"/>
        <v/>
      </c>
      <c r="K1058" s="47"/>
      <c r="L1058" s="50"/>
    </row>
    <row r="1059" spans="1:12" x14ac:dyDescent="0.35">
      <c r="A1059" s="45" t="str">
        <f t="shared" si="48"/>
        <v/>
      </c>
      <c r="B1059" s="46"/>
      <c r="C1059" s="47"/>
      <c r="D1059" s="47" t="str">
        <f>IF(C1059="","",IFERROR(VLOOKUP(C1059,'Food Catalog'!$A:$B,2,0),"Unknown"))</f>
        <v/>
      </c>
      <c r="E1059" s="47" t="str">
        <f>IF(C1059="","",IFERROR(VLOOKUP(C1059,'Food Catalog'!$A:$C,3,0),""))</f>
        <v/>
      </c>
      <c r="F1059" s="47" t="str">
        <f>IF(C1059="","",IFERROR(VLOOKUP(C1059,'Food Catalog'!$A:$D,4,0),""))</f>
        <v/>
      </c>
      <c r="G1059" s="48"/>
      <c r="H1059" s="67"/>
      <c r="I1059" s="49" t="str">
        <f t="shared" ca="1" si="49"/>
        <v/>
      </c>
      <c r="J1059" s="49" t="str">
        <f t="shared" ca="1" si="50"/>
        <v/>
      </c>
      <c r="K1059" s="47"/>
      <c r="L1059" s="50"/>
    </row>
    <row r="1060" spans="1:12" x14ac:dyDescent="0.35">
      <c r="A1060" s="45" t="str">
        <f t="shared" si="48"/>
        <v/>
      </c>
      <c r="B1060" s="46"/>
      <c r="C1060" s="47"/>
      <c r="D1060" s="47" t="str">
        <f>IF(C1060="","",IFERROR(VLOOKUP(C1060,'Food Catalog'!$A:$B,2,0),"Unknown"))</f>
        <v/>
      </c>
      <c r="E1060" s="47" t="str">
        <f>IF(C1060="","",IFERROR(VLOOKUP(C1060,'Food Catalog'!$A:$C,3,0),""))</f>
        <v/>
      </c>
      <c r="F1060" s="47" t="str">
        <f>IF(C1060="","",IFERROR(VLOOKUP(C1060,'Food Catalog'!$A:$D,4,0),""))</f>
        <v/>
      </c>
      <c r="G1060" s="48"/>
      <c r="H1060" s="67"/>
      <c r="I1060" s="49" t="str">
        <f t="shared" ca="1" si="49"/>
        <v/>
      </c>
      <c r="J1060" s="49" t="str">
        <f t="shared" ca="1" si="50"/>
        <v/>
      </c>
      <c r="K1060" s="47"/>
      <c r="L1060" s="50"/>
    </row>
    <row r="1061" spans="1:12" x14ac:dyDescent="0.35">
      <c r="A1061" s="45" t="str">
        <f t="shared" si="48"/>
        <v/>
      </c>
      <c r="B1061" s="46"/>
      <c r="C1061" s="47"/>
      <c r="D1061" s="47" t="str">
        <f>IF(C1061="","",IFERROR(VLOOKUP(C1061,'Food Catalog'!$A:$B,2,0),"Unknown"))</f>
        <v/>
      </c>
      <c r="E1061" s="47" t="str">
        <f>IF(C1061="","",IFERROR(VLOOKUP(C1061,'Food Catalog'!$A:$C,3,0),""))</f>
        <v/>
      </c>
      <c r="F1061" s="47" t="str">
        <f>IF(C1061="","",IFERROR(VLOOKUP(C1061,'Food Catalog'!$A:$D,4,0),""))</f>
        <v/>
      </c>
      <c r="G1061" s="48"/>
      <c r="H1061" s="67"/>
      <c r="I1061" s="49" t="str">
        <f t="shared" ca="1" si="49"/>
        <v/>
      </c>
      <c r="J1061" s="49" t="str">
        <f t="shared" ca="1" si="50"/>
        <v/>
      </c>
      <c r="K1061" s="47"/>
      <c r="L1061" s="50"/>
    </row>
    <row r="1062" spans="1:12" x14ac:dyDescent="0.35">
      <c r="A1062" s="45" t="str">
        <f t="shared" si="48"/>
        <v/>
      </c>
      <c r="B1062" s="46"/>
      <c r="C1062" s="47"/>
      <c r="D1062" s="47" t="str">
        <f>IF(C1062="","",IFERROR(VLOOKUP(C1062,'Food Catalog'!$A:$B,2,0),"Unknown"))</f>
        <v/>
      </c>
      <c r="E1062" s="47" t="str">
        <f>IF(C1062="","",IFERROR(VLOOKUP(C1062,'Food Catalog'!$A:$C,3,0),""))</f>
        <v/>
      </c>
      <c r="F1062" s="47" t="str">
        <f>IF(C1062="","",IFERROR(VLOOKUP(C1062,'Food Catalog'!$A:$D,4,0),""))</f>
        <v/>
      </c>
      <c r="G1062" s="48"/>
      <c r="H1062" s="67"/>
      <c r="I1062" s="49" t="str">
        <f t="shared" ca="1" si="49"/>
        <v/>
      </c>
      <c r="J1062" s="49" t="str">
        <f t="shared" ca="1" si="50"/>
        <v/>
      </c>
      <c r="K1062" s="47"/>
      <c r="L1062" s="50"/>
    </row>
    <row r="1063" spans="1:12" x14ac:dyDescent="0.35">
      <c r="A1063" s="45" t="str">
        <f t="shared" si="48"/>
        <v/>
      </c>
      <c r="B1063" s="46"/>
      <c r="C1063" s="47"/>
      <c r="D1063" s="47" t="str">
        <f>IF(C1063="","",IFERROR(VLOOKUP(C1063,'Food Catalog'!$A:$B,2,0),"Unknown"))</f>
        <v/>
      </c>
      <c r="E1063" s="47" t="str">
        <f>IF(C1063="","",IFERROR(VLOOKUP(C1063,'Food Catalog'!$A:$C,3,0),""))</f>
        <v/>
      </c>
      <c r="F1063" s="47" t="str">
        <f>IF(C1063="","",IFERROR(VLOOKUP(C1063,'Food Catalog'!$A:$D,4,0),""))</f>
        <v/>
      </c>
      <c r="G1063" s="48"/>
      <c r="H1063" s="67"/>
      <c r="I1063" s="49" t="str">
        <f t="shared" ca="1" si="49"/>
        <v/>
      </c>
      <c r="J1063" s="49" t="str">
        <f t="shared" ca="1" si="50"/>
        <v/>
      </c>
      <c r="K1063" s="47"/>
      <c r="L1063" s="50"/>
    </row>
    <row r="1064" spans="1:12" x14ac:dyDescent="0.35">
      <c r="A1064" s="45" t="str">
        <f t="shared" si="48"/>
        <v/>
      </c>
      <c r="B1064" s="46"/>
      <c r="C1064" s="47"/>
      <c r="D1064" s="47" t="str">
        <f>IF(C1064="","",IFERROR(VLOOKUP(C1064,'Food Catalog'!$A:$B,2,0),"Unknown"))</f>
        <v/>
      </c>
      <c r="E1064" s="47" t="str">
        <f>IF(C1064="","",IFERROR(VLOOKUP(C1064,'Food Catalog'!$A:$C,3,0),""))</f>
        <v/>
      </c>
      <c r="F1064" s="47" t="str">
        <f>IF(C1064="","",IFERROR(VLOOKUP(C1064,'Food Catalog'!$A:$D,4,0),""))</f>
        <v/>
      </c>
      <c r="G1064" s="48"/>
      <c r="H1064" s="67"/>
      <c r="I1064" s="49" t="str">
        <f t="shared" ca="1" si="49"/>
        <v/>
      </c>
      <c r="J1064" s="49" t="str">
        <f t="shared" ca="1" si="50"/>
        <v/>
      </c>
      <c r="K1064" s="47"/>
      <c r="L1064" s="50"/>
    </row>
    <row r="1065" spans="1:12" x14ac:dyDescent="0.35">
      <c r="A1065" s="45" t="str">
        <f t="shared" si="48"/>
        <v/>
      </c>
      <c r="B1065" s="46"/>
      <c r="C1065" s="47"/>
      <c r="D1065" s="47" t="str">
        <f>IF(C1065="","",IFERROR(VLOOKUP(C1065,'Food Catalog'!$A:$B,2,0),"Unknown"))</f>
        <v/>
      </c>
      <c r="E1065" s="47" t="str">
        <f>IF(C1065="","",IFERROR(VLOOKUP(C1065,'Food Catalog'!$A:$C,3,0),""))</f>
        <v/>
      </c>
      <c r="F1065" s="47" t="str">
        <f>IF(C1065="","",IFERROR(VLOOKUP(C1065,'Food Catalog'!$A:$D,4,0),""))</f>
        <v/>
      </c>
      <c r="G1065" s="48"/>
      <c r="H1065" s="67"/>
      <c r="I1065" s="49" t="str">
        <f t="shared" ca="1" si="49"/>
        <v/>
      </c>
      <c r="J1065" s="49" t="str">
        <f t="shared" ca="1" si="50"/>
        <v/>
      </c>
      <c r="K1065" s="47"/>
      <c r="L1065" s="50"/>
    </row>
    <row r="1066" spans="1:12" x14ac:dyDescent="0.35">
      <c r="A1066" s="45" t="str">
        <f t="shared" si="48"/>
        <v/>
      </c>
      <c r="B1066" s="46"/>
      <c r="C1066" s="47"/>
      <c r="D1066" s="47" t="str">
        <f>IF(C1066="","",IFERROR(VLOOKUP(C1066,'Food Catalog'!$A:$B,2,0),"Unknown"))</f>
        <v/>
      </c>
      <c r="E1066" s="47" t="str">
        <f>IF(C1066="","",IFERROR(VLOOKUP(C1066,'Food Catalog'!$A:$C,3,0),""))</f>
        <v/>
      </c>
      <c r="F1066" s="47" t="str">
        <f>IF(C1066="","",IFERROR(VLOOKUP(C1066,'Food Catalog'!$A:$D,4,0),""))</f>
        <v/>
      </c>
      <c r="G1066" s="48"/>
      <c r="H1066" s="67"/>
      <c r="I1066" s="49" t="str">
        <f t="shared" ca="1" si="49"/>
        <v/>
      </c>
      <c r="J1066" s="49" t="str">
        <f t="shared" ca="1" si="50"/>
        <v/>
      </c>
      <c r="K1066" s="47"/>
      <c r="L1066" s="50"/>
    </row>
    <row r="1067" spans="1:12" x14ac:dyDescent="0.35">
      <c r="A1067" s="45" t="str">
        <f t="shared" si="48"/>
        <v/>
      </c>
      <c r="B1067" s="46"/>
      <c r="C1067" s="47"/>
      <c r="D1067" s="47" t="str">
        <f>IF(C1067="","",IFERROR(VLOOKUP(C1067,'Food Catalog'!$A:$B,2,0),"Unknown"))</f>
        <v/>
      </c>
      <c r="E1067" s="47" t="str">
        <f>IF(C1067="","",IFERROR(VLOOKUP(C1067,'Food Catalog'!$A:$C,3,0),""))</f>
        <v/>
      </c>
      <c r="F1067" s="47" t="str">
        <f>IF(C1067="","",IFERROR(VLOOKUP(C1067,'Food Catalog'!$A:$D,4,0),""))</f>
        <v/>
      </c>
      <c r="G1067" s="48"/>
      <c r="H1067" s="67"/>
      <c r="I1067" s="49" t="str">
        <f t="shared" ca="1" si="49"/>
        <v/>
      </c>
      <c r="J1067" s="49" t="str">
        <f t="shared" ca="1" si="50"/>
        <v/>
      </c>
      <c r="K1067" s="47"/>
      <c r="L1067" s="50"/>
    </row>
    <row r="1068" spans="1:12" x14ac:dyDescent="0.35">
      <c r="A1068" s="45" t="str">
        <f t="shared" si="48"/>
        <v/>
      </c>
      <c r="B1068" s="46"/>
      <c r="C1068" s="47"/>
      <c r="D1068" s="47" t="str">
        <f>IF(C1068="","",IFERROR(VLOOKUP(C1068,'Food Catalog'!$A:$B,2,0),"Unknown"))</f>
        <v/>
      </c>
      <c r="E1068" s="47" t="str">
        <f>IF(C1068="","",IFERROR(VLOOKUP(C1068,'Food Catalog'!$A:$C,3,0),""))</f>
        <v/>
      </c>
      <c r="F1068" s="47" t="str">
        <f>IF(C1068="","",IFERROR(VLOOKUP(C1068,'Food Catalog'!$A:$D,4,0),""))</f>
        <v/>
      </c>
      <c r="G1068" s="48"/>
      <c r="H1068" s="67"/>
      <c r="I1068" s="49" t="str">
        <f t="shared" ca="1" si="49"/>
        <v/>
      </c>
      <c r="J1068" s="49" t="str">
        <f t="shared" ca="1" si="50"/>
        <v/>
      </c>
      <c r="K1068" s="47"/>
      <c r="L1068" s="50"/>
    </row>
    <row r="1069" spans="1:12" x14ac:dyDescent="0.35">
      <c r="A1069" s="45" t="str">
        <f t="shared" si="48"/>
        <v/>
      </c>
      <c r="B1069" s="46"/>
      <c r="C1069" s="47"/>
      <c r="D1069" s="47" t="str">
        <f>IF(C1069="","",IFERROR(VLOOKUP(C1069,'Food Catalog'!$A:$B,2,0),"Unknown"))</f>
        <v/>
      </c>
      <c r="E1069" s="47" t="str">
        <f>IF(C1069="","",IFERROR(VLOOKUP(C1069,'Food Catalog'!$A:$C,3,0),""))</f>
        <v/>
      </c>
      <c r="F1069" s="47" t="str">
        <f>IF(C1069="","",IFERROR(VLOOKUP(C1069,'Food Catalog'!$A:$D,4,0),""))</f>
        <v/>
      </c>
      <c r="G1069" s="48"/>
      <c r="H1069" s="67"/>
      <c r="I1069" s="49" t="str">
        <f t="shared" ca="1" si="49"/>
        <v/>
      </c>
      <c r="J1069" s="49" t="str">
        <f t="shared" ca="1" si="50"/>
        <v/>
      </c>
      <c r="K1069" s="47"/>
      <c r="L1069" s="50"/>
    </row>
    <row r="1070" spans="1:12" x14ac:dyDescent="0.35">
      <c r="A1070" s="45" t="str">
        <f t="shared" si="48"/>
        <v/>
      </c>
      <c r="B1070" s="46"/>
      <c r="C1070" s="47"/>
      <c r="D1070" s="47" t="str">
        <f>IF(C1070="","",IFERROR(VLOOKUP(C1070,'Food Catalog'!$A:$B,2,0),"Unknown"))</f>
        <v/>
      </c>
      <c r="E1070" s="47" t="str">
        <f>IF(C1070="","",IFERROR(VLOOKUP(C1070,'Food Catalog'!$A:$C,3,0),""))</f>
        <v/>
      </c>
      <c r="F1070" s="47" t="str">
        <f>IF(C1070="","",IFERROR(VLOOKUP(C1070,'Food Catalog'!$A:$D,4,0),""))</f>
        <v/>
      </c>
      <c r="G1070" s="48"/>
      <c r="H1070" s="67"/>
      <c r="I1070" s="49" t="str">
        <f t="shared" ca="1" si="49"/>
        <v/>
      </c>
      <c r="J1070" s="49" t="str">
        <f t="shared" ca="1" si="50"/>
        <v/>
      </c>
      <c r="K1070" s="47"/>
      <c r="L1070" s="50"/>
    </row>
    <row r="1071" spans="1:12" x14ac:dyDescent="0.35">
      <c r="A1071" s="45" t="str">
        <f t="shared" si="48"/>
        <v/>
      </c>
      <c r="B1071" s="46"/>
      <c r="C1071" s="47"/>
      <c r="D1071" s="47" t="str">
        <f>IF(C1071="","",IFERROR(VLOOKUP(C1071,'Food Catalog'!$A:$B,2,0),"Unknown"))</f>
        <v/>
      </c>
      <c r="E1071" s="47" t="str">
        <f>IF(C1071="","",IFERROR(VLOOKUP(C1071,'Food Catalog'!$A:$C,3,0),""))</f>
        <v/>
      </c>
      <c r="F1071" s="47" t="str">
        <f>IF(C1071="","",IFERROR(VLOOKUP(C1071,'Food Catalog'!$A:$D,4,0),""))</f>
        <v/>
      </c>
      <c r="G1071" s="48"/>
      <c r="H1071" s="67"/>
      <c r="I1071" s="49" t="str">
        <f t="shared" ca="1" si="49"/>
        <v/>
      </c>
      <c r="J1071" s="49" t="str">
        <f t="shared" ca="1" si="50"/>
        <v/>
      </c>
      <c r="K1071" s="47"/>
      <c r="L1071" s="50"/>
    </row>
    <row r="1072" spans="1:12" x14ac:dyDescent="0.35">
      <c r="A1072" s="45" t="str">
        <f t="shared" si="48"/>
        <v/>
      </c>
      <c r="B1072" s="46"/>
      <c r="C1072" s="47"/>
      <c r="D1072" s="47" t="str">
        <f>IF(C1072="","",IFERROR(VLOOKUP(C1072,'Food Catalog'!$A:$B,2,0),"Unknown"))</f>
        <v/>
      </c>
      <c r="E1072" s="47" t="str">
        <f>IF(C1072="","",IFERROR(VLOOKUP(C1072,'Food Catalog'!$A:$C,3,0),""))</f>
        <v/>
      </c>
      <c r="F1072" s="47" t="str">
        <f>IF(C1072="","",IFERROR(VLOOKUP(C1072,'Food Catalog'!$A:$D,4,0),""))</f>
        <v/>
      </c>
      <c r="G1072" s="48"/>
      <c r="H1072" s="67"/>
      <c r="I1072" s="49" t="str">
        <f t="shared" ca="1" si="49"/>
        <v/>
      </c>
      <c r="J1072" s="49" t="str">
        <f t="shared" ca="1" si="50"/>
        <v/>
      </c>
      <c r="K1072" s="47"/>
      <c r="L1072" s="50"/>
    </row>
    <row r="1073" spans="1:12" x14ac:dyDescent="0.35">
      <c r="A1073" s="45" t="str">
        <f t="shared" si="48"/>
        <v/>
      </c>
      <c r="B1073" s="46"/>
      <c r="C1073" s="47"/>
      <c r="D1073" s="47" t="str">
        <f>IF(C1073="","",IFERROR(VLOOKUP(C1073,'Food Catalog'!$A:$B,2,0),"Unknown"))</f>
        <v/>
      </c>
      <c r="E1073" s="47" t="str">
        <f>IF(C1073="","",IFERROR(VLOOKUP(C1073,'Food Catalog'!$A:$C,3,0),""))</f>
        <v/>
      </c>
      <c r="F1073" s="47" t="str">
        <f>IF(C1073="","",IFERROR(VLOOKUP(C1073,'Food Catalog'!$A:$D,4,0),""))</f>
        <v/>
      </c>
      <c r="G1073" s="48"/>
      <c r="H1073" s="67"/>
      <c r="I1073" s="49" t="str">
        <f t="shared" ca="1" si="49"/>
        <v/>
      </c>
      <c r="J1073" s="49" t="str">
        <f t="shared" ca="1" si="50"/>
        <v/>
      </c>
      <c r="K1073" s="47"/>
      <c r="L1073" s="50"/>
    </row>
    <row r="1074" spans="1:12" x14ac:dyDescent="0.35">
      <c r="A1074" s="45" t="str">
        <f t="shared" si="48"/>
        <v/>
      </c>
      <c r="B1074" s="46"/>
      <c r="C1074" s="47"/>
      <c r="D1074" s="47" t="str">
        <f>IF(C1074="","",IFERROR(VLOOKUP(C1074,'Food Catalog'!$A:$B,2,0),"Unknown"))</f>
        <v/>
      </c>
      <c r="E1074" s="47" t="str">
        <f>IF(C1074="","",IFERROR(VLOOKUP(C1074,'Food Catalog'!$A:$C,3,0),""))</f>
        <v/>
      </c>
      <c r="F1074" s="47" t="str">
        <f>IF(C1074="","",IFERROR(VLOOKUP(C1074,'Food Catalog'!$A:$D,4,0),""))</f>
        <v/>
      </c>
      <c r="G1074" s="48"/>
      <c r="H1074" s="67"/>
      <c r="I1074" s="49" t="str">
        <f t="shared" ca="1" si="49"/>
        <v/>
      </c>
      <c r="J1074" s="49" t="str">
        <f t="shared" ca="1" si="50"/>
        <v/>
      </c>
      <c r="K1074" s="47"/>
      <c r="L1074" s="50"/>
    </row>
    <row r="1075" spans="1:12" x14ac:dyDescent="0.35">
      <c r="A1075" s="45" t="str">
        <f t="shared" si="48"/>
        <v/>
      </c>
      <c r="B1075" s="46"/>
      <c r="C1075" s="47"/>
      <c r="D1075" s="47" t="str">
        <f>IF(C1075="","",IFERROR(VLOOKUP(C1075,'Food Catalog'!$A:$B,2,0),"Unknown"))</f>
        <v/>
      </c>
      <c r="E1075" s="47" t="str">
        <f>IF(C1075="","",IFERROR(VLOOKUP(C1075,'Food Catalog'!$A:$C,3,0),""))</f>
        <v/>
      </c>
      <c r="F1075" s="47" t="str">
        <f>IF(C1075="","",IFERROR(VLOOKUP(C1075,'Food Catalog'!$A:$D,4,0),""))</f>
        <v/>
      </c>
      <c r="G1075" s="48"/>
      <c r="H1075" s="67"/>
      <c r="I1075" s="49" t="str">
        <f t="shared" ca="1" si="49"/>
        <v/>
      </c>
      <c r="J1075" s="49" t="str">
        <f t="shared" ca="1" si="50"/>
        <v/>
      </c>
      <c r="K1075" s="47"/>
      <c r="L1075" s="50"/>
    </row>
    <row r="1076" spans="1:12" x14ac:dyDescent="0.35">
      <c r="A1076" s="45" t="str">
        <f t="shared" si="48"/>
        <v/>
      </c>
      <c r="B1076" s="46"/>
      <c r="C1076" s="47"/>
      <c r="D1076" s="47" t="str">
        <f>IF(C1076="","",IFERROR(VLOOKUP(C1076,'Food Catalog'!$A:$B,2,0),"Unknown"))</f>
        <v/>
      </c>
      <c r="E1076" s="47" t="str">
        <f>IF(C1076="","",IFERROR(VLOOKUP(C1076,'Food Catalog'!$A:$C,3,0),""))</f>
        <v/>
      </c>
      <c r="F1076" s="47" t="str">
        <f>IF(C1076="","",IFERROR(VLOOKUP(C1076,'Food Catalog'!$A:$D,4,0),""))</f>
        <v/>
      </c>
      <c r="G1076" s="48"/>
      <c r="H1076" s="67"/>
      <c r="I1076" s="49" t="str">
        <f t="shared" ca="1" si="49"/>
        <v/>
      </c>
      <c r="J1076" s="49" t="str">
        <f t="shared" ca="1" si="50"/>
        <v/>
      </c>
      <c r="K1076" s="47"/>
      <c r="L1076" s="50"/>
    </row>
    <row r="1077" spans="1:12" x14ac:dyDescent="0.35">
      <c r="A1077" s="45" t="str">
        <f t="shared" si="48"/>
        <v/>
      </c>
      <c r="B1077" s="46"/>
      <c r="C1077" s="47"/>
      <c r="D1077" s="47" t="str">
        <f>IF(C1077="","",IFERROR(VLOOKUP(C1077,'Food Catalog'!$A:$B,2,0),"Unknown"))</f>
        <v/>
      </c>
      <c r="E1077" s="47" t="str">
        <f>IF(C1077="","",IFERROR(VLOOKUP(C1077,'Food Catalog'!$A:$C,3,0),""))</f>
        <v/>
      </c>
      <c r="F1077" s="47" t="str">
        <f>IF(C1077="","",IFERROR(VLOOKUP(C1077,'Food Catalog'!$A:$D,4,0),""))</f>
        <v/>
      </c>
      <c r="G1077" s="48"/>
      <c r="H1077" s="67"/>
      <c r="I1077" s="49" t="str">
        <f t="shared" ca="1" si="49"/>
        <v/>
      </c>
      <c r="J1077" s="49" t="str">
        <f t="shared" ca="1" si="50"/>
        <v/>
      </c>
      <c r="K1077" s="47"/>
      <c r="L1077" s="50"/>
    </row>
    <row r="1078" spans="1:12" x14ac:dyDescent="0.35">
      <c r="A1078" s="45" t="str">
        <f t="shared" si="48"/>
        <v/>
      </c>
      <c r="B1078" s="46"/>
      <c r="C1078" s="47"/>
      <c r="D1078" s="47" t="str">
        <f>IF(C1078="","",IFERROR(VLOOKUP(C1078,'Food Catalog'!$A:$B,2,0),"Unknown"))</f>
        <v/>
      </c>
      <c r="E1078" s="47" t="str">
        <f>IF(C1078="","",IFERROR(VLOOKUP(C1078,'Food Catalog'!$A:$C,3,0),""))</f>
        <v/>
      </c>
      <c r="F1078" s="47" t="str">
        <f>IF(C1078="","",IFERROR(VLOOKUP(C1078,'Food Catalog'!$A:$D,4,0),""))</f>
        <v/>
      </c>
      <c r="G1078" s="48"/>
      <c r="H1078" s="67"/>
      <c r="I1078" s="49" t="str">
        <f t="shared" ca="1" si="49"/>
        <v/>
      </c>
      <c r="J1078" s="49" t="str">
        <f t="shared" ca="1" si="50"/>
        <v/>
      </c>
      <c r="K1078" s="47"/>
      <c r="L1078" s="50"/>
    </row>
    <row r="1079" spans="1:12" x14ac:dyDescent="0.35">
      <c r="A1079" s="45" t="str">
        <f t="shared" si="48"/>
        <v/>
      </c>
      <c r="B1079" s="46"/>
      <c r="C1079" s="47"/>
      <c r="D1079" s="47" t="str">
        <f>IF(C1079="","",IFERROR(VLOOKUP(C1079,'Food Catalog'!$A:$B,2,0),"Unknown"))</f>
        <v/>
      </c>
      <c r="E1079" s="47" t="str">
        <f>IF(C1079="","",IFERROR(VLOOKUP(C1079,'Food Catalog'!$A:$C,3,0),""))</f>
        <v/>
      </c>
      <c r="F1079" s="47" t="str">
        <f>IF(C1079="","",IFERROR(VLOOKUP(C1079,'Food Catalog'!$A:$D,4,0),""))</f>
        <v/>
      </c>
      <c r="G1079" s="48"/>
      <c r="H1079" s="67"/>
      <c r="I1079" s="49" t="str">
        <f t="shared" ca="1" si="49"/>
        <v/>
      </c>
      <c r="J1079" s="49" t="str">
        <f t="shared" ca="1" si="50"/>
        <v/>
      </c>
      <c r="K1079" s="47"/>
      <c r="L1079" s="50"/>
    </row>
    <row r="1080" spans="1:12" x14ac:dyDescent="0.35">
      <c r="A1080" s="45" t="str">
        <f t="shared" si="48"/>
        <v/>
      </c>
      <c r="B1080" s="46"/>
      <c r="C1080" s="47"/>
      <c r="D1080" s="47" t="str">
        <f>IF(C1080="","",IFERROR(VLOOKUP(C1080,'Food Catalog'!$A:$B,2,0),"Unknown"))</f>
        <v/>
      </c>
      <c r="E1080" s="47" t="str">
        <f>IF(C1080="","",IFERROR(VLOOKUP(C1080,'Food Catalog'!$A:$C,3,0),""))</f>
        <v/>
      </c>
      <c r="F1080" s="47" t="str">
        <f>IF(C1080="","",IFERROR(VLOOKUP(C1080,'Food Catalog'!$A:$D,4,0),""))</f>
        <v/>
      </c>
      <c r="G1080" s="48"/>
      <c r="H1080" s="67"/>
      <c r="I1080" s="49" t="str">
        <f t="shared" ca="1" si="49"/>
        <v/>
      </c>
      <c r="J1080" s="49" t="str">
        <f t="shared" ca="1" si="50"/>
        <v/>
      </c>
      <c r="K1080" s="47"/>
      <c r="L1080" s="50"/>
    </row>
    <row r="1081" spans="1:12" x14ac:dyDescent="0.35">
      <c r="A1081" s="45" t="str">
        <f t="shared" si="48"/>
        <v/>
      </c>
      <c r="B1081" s="46"/>
      <c r="C1081" s="47"/>
      <c r="D1081" s="47" t="str">
        <f>IF(C1081="","",IFERROR(VLOOKUP(C1081,'Food Catalog'!$A:$B,2,0),"Unknown"))</f>
        <v/>
      </c>
      <c r="E1081" s="47" t="str">
        <f>IF(C1081="","",IFERROR(VLOOKUP(C1081,'Food Catalog'!$A:$C,3,0),""))</f>
        <v/>
      </c>
      <c r="F1081" s="47" t="str">
        <f>IF(C1081="","",IFERROR(VLOOKUP(C1081,'Food Catalog'!$A:$D,4,0),""))</f>
        <v/>
      </c>
      <c r="G1081" s="48"/>
      <c r="H1081" s="67"/>
      <c r="I1081" s="49" t="str">
        <f t="shared" ca="1" si="49"/>
        <v/>
      </c>
      <c r="J1081" s="49" t="str">
        <f t="shared" ca="1" si="50"/>
        <v/>
      </c>
      <c r="K1081" s="47"/>
      <c r="L1081" s="50"/>
    </row>
    <row r="1082" spans="1:12" x14ac:dyDescent="0.35">
      <c r="A1082" s="45" t="str">
        <f t="shared" si="48"/>
        <v/>
      </c>
      <c r="B1082" s="46"/>
      <c r="C1082" s="47"/>
      <c r="D1082" s="47" t="str">
        <f>IF(C1082="","",IFERROR(VLOOKUP(C1082,'Food Catalog'!$A:$B,2,0),"Unknown"))</f>
        <v/>
      </c>
      <c r="E1082" s="47" t="str">
        <f>IF(C1082="","",IFERROR(VLOOKUP(C1082,'Food Catalog'!$A:$C,3,0),""))</f>
        <v/>
      </c>
      <c r="F1082" s="47" t="str">
        <f>IF(C1082="","",IFERROR(VLOOKUP(C1082,'Food Catalog'!$A:$D,4,0),""))</f>
        <v/>
      </c>
      <c r="G1082" s="48"/>
      <c r="H1082" s="67"/>
      <c r="I1082" s="49" t="str">
        <f t="shared" ca="1" si="49"/>
        <v/>
      </c>
      <c r="J1082" s="49" t="str">
        <f t="shared" ca="1" si="50"/>
        <v/>
      </c>
      <c r="K1082" s="47"/>
      <c r="L1082" s="50"/>
    </row>
    <row r="1083" spans="1:12" x14ac:dyDescent="0.35">
      <c r="A1083" s="45" t="str">
        <f t="shared" si="48"/>
        <v/>
      </c>
      <c r="B1083" s="46"/>
      <c r="C1083" s="47"/>
      <c r="D1083" s="47" t="str">
        <f>IF(C1083="","",IFERROR(VLOOKUP(C1083,'Food Catalog'!$A:$B,2,0),"Unknown"))</f>
        <v/>
      </c>
      <c r="E1083" s="47" t="str">
        <f>IF(C1083="","",IFERROR(VLOOKUP(C1083,'Food Catalog'!$A:$C,3,0),""))</f>
        <v/>
      </c>
      <c r="F1083" s="47" t="str">
        <f>IF(C1083="","",IFERROR(VLOOKUP(C1083,'Food Catalog'!$A:$D,4,0),""))</f>
        <v/>
      </c>
      <c r="G1083" s="48"/>
      <c r="H1083" s="67"/>
      <c r="I1083" s="49" t="str">
        <f t="shared" ca="1" si="49"/>
        <v/>
      </c>
      <c r="J1083" s="49" t="str">
        <f t="shared" ca="1" si="50"/>
        <v/>
      </c>
      <c r="K1083" s="47"/>
      <c r="L1083" s="50"/>
    </row>
    <row r="1084" spans="1:12" x14ac:dyDescent="0.35">
      <c r="A1084" s="45" t="str">
        <f t="shared" si="48"/>
        <v/>
      </c>
      <c r="B1084" s="46"/>
      <c r="C1084" s="47"/>
      <c r="D1084" s="47" t="str">
        <f>IF(C1084="","",IFERROR(VLOOKUP(C1084,'Food Catalog'!$A:$B,2,0),"Unknown"))</f>
        <v/>
      </c>
      <c r="E1084" s="47" t="str">
        <f>IF(C1084="","",IFERROR(VLOOKUP(C1084,'Food Catalog'!$A:$C,3,0),""))</f>
        <v/>
      </c>
      <c r="F1084" s="47" t="str">
        <f>IF(C1084="","",IFERROR(VLOOKUP(C1084,'Food Catalog'!$A:$D,4,0),""))</f>
        <v/>
      </c>
      <c r="G1084" s="48"/>
      <c r="H1084" s="67"/>
      <c r="I1084" s="49" t="str">
        <f t="shared" ca="1" si="49"/>
        <v/>
      </c>
      <c r="J1084" s="49" t="str">
        <f t="shared" ca="1" si="50"/>
        <v/>
      </c>
      <c r="K1084" s="47"/>
      <c r="L1084" s="50"/>
    </row>
    <row r="1085" spans="1:12" x14ac:dyDescent="0.35">
      <c r="A1085" s="45" t="str">
        <f t="shared" si="48"/>
        <v/>
      </c>
      <c r="B1085" s="46"/>
      <c r="C1085" s="47"/>
      <c r="D1085" s="47" t="str">
        <f>IF(C1085="","",IFERROR(VLOOKUP(C1085,'Food Catalog'!$A:$B,2,0),"Unknown"))</f>
        <v/>
      </c>
      <c r="E1085" s="47" t="str">
        <f>IF(C1085="","",IFERROR(VLOOKUP(C1085,'Food Catalog'!$A:$C,3,0),""))</f>
        <v/>
      </c>
      <c r="F1085" s="47" t="str">
        <f>IF(C1085="","",IFERROR(VLOOKUP(C1085,'Food Catalog'!$A:$D,4,0),""))</f>
        <v/>
      </c>
      <c r="G1085" s="48"/>
      <c r="H1085" s="67"/>
      <c r="I1085" s="49" t="str">
        <f t="shared" ca="1" si="49"/>
        <v/>
      </c>
      <c r="J1085" s="49" t="str">
        <f t="shared" ca="1" si="50"/>
        <v/>
      </c>
      <c r="K1085" s="47"/>
      <c r="L1085" s="50"/>
    </row>
    <row r="1086" spans="1:12" x14ac:dyDescent="0.35">
      <c r="A1086" s="45" t="str">
        <f t="shared" si="48"/>
        <v/>
      </c>
      <c r="B1086" s="46"/>
      <c r="C1086" s="47"/>
      <c r="D1086" s="47" t="str">
        <f>IF(C1086="","",IFERROR(VLOOKUP(C1086,'Food Catalog'!$A:$B,2,0),"Unknown"))</f>
        <v/>
      </c>
      <c r="E1086" s="47" t="str">
        <f>IF(C1086="","",IFERROR(VLOOKUP(C1086,'Food Catalog'!$A:$C,3,0),""))</f>
        <v/>
      </c>
      <c r="F1086" s="47" t="str">
        <f>IF(C1086="","",IFERROR(VLOOKUP(C1086,'Food Catalog'!$A:$D,4,0),""))</f>
        <v/>
      </c>
      <c r="G1086" s="48"/>
      <c r="H1086" s="67"/>
      <c r="I1086" s="49" t="str">
        <f t="shared" ca="1" si="49"/>
        <v/>
      </c>
      <c r="J1086" s="49" t="str">
        <f t="shared" ca="1" si="50"/>
        <v/>
      </c>
      <c r="K1086" s="47"/>
      <c r="L1086" s="50"/>
    </row>
    <row r="1087" spans="1:12" x14ac:dyDescent="0.35">
      <c r="A1087" s="45" t="str">
        <f t="shared" si="48"/>
        <v/>
      </c>
      <c r="B1087" s="46"/>
      <c r="C1087" s="47"/>
      <c r="D1087" s="47" t="str">
        <f>IF(C1087="","",IFERROR(VLOOKUP(C1087,'Food Catalog'!$A:$B,2,0),"Unknown"))</f>
        <v/>
      </c>
      <c r="E1087" s="47" t="str">
        <f>IF(C1087="","",IFERROR(VLOOKUP(C1087,'Food Catalog'!$A:$C,3,0),""))</f>
        <v/>
      </c>
      <c r="F1087" s="47" t="str">
        <f>IF(C1087="","",IFERROR(VLOOKUP(C1087,'Food Catalog'!$A:$D,4,0),""))</f>
        <v/>
      </c>
      <c r="G1087" s="48"/>
      <c r="H1087" s="67"/>
      <c r="I1087" s="49" t="str">
        <f t="shared" ca="1" si="49"/>
        <v/>
      </c>
      <c r="J1087" s="49" t="str">
        <f t="shared" ca="1" si="50"/>
        <v/>
      </c>
      <c r="K1087" s="47"/>
      <c r="L1087" s="50"/>
    </row>
    <row r="1088" spans="1:12" x14ac:dyDescent="0.35">
      <c r="A1088" s="45" t="str">
        <f t="shared" si="48"/>
        <v/>
      </c>
      <c r="B1088" s="46"/>
      <c r="C1088" s="47"/>
      <c r="D1088" s="47" t="str">
        <f>IF(C1088="","",IFERROR(VLOOKUP(C1088,'Food Catalog'!$A:$B,2,0),"Unknown"))</f>
        <v/>
      </c>
      <c r="E1088" s="47" t="str">
        <f>IF(C1088="","",IFERROR(VLOOKUP(C1088,'Food Catalog'!$A:$C,3,0),""))</f>
        <v/>
      </c>
      <c r="F1088" s="47" t="str">
        <f>IF(C1088="","",IFERROR(VLOOKUP(C1088,'Food Catalog'!$A:$D,4,0),""))</f>
        <v/>
      </c>
      <c r="G1088" s="48"/>
      <c r="H1088" s="67"/>
      <c r="I1088" s="49" t="str">
        <f t="shared" ca="1" si="49"/>
        <v/>
      </c>
      <c r="J1088" s="49" t="str">
        <f t="shared" ca="1" si="50"/>
        <v/>
      </c>
      <c r="K1088" s="47"/>
      <c r="L1088" s="50"/>
    </row>
    <row r="1089" spans="1:12" x14ac:dyDescent="0.35">
      <c r="A1089" s="45" t="str">
        <f t="shared" si="48"/>
        <v/>
      </c>
      <c r="B1089" s="46"/>
      <c r="C1089" s="47"/>
      <c r="D1089" s="47" t="str">
        <f>IF(C1089="","",IFERROR(VLOOKUP(C1089,'Food Catalog'!$A:$B,2,0),"Unknown"))</f>
        <v/>
      </c>
      <c r="E1089" s="47" t="str">
        <f>IF(C1089="","",IFERROR(VLOOKUP(C1089,'Food Catalog'!$A:$C,3,0),""))</f>
        <v/>
      </c>
      <c r="F1089" s="47" t="str">
        <f>IF(C1089="","",IFERROR(VLOOKUP(C1089,'Food Catalog'!$A:$D,4,0),""))</f>
        <v/>
      </c>
      <c r="G1089" s="48"/>
      <c r="H1089" s="67"/>
      <c r="I1089" s="49" t="str">
        <f t="shared" ca="1" si="49"/>
        <v/>
      </c>
      <c r="J1089" s="49" t="str">
        <f t="shared" ca="1" si="50"/>
        <v/>
      </c>
      <c r="K1089" s="47"/>
      <c r="L1089" s="50"/>
    </row>
    <row r="1090" spans="1:12" x14ac:dyDescent="0.35">
      <c r="A1090" s="45" t="str">
        <f t="shared" si="48"/>
        <v/>
      </c>
      <c r="B1090" s="46"/>
      <c r="C1090" s="47"/>
      <c r="D1090" s="47" t="str">
        <f>IF(C1090="","",IFERROR(VLOOKUP(C1090,'Food Catalog'!$A:$B,2,0),"Unknown"))</f>
        <v/>
      </c>
      <c r="E1090" s="47" t="str">
        <f>IF(C1090="","",IFERROR(VLOOKUP(C1090,'Food Catalog'!$A:$C,3,0),""))</f>
        <v/>
      </c>
      <c r="F1090" s="47" t="str">
        <f>IF(C1090="","",IFERROR(VLOOKUP(C1090,'Food Catalog'!$A:$D,4,0),""))</f>
        <v/>
      </c>
      <c r="G1090" s="48"/>
      <c r="H1090" s="67"/>
      <c r="I1090" s="49" t="str">
        <f t="shared" ca="1" si="49"/>
        <v/>
      </c>
      <c r="J1090" s="49" t="str">
        <f t="shared" ca="1" si="50"/>
        <v/>
      </c>
      <c r="K1090" s="47"/>
      <c r="L1090" s="50"/>
    </row>
    <row r="1091" spans="1:12" x14ac:dyDescent="0.35">
      <c r="A1091" s="45" t="str">
        <f t="shared" si="48"/>
        <v/>
      </c>
      <c r="B1091" s="46"/>
      <c r="C1091" s="47"/>
      <c r="D1091" s="47" t="str">
        <f>IF(C1091="","",IFERROR(VLOOKUP(C1091,'Food Catalog'!$A:$B,2,0),"Unknown"))</f>
        <v/>
      </c>
      <c r="E1091" s="47" t="str">
        <f>IF(C1091="","",IFERROR(VLOOKUP(C1091,'Food Catalog'!$A:$C,3,0),""))</f>
        <v/>
      </c>
      <c r="F1091" s="47" t="str">
        <f>IF(C1091="","",IFERROR(VLOOKUP(C1091,'Food Catalog'!$A:$D,4,0),""))</f>
        <v/>
      </c>
      <c r="G1091" s="48"/>
      <c r="H1091" s="67"/>
      <c r="I1091" s="49" t="str">
        <f t="shared" ca="1" si="49"/>
        <v/>
      </c>
      <c r="J1091" s="49" t="str">
        <f t="shared" ca="1" si="50"/>
        <v/>
      </c>
      <c r="K1091" s="47"/>
      <c r="L1091" s="50"/>
    </row>
    <row r="1092" spans="1:12" x14ac:dyDescent="0.35">
      <c r="A1092" s="45" t="str">
        <f t="shared" si="48"/>
        <v/>
      </c>
      <c r="B1092" s="46"/>
      <c r="C1092" s="47"/>
      <c r="D1092" s="47" t="str">
        <f>IF(C1092="","",IFERROR(VLOOKUP(C1092,'Food Catalog'!$A:$B,2,0),"Unknown"))</f>
        <v/>
      </c>
      <c r="E1092" s="47" t="str">
        <f>IF(C1092="","",IFERROR(VLOOKUP(C1092,'Food Catalog'!$A:$C,3,0),""))</f>
        <v/>
      </c>
      <c r="F1092" s="47" t="str">
        <f>IF(C1092="","",IFERROR(VLOOKUP(C1092,'Food Catalog'!$A:$D,4,0),""))</f>
        <v/>
      </c>
      <c r="G1092" s="48"/>
      <c r="H1092" s="67"/>
      <c r="I1092" s="49" t="str">
        <f t="shared" ca="1" si="49"/>
        <v/>
      </c>
      <c r="J1092" s="49" t="str">
        <f t="shared" ca="1" si="50"/>
        <v/>
      </c>
      <c r="K1092" s="47"/>
      <c r="L1092" s="50"/>
    </row>
    <row r="1093" spans="1:12" x14ac:dyDescent="0.35">
      <c r="A1093" s="45" t="str">
        <f t="shared" ref="A1093:A1112" si="51">IF(G1093="","","DON-"&amp;TEXT(ROW()-4,"0000"))</f>
        <v/>
      </c>
      <c r="B1093" s="46"/>
      <c r="C1093" s="47"/>
      <c r="D1093" s="47" t="str">
        <f>IF(C1093="","",IFERROR(VLOOKUP(C1093,'Food Catalog'!$A:$B,2,0),"Unknown"))</f>
        <v/>
      </c>
      <c r="E1093" s="47" t="str">
        <f>IF(C1093="","",IFERROR(VLOOKUP(C1093,'Food Catalog'!$A:$C,3,0),""))</f>
        <v/>
      </c>
      <c r="F1093" s="47" t="str">
        <f>IF(C1093="","",IFERROR(VLOOKUP(C1093,'Food Catalog'!$A:$D,4,0),""))</f>
        <v/>
      </c>
      <c r="G1093" s="48"/>
      <c r="H1093" s="67"/>
      <c r="I1093" s="49" t="str">
        <f t="shared" ref="I1093:I1156" ca="1" si="52">IF(H1093="","",H1093-TODAY())</f>
        <v/>
      </c>
      <c r="J1093" s="49" t="str">
        <f t="shared" ref="J1093:J1156" ca="1" si="53">IF(I1093="","",IF(I1093&lt;=0,"EXPIRED",IF(I1093&lt;=3,"CRITICAL",IF(I1093&lt;=7,"WARNING",IF(I1093&lt;=30,"NOTICE","OK")))))</f>
        <v/>
      </c>
      <c r="K1093" s="47"/>
      <c r="L1093" s="50"/>
    </row>
    <row r="1094" spans="1:12" x14ac:dyDescent="0.35">
      <c r="A1094" s="45" t="str">
        <f t="shared" si="51"/>
        <v/>
      </c>
      <c r="B1094" s="46"/>
      <c r="C1094" s="47"/>
      <c r="D1094" s="47" t="str">
        <f>IF(C1094="","",IFERROR(VLOOKUP(C1094,'Food Catalog'!$A:$B,2,0),"Unknown"))</f>
        <v/>
      </c>
      <c r="E1094" s="47" t="str">
        <f>IF(C1094="","",IFERROR(VLOOKUP(C1094,'Food Catalog'!$A:$C,3,0),""))</f>
        <v/>
      </c>
      <c r="F1094" s="47" t="str">
        <f>IF(C1094="","",IFERROR(VLOOKUP(C1094,'Food Catalog'!$A:$D,4,0),""))</f>
        <v/>
      </c>
      <c r="G1094" s="48"/>
      <c r="H1094" s="67"/>
      <c r="I1094" s="49" t="str">
        <f t="shared" ca="1" si="52"/>
        <v/>
      </c>
      <c r="J1094" s="49" t="str">
        <f t="shared" ca="1" si="53"/>
        <v/>
      </c>
      <c r="K1094" s="47"/>
      <c r="L1094" s="50"/>
    </row>
    <row r="1095" spans="1:12" x14ac:dyDescent="0.35">
      <c r="A1095" s="45" t="str">
        <f t="shared" si="51"/>
        <v/>
      </c>
      <c r="B1095" s="46"/>
      <c r="C1095" s="47"/>
      <c r="D1095" s="47" t="str">
        <f>IF(C1095="","",IFERROR(VLOOKUP(C1095,'Food Catalog'!$A:$B,2,0),"Unknown"))</f>
        <v/>
      </c>
      <c r="E1095" s="47" t="str">
        <f>IF(C1095="","",IFERROR(VLOOKUP(C1095,'Food Catalog'!$A:$C,3,0),""))</f>
        <v/>
      </c>
      <c r="F1095" s="47" t="str">
        <f>IF(C1095="","",IFERROR(VLOOKUP(C1095,'Food Catalog'!$A:$D,4,0),""))</f>
        <v/>
      </c>
      <c r="G1095" s="48"/>
      <c r="H1095" s="67"/>
      <c r="I1095" s="49" t="str">
        <f t="shared" ca="1" si="52"/>
        <v/>
      </c>
      <c r="J1095" s="49" t="str">
        <f t="shared" ca="1" si="53"/>
        <v/>
      </c>
      <c r="K1095" s="47"/>
      <c r="L1095" s="50"/>
    </row>
    <row r="1096" spans="1:12" x14ac:dyDescent="0.35">
      <c r="A1096" s="45" t="str">
        <f t="shared" si="51"/>
        <v/>
      </c>
      <c r="B1096" s="46"/>
      <c r="C1096" s="47"/>
      <c r="D1096" s="47" t="str">
        <f>IF(C1096="","",IFERROR(VLOOKUP(C1096,'Food Catalog'!$A:$B,2,0),"Unknown"))</f>
        <v/>
      </c>
      <c r="E1096" s="47" t="str">
        <f>IF(C1096="","",IFERROR(VLOOKUP(C1096,'Food Catalog'!$A:$C,3,0),""))</f>
        <v/>
      </c>
      <c r="F1096" s="47" t="str">
        <f>IF(C1096="","",IFERROR(VLOOKUP(C1096,'Food Catalog'!$A:$D,4,0),""))</f>
        <v/>
      </c>
      <c r="G1096" s="48"/>
      <c r="H1096" s="67"/>
      <c r="I1096" s="49" t="str">
        <f t="shared" ca="1" si="52"/>
        <v/>
      </c>
      <c r="J1096" s="49" t="str">
        <f t="shared" ca="1" si="53"/>
        <v/>
      </c>
      <c r="K1096" s="47"/>
      <c r="L1096" s="50"/>
    </row>
    <row r="1097" spans="1:12" x14ac:dyDescent="0.35">
      <c r="A1097" s="45" t="str">
        <f t="shared" si="51"/>
        <v/>
      </c>
      <c r="B1097" s="46"/>
      <c r="C1097" s="47"/>
      <c r="D1097" s="47" t="str">
        <f>IF(C1097="","",IFERROR(VLOOKUP(C1097,'Food Catalog'!$A:$B,2,0),"Unknown"))</f>
        <v/>
      </c>
      <c r="E1097" s="47" t="str">
        <f>IF(C1097="","",IFERROR(VLOOKUP(C1097,'Food Catalog'!$A:$C,3,0),""))</f>
        <v/>
      </c>
      <c r="F1097" s="47" t="str">
        <f>IF(C1097="","",IFERROR(VLOOKUP(C1097,'Food Catalog'!$A:$D,4,0),""))</f>
        <v/>
      </c>
      <c r="G1097" s="48"/>
      <c r="H1097" s="67"/>
      <c r="I1097" s="49" t="str">
        <f t="shared" ca="1" si="52"/>
        <v/>
      </c>
      <c r="J1097" s="49" t="str">
        <f t="shared" ca="1" si="53"/>
        <v/>
      </c>
      <c r="K1097" s="47"/>
      <c r="L1097" s="50"/>
    </row>
    <row r="1098" spans="1:12" x14ac:dyDescent="0.35">
      <c r="A1098" s="45" t="str">
        <f t="shared" si="51"/>
        <v/>
      </c>
      <c r="B1098" s="46"/>
      <c r="C1098" s="47"/>
      <c r="D1098" s="47" t="str">
        <f>IF(C1098="","",IFERROR(VLOOKUP(C1098,'Food Catalog'!$A:$B,2,0),"Unknown"))</f>
        <v/>
      </c>
      <c r="E1098" s="47" t="str">
        <f>IF(C1098="","",IFERROR(VLOOKUP(C1098,'Food Catalog'!$A:$C,3,0),""))</f>
        <v/>
      </c>
      <c r="F1098" s="47" t="str">
        <f>IF(C1098="","",IFERROR(VLOOKUP(C1098,'Food Catalog'!$A:$D,4,0),""))</f>
        <v/>
      </c>
      <c r="G1098" s="48"/>
      <c r="H1098" s="67"/>
      <c r="I1098" s="49" t="str">
        <f t="shared" ca="1" si="52"/>
        <v/>
      </c>
      <c r="J1098" s="49" t="str">
        <f t="shared" ca="1" si="53"/>
        <v/>
      </c>
      <c r="K1098" s="47"/>
      <c r="L1098" s="50"/>
    </row>
    <row r="1099" spans="1:12" x14ac:dyDescent="0.35">
      <c r="A1099" s="45" t="str">
        <f t="shared" si="51"/>
        <v/>
      </c>
      <c r="B1099" s="46"/>
      <c r="C1099" s="47"/>
      <c r="D1099" s="47" t="str">
        <f>IF(C1099="","",IFERROR(VLOOKUP(C1099,'Food Catalog'!$A:$B,2,0),"Unknown"))</f>
        <v/>
      </c>
      <c r="E1099" s="47" t="str">
        <f>IF(C1099="","",IFERROR(VLOOKUP(C1099,'Food Catalog'!$A:$C,3,0),""))</f>
        <v/>
      </c>
      <c r="F1099" s="47" t="str">
        <f>IF(C1099="","",IFERROR(VLOOKUP(C1099,'Food Catalog'!$A:$D,4,0),""))</f>
        <v/>
      </c>
      <c r="G1099" s="48"/>
      <c r="H1099" s="67"/>
      <c r="I1099" s="49" t="str">
        <f t="shared" ca="1" si="52"/>
        <v/>
      </c>
      <c r="J1099" s="49" t="str">
        <f t="shared" ca="1" si="53"/>
        <v/>
      </c>
      <c r="K1099" s="47"/>
      <c r="L1099" s="50"/>
    </row>
    <row r="1100" spans="1:12" x14ac:dyDescent="0.35">
      <c r="A1100" s="45" t="str">
        <f t="shared" si="51"/>
        <v/>
      </c>
      <c r="B1100" s="46"/>
      <c r="C1100" s="47"/>
      <c r="D1100" s="47" t="str">
        <f>IF(C1100="","",IFERROR(VLOOKUP(C1100,'Food Catalog'!$A:$B,2,0),"Unknown"))</f>
        <v/>
      </c>
      <c r="E1100" s="47" t="str">
        <f>IF(C1100="","",IFERROR(VLOOKUP(C1100,'Food Catalog'!$A:$C,3,0),""))</f>
        <v/>
      </c>
      <c r="F1100" s="47" t="str">
        <f>IF(C1100="","",IFERROR(VLOOKUP(C1100,'Food Catalog'!$A:$D,4,0),""))</f>
        <v/>
      </c>
      <c r="G1100" s="48"/>
      <c r="H1100" s="67"/>
      <c r="I1100" s="49" t="str">
        <f t="shared" ca="1" si="52"/>
        <v/>
      </c>
      <c r="J1100" s="49" t="str">
        <f t="shared" ca="1" si="53"/>
        <v/>
      </c>
      <c r="K1100" s="47"/>
      <c r="L1100" s="50"/>
    </row>
    <row r="1101" spans="1:12" x14ac:dyDescent="0.35">
      <c r="A1101" s="45" t="str">
        <f t="shared" si="51"/>
        <v/>
      </c>
      <c r="B1101" s="46"/>
      <c r="C1101" s="47"/>
      <c r="D1101" s="47" t="str">
        <f>IF(C1101="","",IFERROR(VLOOKUP(C1101,'Food Catalog'!$A:$B,2,0),"Unknown"))</f>
        <v/>
      </c>
      <c r="E1101" s="47" t="str">
        <f>IF(C1101="","",IFERROR(VLOOKUP(C1101,'Food Catalog'!$A:$C,3,0),""))</f>
        <v/>
      </c>
      <c r="F1101" s="47" t="str">
        <f>IF(C1101="","",IFERROR(VLOOKUP(C1101,'Food Catalog'!$A:$D,4,0),""))</f>
        <v/>
      </c>
      <c r="G1101" s="48"/>
      <c r="H1101" s="67"/>
      <c r="I1101" s="49" t="str">
        <f t="shared" ca="1" si="52"/>
        <v/>
      </c>
      <c r="J1101" s="49" t="str">
        <f t="shared" ca="1" si="53"/>
        <v/>
      </c>
      <c r="K1101" s="47"/>
      <c r="L1101" s="50"/>
    </row>
    <row r="1102" spans="1:12" x14ac:dyDescent="0.35">
      <c r="A1102" s="45" t="str">
        <f t="shared" si="51"/>
        <v/>
      </c>
      <c r="B1102" s="46"/>
      <c r="C1102" s="47"/>
      <c r="D1102" s="47" t="str">
        <f>IF(C1102="","",IFERROR(VLOOKUP(C1102,'Food Catalog'!$A:$B,2,0),"Unknown"))</f>
        <v/>
      </c>
      <c r="E1102" s="47" t="str">
        <f>IF(C1102="","",IFERROR(VLOOKUP(C1102,'Food Catalog'!$A:$C,3,0),""))</f>
        <v/>
      </c>
      <c r="F1102" s="47" t="str">
        <f>IF(C1102="","",IFERROR(VLOOKUP(C1102,'Food Catalog'!$A:$D,4,0),""))</f>
        <v/>
      </c>
      <c r="G1102" s="48"/>
      <c r="H1102" s="67"/>
      <c r="I1102" s="49" t="str">
        <f t="shared" ca="1" si="52"/>
        <v/>
      </c>
      <c r="J1102" s="49" t="str">
        <f t="shared" ca="1" si="53"/>
        <v/>
      </c>
      <c r="K1102" s="47"/>
      <c r="L1102" s="50"/>
    </row>
    <row r="1103" spans="1:12" x14ac:dyDescent="0.35">
      <c r="A1103" s="45" t="str">
        <f t="shared" si="51"/>
        <v/>
      </c>
      <c r="B1103" s="46"/>
      <c r="C1103" s="47"/>
      <c r="D1103" s="47" t="str">
        <f>IF(C1103="","",IFERROR(VLOOKUP(C1103,'Food Catalog'!$A:$B,2,0),"Unknown"))</f>
        <v/>
      </c>
      <c r="E1103" s="47" t="str">
        <f>IF(C1103="","",IFERROR(VLOOKUP(C1103,'Food Catalog'!$A:$C,3,0),""))</f>
        <v/>
      </c>
      <c r="F1103" s="47" t="str">
        <f>IF(C1103="","",IFERROR(VLOOKUP(C1103,'Food Catalog'!$A:$D,4,0),""))</f>
        <v/>
      </c>
      <c r="G1103" s="48"/>
      <c r="H1103" s="67"/>
      <c r="I1103" s="49" t="str">
        <f t="shared" ca="1" si="52"/>
        <v/>
      </c>
      <c r="J1103" s="49" t="str">
        <f t="shared" ca="1" si="53"/>
        <v/>
      </c>
      <c r="K1103" s="47"/>
      <c r="L1103" s="50"/>
    </row>
    <row r="1104" spans="1:12" x14ac:dyDescent="0.35">
      <c r="A1104" s="45" t="str">
        <f t="shared" si="51"/>
        <v/>
      </c>
      <c r="B1104" s="46"/>
      <c r="C1104" s="47"/>
      <c r="D1104" s="47" t="str">
        <f>IF(C1104="","",IFERROR(VLOOKUP(C1104,'Food Catalog'!$A:$B,2,0),"Unknown"))</f>
        <v/>
      </c>
      <c r="E1104" s="47" t="str">
        <f>IF(C1104="","",IFERROR(VLOOKUP(C1104,'Food Catalog'!$A:$C,3,0),""))</f>
        <v/>
      </c>
      <c r="F1104" s="47" t="str">
        <f>IF(C1104="","",IFERROR(VLOOKUP(C1104,'Food Catalog'!$A:$D,4,0),""))</f>
        <v/>
      </c>
      <c r="G1104" s="48"/>
      <c r="H1104" s="67"/>
      <c r="I1104" s="49" t="str">
        <f t="shared" ca="1" si="52"/>
        <v/>
      </c>
      <c r="J1104" s="49" t="str">
        <f t="shared" ca="1" si="53"/>
        <v/>
      </c>
      <c r="K1104" s="47"/>
      <c r="L1104" s="50"/>
    </row>
    <row r="1105" spans="1:12" x14ac:dyDescent="0.35">
      <c r="A1105" s="45" t="str">
        <f t="shared" si="51"/>
        <v/>
      </c>
      <c r="B1105" s="46"/>
      <c r="C1105" s="47"/>
      <c r="D1105" s="47" t="str">
        <f>IF(C1105="","",IFERROR(VLOOKUP(C1105,'Food Catalog'!$A:$B,2,0),"Unknown"))</f>
        <v/>
      </c>
      <c r="E1105" s="47" t="str">
        <f>IF(C1105="","",IFERROR(VLOOKUP(C1105,'Food Catalog'!$A:$C,3,0),""))</f>
        <v/>
      </c>
      <c r="F1105" s="47" t="str">
        <f>IF(C1105="","",IFERROR(VLOOKUP(C1105,'Food Catalog'!$A:$D,4,0),""))</f>
        <v/>
      </c>
      <c r="G1105" s="48"/>
      <c r="H1105" s="67"/>
      <c r="I1105" s="49" t="str">
        <f t="shared" ca="1" si="52"/>
        <v/>
      </c>
      <c r="J1105" s="49" t="str">
        <f t="shared" ca="1" si="53"/>
        <v/>
      </c>
      <c r="K1105" s="47"/>
      <c r="L1105" s="50"/>
    </row>
    <row r="1106" spans="1:12" x14ac:dyDescent="0.35">
      <c r="A1106" s="45" t="str">
        <f t="shared" si="51"/>
        <v/>
      </c>
      <c r="B1106" s="46"/>
      <c r="C1106" s="47"/>
      <c r="D1106" s="47" t="str">
        <f>IF(C1106="","",IFERROR(VLOOKUP(C1106,'Food Catalog'!$A:$B,2,0),"Unknown"))</f>
        <v/>
      </c>
      <c r="E1106" s="47" t="str">
        <f>IF(C1106="","",IFERROR(VLOOKUP(C1106,'Food Catalog'!$A:$C,3,0),""))</f>
        <v/>
      </c>
      <c r="F1106" s="47" t="str">
        <f>IF(C1106="","",IFERROR(VLOOKUP(C1106,'Food Catalog'!$A:$D,4,0),""))</f>
        <v/>
      </c>
      <c r="G1106" s="48"/>
      <c r="H1106" s="67"/>
      <c r="I1106" s="49" t="str">
        <f t="shared" ca="1" si="52"/>
        <v/>
      </c>
      <c r="J1106" s="49" t="str">
        <f t="shared" ca="1" si="53"/>
        <v/>
      </c>
      <c r="K1106" s="47"/>
      <c r="L1106" s="50"/>
    </row>
    <row r="1107" spans="1:12" x14ac:dyDescent="0.35">
      <c r="A1107" s="45" t="str">
        <f t="shared" si="51"/>
        <v/>
      </c>
      <c r="B1107" s="46"/>
      <c r="C1107" s="47"/>
      <c r="D1107" s="47" t="str">
        <f>IF(C1107="","",IFERROR(VLOOKUP(C1107,'Food Catalog'!$A:$B,2,0),"Unknown"))</f>
        <v/>
      </c>
      <c r="E1107" s="47" t="str">
        <f>IF(C1107="","",IFERROR(VLOOKUP(C1107,'Food Catalog'!$A:$C,3,0),""))</f>
        <v/>
      </c>
      <c r="F1107" s="47" t="str">
        <f>IF(C1107="","",IFERROR(VLOOKUP(C1107,'Food Catalog'!$A:$D,4,0),""))</f>
        <v/>
      </c>
      <c r="G1107" s="48"/>
      <c r="H1107" s="67"/>
      <c r="I1107" s="49" t="str">
        <f t="shared" ca="1" si="52"/>
        <v/>
      </c>
      <c r="J1107" s="49" t="str">
        <f t="shared" ca="1" si="53"/>
        <v/>
      </c>
      <c r="K1107" s="47"/>
      <c r="L1107" s="50"/>
    </row>
    <row r="1108" spans="1:12" x14ac:dyDescent="0.35">
      <c r="A1108" s="45" t="str">
        <f t="shared" si="51"/>
        <v/>
      </c>
      <c r="B1108" s="46"/>
      <c r="C1108" s="47"/>
      <c r="D1108" s="47" t="str">
        <f>IF(C1108="","",IFERROR(VLOOKUP(C1108,'Food Catalog'!$A:$B,2,0),"Unknown"))</f>
        <v/>
      </c>
      <c r="E1108" s="47" t="str">
        <f>IF(C1108="","",IFERROR(VLOOKUP(C1108,'Food Catalog'!$A:$C,3,0),""))</f>
        <v/>
      </c>
      <c r="F1108" s="47" t="str">
        <f>IF(C1108="","",IFERROR(VLOOKUP(C1108,'Food Catalog'!$A:$D,4,0),""))</f>
        <v/>
      </c>
      <c r="G1108" s="48"/>
      <c r="H1108" s="67"/>
      <c r="I1108" s="49" t="str">
        <f t="shared" ca="1" si="52"/>
        <v/>
      </c>
      <c r="J1108" s="49" t="str">
        <f t="shared" ca="1" si="53"/>
        <v/>
      </c>
      <c r="K1108" s="47"/>
      <c r="L1108" s="50"/>
    </row>
    <row r="1109" spans="1:12" x14ac:dyDescent="0.35">
      <c r="A1109" s="45" t="str">
        <f t="shared" si="51"/>
        <v/>
      </c>
      <c r="B1109" s="46"/>
      <c r="C1109" s="47"/>
      <c r="D1109" s="47" t="str">
        <f>IF(C1109="","",IFERROR(VLOOKUP(C1109,'Food Catalog'!$A:$B,2,0),"Unknown"))</f>
        <v/>
      </c>
      <c r="E1109" s="47" t="str">
        <f>IF(C1109="","",IFERROR(VLOOKUP(C1109,'Food Catalog'!$A:$C,3,0),""))</f>
        <v/>
      </c>
      <c r="F1109" s="47" t="str">
        <f>IF(C1109="","",IFERROR(VLOOKUP(C1109,'Food Catalog'!$A:$D,4,0),""))</f>
        <v/>
      </c>
      <c r="G1109" s="48"/>
      <c r="H1109" s="67"/>
      <c r="I1109" s="49" t="str">
        <f t="shared" ca="1" si="52"/>
        <v/>
      </c>
      <c r="J1109" s="49" t="str">
        <f t="shared" ca="1" si="53"/>
        <v/>
      </c>
      <c r="K1109" s="47"/>
      <c r="L1109" s="50"/>
    </row>
    <row r="1110" spans="1:12" x14ac:dyDescent="0.35">
      <c r="A1110" s="45" t="str">
        <f t="shared" si="51"/>
        <v/>
      </c>
      <c r="B1110" s="46"/>
      <c r="C1110" s="47"/>
      <c r="D1110" s="47" t="str">
        <f>IF(C1110="","",IFERROR(VLOOKUP(C1110,'Food Catalog'!$A:$B,2,0),"Unknown"))</f>
        <v/>
      </c>
      <c r="E1110" s="47" t="str">
        <f>IF(C1110="","",IFERROR(VLOOKUP(C1110,'Food Catalog'!$A:$C,3,0),""))</f>
        <v/>
      </c>
      <c r="F1110" s="47" t="str">
        <f>IF(C1110="","",IFERROR(VLOOKUP(C1110,'Food Catalog'!$A:$D,4,0),""))</f>
        <v/>
      </c>
      <c r="G1110" s="48"/>
      <c r="H1110" s="67"/>
      <c r="I1110" s="49" t="str">
        <f t="shared" ca="1" si="52"/>
        <v/>
      </c>
      <c r="J1110" s="49" t="str">
        <f t="shared" ca="1" si="53"/>
        <v/>
      </c>
      <c r="K1110" s="47"/>
      <c r="L1110" s="50"/>
    </row>
    <row r="1111" spans="1:12" x14ac:dyDescent="0.35">
      <c r="A1111" s="45" t="str">
        <f t="shared" si="51"/>
        <v/>
      </c>
      <c r="B1111" s="46"/>
      <c r="C1111" s="47"/>
      <c r="D1111" s="47" t="str">
        <f>IF(C1111="","",IFERROR(VLOOKUP(C1111,'Food Catalog'!$A:$B,2,0),"Unknown"))</f>
        <v/>
      </c>
      <c r="E1111" s="47" t="str">
        <f>IF(C1111="","",IFERROR(VLOOKUP(C1111,'Food Catalog'!$A:$C,3,0),""))</f>
        <v/>
      </c>
      <c r="F1111" s="47" t="str">
        <f>IF(C1111="","",IFERROR(VLOOKUP(C1111,'Food Catalog'!$A:$D,4,0),""))</f>
        <v/>
      </c>
      <c r="G1111" s="48"/>
      <c r="H1111" s="67"/>
      <c r="I1111" s="49" t="str">
        <f t="shared" ca="1" si="52"/>
        <v/>
      </c>
      <c r="J1111" s="49" t="str">
        <f t="shared" ca="1" si="53"/>
        <v/>
      </c>
      <c r="K1111" s="47"/>
      <c r="L1111" s="50"/>
    </row>
    <row r="1112" spans="1:12" x14ac:dyDescent="0.35">
      <c r="A1112" s="45" t="str">
        <f t="shared" si="51"/>
        <v/>
      </c>
      <c r="B1112" s="51"/>
      <c r="C1112" s="52"/>
      <c r="D1112" s="52" t="str">
        <f>IF(C1112="","",IFERROR(VLOOKUP(C1112,'Food Catalog'!$A:$B,2,0),"Unknown"))</f>
        <v/>
      </c>
      <c r="E1112" s="52" t="str">
        <f>IF(C1112="","",IFERROR(VLOOKUP(C1112,'Food Catalog'!$A:$C,3,0),""))</f>
        <v/>
      </c>
      <c r="F1112" s="52" t="str">
        <f>IF(C1112="","",IFERROR(VLOOKUP(C1112,'Food Catalog'!$A:$D,4,0),""))</f>
        <v/>
      </c>
      <c r="G1112" s="53"/>
      <c r="H1112" s="69"/>
      <c r="I1112" s="54" t="str">
        <f t="shared" ca="1" si="52"/>
        <v/>
      </c>
      <c r="J1112" s="54" t="str">
        <f t="shared" ca="1" si="53"/>
        <v/>
      </c>
      <c r="K1112" s="52"/>
      <c r="L1112" s="55"/>
    </row>
    <row r="1113" spans="1:12" x14ac:dyDescent="0.35">
      <c r="A1113" s="22" t="str">
        <f t="shared" ref="A1113:A1144" si="54">IF(G1113="","",TEXT(ROW()-1014,"DON-0000"))</f>
        <v/>
      </c>
      <c r="B1113" s="18"/>
      <c r="C1113" s="5"/>
      <c r="D1113" s="23" t="str">
        <f>IF(C1113="","",IFERROR(VLOOKUP(C1113,'Food Catalog'!$A:$B,2,0),"Unknown"))</f>
        <v/>
      </c>
      <c r="E1113" s="23" t="str">
        <f>IF(C1113="","",IFERROR(VLOOKUP(C1113,'Food Catalog'!$A:$C,3,0),""))</f>
        <v/>
      </c>
      <c r="F1113" s="23" t="str">
        <f>IF(C1113="","",IFERROR(VLOOKUP(C1113,'Food Catalog'!$A:$D,4,0),""))</f>
        <v/>
      </c>
      <c r="G1113" s="3"/>
      <c r="H1113" s="70"/>
      <c r="I1113" s="24" t="str">
        <f t="shared" ca="1" si="52"/>
        <v/>
      </c>
      <c r="J1113" s="24" t="str">
        <f t="shared" ca="1" si="53"/>
        <v/>
      </c>
      <c r="K1113" s="2"/>
      <c r="L1113" s="2"/>
    </row>
    <row r="1114" spans="1:12" x14ac:dyDescent="0.35">
      <c r="A1114" s="25" t="str">
        <f t="shared" si="54"/>
        <v/>
      </c>
      <c r="B1114" s="20"/>
      <c r="C1114" s="10"/>
      <c r="D1114" s="26" t="str">
        <f>IF(C1114="","",IFERROR(VLOOKUP(C1114,'Food Catalog'!$A:$B,2,0),"Unknown"))</f>
        <v/>
      </c>
      <c r="E1114" s="26" t="str">
        <f>IF(C1114="","",IFERROR(VLOOKUP(C1114,'Food Catalog'!$A:$C,3,0),""))</f>
        <v/>
      </c>
      <c r="F1114" s="26" t="str">
        <f>IF(C1114="","",IFERROR(VLOOKUP(C1114,'Food Catalog'!$A:$D,4,0),""))</f>
        <v/>
      </c>
      <c r="G1114" s="8"/>
      <c r="H1114" s="71"/>
      <c r="I1114" s="27" t="str">
        <f t="shared" ca="1" si="52"/>
        <v/>
      </c>
      <c r="J1114" s="27" t="str">
        <f t="shared" ca="1" si="53"/>
        <v/>
      </c>
      <c r="K1114" s="7"/>
      <c r="L1114" s="7"/>
    </row>
    <row r="1115" spans="1:12" x14ac:dyDescent="0.35">
      <c r="A1115" s="22" t="str">
        <f t="shared" si="54"/>
        <v/>
      </c>
      <c r="B1115" s="18"/>
      <c r="C1115" s="5"/>
      <c r="D1115" s="23" t="str">
        <f>IF(C1115="","",IFERROR(VLOOKUP(C1115,'Food Catalog'!$A:$B,2,0),"Unknown"))</f>
        <v/>
      </c>
      <c r="E1115" s="23" t="str">
        <f>IF(C1115="","",IFERROR(VLOOKUP(C1115,'Food Catalog'!$A:$C,3,0),""))</f>
        <v/>
      </c>
      <c r="F1115" s="23" t="str">
        <f>IF(C1115="","",IFERROR(VLOOKUP(C1115,'Food Catalog'!$A:$D,4,0),""))</f>
        <v/>
      </c>
      <c r="G1115" s="3"/>
      <c r="H1115" s="70"/>
      <c r="I1115" s="24" t="str">
        <f t="shared" ca="1" si="52"/>
        <v/>
      </c>
      <c r="J1115" s="24" t="str">
        <f t="shared" ca="1" si="53"/>
        <v/>
      </c>
      <c r="K1115" s="2"/>
      <c r="L1115" s="2"/>
    </row>
    <row r="1116" spans="1:12" x14ac:dyDescent="0.35">
      <c r="A1116" s="25" t="str">
        <f t="shared" si="54"/>
        <v/>
      </c>
      <c r="B1116" s="20"/>
      <c r="C1116" s="10"/>
      <c r="D1116" s="26" t="str">
        <f>IF(C1116="","",IFERROR(VLOOKUP(C1116,'Food Catalog'!$A:$B,2,0),"Unknown"))</f>
        <v/>
      </c>
      <c r="E1116" s="26" t="str">
        <f>IF(C1116="","",IFERROR(VLOOKUP(C1116,'Food Catalog'!$A:$C,3,0),""))</f>
        <v/>
      </c>
      <c r="F1116" s="26" t="str">
        <f>IF(C1116="","",IFERROR(VLOOKUP(C1116,'Food Catalog'!$A:$D,4,0),""))</f>
        <v/>
      </c>
      <c r="G1116" s="8"/>
      <c r="H1116" s="71"/>
      <c r="I1116" s="27" t="str">
        <f t="shared" ca="1" si="52"/>
        <v/>
      </c>
      <c r="J1116" s="27" t="str">
        <f t="shared" ca="1" si="53"/>
        <v/>
      </c>
      <c r="K1116" s="7"/>
      <c r="L1116" s="7"/>
    </row>
    <row r="1117" spans="1:12" x14ac:dyDescent="0.35">
      <c r="A1117" s="22" t="str">
        <f t="shared" si="54"/>
        <v/>
      </c>
      <c r="B1117" s="18"/>
      <c r="C1117" s="5"/>
      <c r="D1117" s="23" t="str">
        <f>IF(C1117="","",IFERROR(VLOOKUP(C1117,'Food Catalog'!$A:$B,2,0),"Unknown"))</f>
        <v/>
      </c>
      <c r="E1117" s="23" t="str">
        <f>IF(C1117="","",IFERROR(VLOOKUP(C1117,'Food Catalog'!$A:$C,3,0),""))</f>
        <v/>
      </c>
      <c r="F1117" s="23" t="str">
        <f>IF(C1117="","",IFERROR(VLOOKUP(C1117,'Food Catalog'!$A:$D,4,0),""))</f>
        <v/>
      </c>
      <c r="G1117" s="3"/>
      <c r="H1117" s="70"/>
      <c r="I1117" s="24" t="str">
        <f t="shared" ca="1" si="52"/>
        <v/>
      </c>
      <c r="J1117" s="24" t="str">
        <f t="shared" ca="1" si="53"/>
        <v/>
      </c>
      <c r="K1117" s="2"/>
      <c r="L1117" s="2"/>
    </row>
    <row r="1118" spans="1:12" x14ac:dyDescent="0.35">
      <c r="A1118" s="25" t="str">
        <f t="shared" si="54"/>
        <v/>
      </c>
      <c r="B1118" s="20"/>
      <c r="C1118" s="10"/>
      <c r="D1118" s="26" t="str">
        <f>IF(C1118="","",IFERROR(VLOOKUP(C1118,'Food Catalog'!$A:$B,2,0),"Unknown"))</f>
        <v/>
      </c>
      <c r="E1118" s="26" t="str">
        <f>IF(C1118="","",IFERROR(VLOOKUP(C1118,'Food Catalog'!$A:$C,3,0),""))</f>
        <v/>
      </c>
      <c r="F1118" s="26" t="str">
        <f>IF(C1118="","",IFERROR(VLOOKUP(C1118,'Food Catalog'!$A:$D,4,0),""))</f>
        <v/>
      </c>
      <c r="G1118" s="8"/>
      <c r="H1118" s="71"/>
      <c r="I1118" s="27" t="str">
        <f t="shared" ca="1" si="52"/>
        <v/>
      </c>
      <c r="J1118" s="27" t="str">
        <f t="shared" ca="1" si="53"/>
        <v/>
      </c>
      <c r="K1118" s="7"/>
      <c r="L1118" s="7"/>
    </row>
    <row r="1119" spans="1:12" x14ac:dyDescent="0.35">
      <c r="A1119" s="22" t="str">
        <f t="shared" si="54"/>
        <v/>
      </c>
      <c r="B1119" s="18"/>
      <c r="C1119" s="5"/>
      <c r="D1119" s="23" t="str">
        <f>IF(C1119="","",IFERROR(VLOOKUP(C1119,'Food Catalog'!$A:$B,2,0),"Unknown"))</f>
        <v/>
      </c>
      <c r="E1119" s="23" t="str">
        <f>IF(C1119="","",IFERROR(VLOOKUP(C1119,'Food Catalog'!$A:$C,3,0),""))</f>
        <v/>
      </c>
      <c r="F1119" s="23" t="str">
        <f>IF(C1119="","",IFERROR(VLOOKUP(C1119,'Food Catalog'!$A:$D,4,0),""))</f>
        <v/>
      </c>
      <c r="G1119" s="3"/>
      <c r="H1119" s="70"/>
      <c r="I1119" s="24" t="str">
        <f t="shared" ca="1" si="52"/>
        <v/>
      </c>
      <c r="J1119" s="24" t="str">
        <f t="shared" ca="1" si="53"/>
        <v/>
      </c>
      <c r="K1119" s="2"/>
      <c r="L1119" s="2"/>
    </row>
    <row r="1120" spans="1:12" x14ac:dyDescent="0.35">
      <c r="A1120" s="25" t="str">
        <f t="shared" si="54"/>
        <v/>
      </c>
      <c r="B1120" s="20"/>
      <c r="C1120" s="10"/>
      <c r="D1120" s="26" t="str">
        <f>IF(C1120="","",IFERROR(VLOOKUP(C1120,'Food Catalog'!$A:$B,2,0),"Unknown"))</f>
        <v/>
      </c>
      <c r="E1120" s="26" t="str">
        <f>IF(C1120="","",IFERROR(VLOOKUP(C1120,'Food Catalog'!$A:$C,3,0),""))</f>
        <v/>
      </c>
      <c r="F1120" s="26" t="str">
        <f>IF(C1120="","",IFERROR(VLOOKUP(C1120,'Food Catalog'!$A:$D,4,0),""))</f>
        <v/>
      </c>
      <c r="G1120" s="8"/>
      <c r="H1120" s="71"/>
      <c r="I1120" s="27" t="str">
        <f t="shared" ca="1" si="52"/>
        <v/>
      </c>
      <c r="J1120" s="27" t="str">
        <f t="shared" ca="1" si="53"/>
        <v/>
      </c>
      <c r="K1120" s="7"/>
      <c r="L1120" s="7"/>
    </row>
    <row r="1121" spans="1:12" x14ac:dyDescent="0.35">
      <c r="A1121" s="22" t="str">
        <f t="shared" si="54"/>
        <v/>
      </c>
      <c r="B1121" s="18"/>
      <c r="C1121" s="5"/>
      <c r="D1121" s="23" t="str">
        <f>IF(C1121="","",IFERROR(VLOOKUP(C1121,'Food Catalog'!$A:$B,2,0),"Unknown"))</f>
        <v/>
      </c>
      <c r="E1121" s="23" t="str">
        <f>IF(C1121="","",IFERROR(VLOOKUP(C1121,'Food Catalog'!$A:$C,3,0),""))</f>
        <v/>
      </c>
      <c r="F1121" s="23" t="str">
        <f>IF(C1121="","",IFERROR(VLOOKUP(C1121,'Food Catalog'!$A:$D,4,0),""))</f>
        <v/>
      </c>
      <c r="G1121" s="3"/>
      <c r="H1121" s="70"/>
      <c r="I1121" s="24" t="str">
        <f t="shared" ca="1" si="52"/>
        <v/>
      </c>
      <c r="J1121" s="24" t="str">
        <f t="shared" ca="1" si="53"/>
        <v/>
      </c>
      <c r="K1121" s="2"/>
      <c r="L1121" s="2"/>
    </row>
    <row r="1122" spans="1:12" x14ac:dyDescent="0.35">
      <c r="A1122" s="25" t="str">
        <f t="shared" si="54"/>
        <v/>
      </c>
      <c r="B1122" s="20"/>
      <c r="C1122" s="10"/>
      <c r="D1122" s="26" t="str">
        <f>IF(C1122="","",IFERROR(VLOOKUP(C1122,'Food Catalog'!$A:$B,2,0),"Unknown"))</f>
        <v/>
      </c>
      <c r="E1122" s="26" t="str">
        <f>IF(C1122="","",IFERROR(VLOOKUP(C1122,'Food Catalog'!$A:$C,3,0),""))</f>
        <v/>
      </c>
      <c r="F1122" s="26" t="str">
        <f>IF(C1122="","",IFERROR(VLOOKUP(C1122,'Food Catalog'!$A:$D,4,0),""))</f>
        <v/>
      </c>
      <c r="G1122" s="8"/>
      <c r="H1122" s="71"/>
      <c r="I1122" s="27" t="str">
        <f t="shared" ca="1" si="52"/>
        <v/>
      </c>
      <c r="J1122" s="27" t="str">
        <f t="shared" ca="1" si="53"/>
        <v/>
      </c>
      <c r="K1122" s="7"/>
      <c r="L1122" s="7"/>
    </row>
    <row r="1123" spans="1:12" x14ac:dyDescent="0.35">
      <c r="A1123" s="22" t="str">
        <f t="shared" si="54"/>
        <v/>
      </c>
      <c r="B1123" s="18"/>
      <c r="C1123" s="5"/>
      <c r="D1123" s="23" t="str">
        <f>IF(C1123="","",IFERROR(VLOOKUP(C1123,'Food Catalog'!$A:$B,2,0),"Unknown"))</f>
        <v/>
      </c>
      <c r="E1123" s="23" t="str">
        <f>IF(C1123="","",IFERROR(VLOOKUP(C1123,'Food Catalog'!$A:$C,3,0),""))</f>
        <v/>
      </c>
      <c r="F1123" s="23" t="str">
        <f>IF(C1123="","",IFERROR(VLOOKUP(C1123,'Food Catalog'!$A:$D,4,0),""))</f>
        <v/>
      </c>
      <c r="G1123" s="3"/>
      <c r="H1123" s="70"/>
      <c r="I1123" s="24" t="str">
        <f t="shared" ca="1" si="52"/>
        <v/>
      </c>
      <c r="J1123" s="24" t="str">
        <f t="shared" ca="1" si="53"/>
        <v/>
      </c>
      <c r="K1123" s="2"/>
      <c r="L1123" s="2"/>
    </row>
    <row r="1124" spans="1:12" x14ac:dyDescent="0.35">
      <c r="A1124" s="25" t="str">
        <f t="shared" si="54"/>
        <v/>
      </c>
      <c r="B1124" s="20"/>
      <c r="C1124" s="10"/>
      <c r="D1124" s="26" t="str">
        <f>IF(C1124="","",IFERROR(VLOOKUP(C1124,'Food Catalog'!$A:$B,2,0),"Unknown"))</f>
        <v/>
      </c>
      <c r="E1124" s="26" t="str">
        <f>IF(C1124="","",IFERROR(VLOOKUP(C1124,'Food Catalog'!$A:$C,3,0),""))</f>
        <v/>
      </c>
      <c r="F1124" s="26" t="str">
        <f>IF(C1124="","",IFERROR(VLOOKUP(C1124,'Food Catalog'!$A:$D,4,0),""))</f>
        <v/>
      </c>
      <c r="G1124" s="8"/>
      <c r="H1124" s="71"/>
      <c r="I1124" s="27" t="str">
        <f t="shared" ca="1" si="52"/>
        <v/>
      </c>
      <c r="J1124" s="27" t="str">
        <f t="shared" ca="1" si="53"/>
        <v/>
      </c>
      <c r="K1124" s="7"/>
      <c r="L1124" s="7"/>
    </row>
    <row r="1125" spans="1:12" x14ac:dyDescent="0.35">
      <c r="A1125" s="22" t="str">
        <f t="shared" si="54"/>
        <v/>
      </c>
      <c r="B1125" s="18"/>
      <c r="C1125" s="5"/>
      <c r="D1125" s="23" t="str">
        <f>IF(C1125="","",IFERROR(VLOOKUP(C1125,'Food Catalog'!$A:$B,2,0),"Unknown"))</f>
        <v/>
      </c>
      <c r="E1125" s="23" t="str">
        <f>IF(C1125="","",IFERROR(VLOOKUP(C1125,'Food Catalog'!$A:$C,3,0),""))</f>
        <v/>
      </c>
      <c r="F1125" s="23" t="str">
        <f>IF(C1125="","",IFERROR(VLOOKUP(C1125,'Food Catalog'!$A:$D,4,0),""))</f>
        <v/>
      </c>
      <c r="G1125" s="3"/>
      <c r="H1125" s="70"/>
      <c r="I1125" s="24" t="str">
        <f t="shared" ca="1" si="52"/>
        <v/>
      </c>
      <c r="J1125" s="24" t="str">
        <f t="shared" ca="1" si="53"/>
        <v/>
      </c>
      <c r="K1125" s="2"/>
      <c r="L1125" s="2"/>
    </row>
    <row r="1126" spans="1:12" x14ac:dyDescent="0.35">
      <c r="A1126" s="25" t="str">
        <f t="shared" si="54"/>
        <v/>
      </c>
      <c r="B1126" s="20"/>
      <c r="C1126" s="10"/>
      <c r="D1126" s="26" t="str">
        <f>IF(C1126="","",IFERROR(VLOOKUP(C1126,'Food Catalog'!$A:$B,2,0),"Unknown"))</f>
        <v/>
      </c>
      <c r="E1126" s="26" t="str">
        <f>IF(C1126="","",IFERROR(VLOOKUP(C1126,'Food Catalog'!$A:$C,3,0),""))</f>
        <v/>
      </c>
      <c r="F1126" s="26" t="str">
        <f>IF(C1126="","",IFERROR(VLOOKUP(C1126,'Food Catalog'!$A:$D,4,0),""))</f>
        <v/>
      </c>
      <c r="G1126" s="8"/>
      <c r="H1126" s="71"/>
      <c r="I1126" s="27" t="str">
        <f t="shared" ca="1" si="52"/>
        <v/>
      </c>
      <c r="J1126" s="27" t="str">
        <f t="shared" ca="1" si="53"/>
        <v/>
      </c>
      <c r="K1126" s="7"/>
      <c r="L1126" s="7"/>
    </row>
    <row r="1127" spans="1:12" x14ac:dyDescent="0.35">
      <c r="A1127" s="22" t="str">
        <f t="shared" si="54"/>
        <v/>
      </c>
      <c r="B1127" s="18"/>
      <c r="C1127" s="5"/>
      <c r="D1127" s="23" t="str">
        <f>IF(C1127="","",IFERROR(VLOOKUP(C1127,'Food Catalog'!$A:$B,2,0),"Unknown"))</f>
        <v/>
      </c>
      <c r="E1127" s="23" t="str">
        <f>IF(C1127="","",IFERROR(VLOOKUP(C1127,'Food Catalog'!$A:$C,3,0),""))</f>
        <v/>
      </c>
      <c r="F1127" s="23" t="str">
        <f>IF(C1127="","",IFERROR(VLOOKUP(C1127,'Food Catalog'!$A:$D,4,0),""))</f>
        <v/>
      </c>
      <c r="G1127" s="3"/>
      <c r="H1127" s="70"/>
      <c r="I1127" s="24" t="str">
        <f t="shared" ca="1" si="52"/>
        <v/>
      </c>
      <c r="J1127" s="24" t="str">
        <f t="shared" ca="1" si="53"/>
        <v/>
      </c>
      <c r="K1127" s="2"/>
      <c r="L1127" s="2"/>
    </row>
    <row r="1128" spans="1:12" x14ac:dyDescent="0.35">
      <c r="A1128" s="25" t="str">
        <f t="shared" si="54"/>
        <v/>
      </c>
      <c r="B1128" s="20"/>
      <c r="C1128" s="10"/>
      <c r="D1128" s="26" t="str">
        <f>IF(C1128="","",IFERROR(VLOOKUP(C1128,'Food Catalog'!$A:$B,2,0),"Unknown"))</f>
        <v/>
      </c>
      <c r="E1128" s="26" t="str">
        <f>IF(C1128="","",IFERROR(VLOOKUP(C1128,'Food Catalog'!$A:$C,3,0),""))</f>
        <v/>
      </c>
      <c r="F1128" s="26" t="str">
        <f>IF(C1128="","",IFERROR(VLOOKUP(C1128,'Food Catalog'!$A:$D,4,0),""))</f>
        <v/>
      </c>
      <c r="G1128" s="8"/>
      <c r="H1128" s="71"/>
      <c r="I1128" s="27" t="str">
        <f t="shared" ca="1" si="52"/>
        <v/>
      </c>
      <c r="J1128" s="27" t="str">
        <f t="shared" ca="1" si="53"/>
        <v/>
      </c>
      <c r="K1128" s="7"/>
      <c r="L1128" s="7"/>
    </row>
    <row r="1129" spans="1:12" x14ac:dyDescent="0.35">
      <c r="A1129" s="22" t="str">
        <f t="shared" si="54"/>
        <v/>
      </c>
      <c r="B1129" s="18"/>
      <c r="C1129" s="5"/>
      <c r="D1129" s="23" t="str">
        <f>IF(C1129="","",IFERROR(VLOOKUP(C1129,'Food Catalog'!$A:$B,2,0),"Unknown"))</f>
        <v/>
      </c>
      <c r="E1129" s="23" t="str">
        <f>IF(C1129="","",IFERROR(VLOOKUP(C1129,'Food Catalog'!$A:$C,3,0),""))</f>
        <v/>
      </c>
      <c r="F1129" s="23" t="str">
        <f>IF(C1129="","",IFERROR(VLOOKUP(C1129,'Food Catalog'!$A:$D,4,0),""))</f>
        <v/>
      </c>
      <c r="G1129" s="3"/>
      <c r="H1129" s="70"/>
      <c r="I1129" s="24" t="str">
        <f t="shared" ca="1" si="52"/>
        <v/>
      </c>
      <c r="J1129" s="24" t="str">
        <f t="shared" ca="1" si="53"/>
        <v/>
      </c>
      <c r="K1129" s="2"/>
      <c r="L1129" s="2"/>
    </row>
    <row r="1130" spans="1:12" x14ac:dyDescent="0.35">
      <c r="A1130" s="25" t="str">
        <f t="shared" si="54"/>
        <v/>
      </c>
      <c r="B1130" s="20"/>
      <c r="C1130" s="10"/>
      <c r="D1130" s="26" t="str">
        <f>IF(C1130="","",IFERROR(VLOOKUP(C1130,'Food Catalog'!$A:$B,2,0),"Unknown"))</f>
        <v/>
      </c>
      <c r="E1130" s="26" t="str">
        <f>IF(C1130="","",IFERROR(VLOOKUP(C1130,'Food Catalog'!$A:$C,3,0),""))</f>
        <v/>
      </c>
      <c r="F1130" s="26" t="str">
        <f>IF(C1130="","",IFERROR(VLOOKUP(C1130,'Food Catalog'!$A:$D,4,0),""))</f>
        <v/>
      </c>
      <c r="G1130" s="8"/>
      <c r="H1130" s="71"/>
      <c r="I1130" s="27" t="str">
        <f t="shared" ca="1" si="52"/>
        <v/>
      </c>
      <c r="J1130" s="27" t="str">
        <f t="shared" ca="1" si="53"/>
        <v/>
      </c>
      <c r="K1130" s="7"/>
      <c r="L1130" s="7"/>
    </row>
    <row r="1131" spans="1:12" x14ac:dyDescent="0.35">
      <c r="A1131" s="22" t="str">
        <f t="shared" si="54"/>
        <v/>
      </c>
      <c r="B1131" s="18"/>
      <c r="C1131" s="5"/>
      <c r="D1131" s="23" t="str">
        <f>IF(C1131="","",IFERROR(VLOOKUP(C1131,'Food Catalog'!$A:$B,2,0),"Unknown"))</f>
        <v/>
      </c>
      <c r="E1131" s="23" t="str">
        <f>IF(C1131="","",IFERROR(VLOOKUP(C1131,'Food Catalog'!$A:$C,3,0),""))</f>
        <v/>
      </c>
      <c r="F1131" s="23" t="str">
        <f>IF(C1131="","",IFERROR(VLOOKUP(C1131,'Food Catalog'!$A:$D,4,0),""))</f>
        <v/>
      </c>
      <c r="G1131" s="3"/>
      <c r="H1131" s="70"/>
      <c r="I1131" s="24" t="str">
        <f t="shared" ca="1" si="52"/>
        <v/>
      </c>
      <c r="J1131" s="24" t="str">
        <f t="shared" ca="1" si="53"/>
        <v/>
      </c>
      <c r="K1131" s="2"/>
      <c r="L1131" s="2"/>
    </row>
    <row r="1132" spans="1:12" x14ac:dyDescent="0.35">
      <c r="A1132" s="25" t="str">
        <f t="shared" si="54"/>
        <v/>
      </c>
      <c r="B1132" s="20"/>
      <c r="C1132" s="10"/>
      <c r="D1132" s="26" t="str">
        <f>IF(C1132="","",IFERROR(VLOOKUP(C1132,'Food Catalog'!$A:$B,2,0),"Unknown"))</f>
        <v/>
      </c>
      <c r="E1132" s="26" t="str">
        <f>IF(C1132="","",IFERROR(VLOOKUP(C1132,'Food Catalog'!$A:$C,3,0),""))</f>
        <v/>
      </c>
      <c r="F1132" s="26" t="str">
        <f>IF(C1132="","",IFERROR(VLOOKUP(C1132,'Food Catalog'!$A:$D,4,0),""))</f>
        <v/>
      </c>
      <c r="G1132" s="8"/>
      <c r="H1132" s="71"/>
      <c r="I1132" s="27" t="str">
        <f t="shared" ca="1" si="52"/>
        <v/>
      </c>
      <c r="J1132" s="27" t="str">
        <f t="shared" ca="1" si="53"/>
        <v/>
      </c>
      <c r="K1132" s="7"/>
      <c r="L1132" s="7"/>
    </row>
    <row r="1133" spans="1:12" x14ac:dyDescent="0.35">
      <c r="A1133" s="22" t="str">
        <f t="shared" si="54"/>
        <v/>
      </c>
      <c r="B1133" s="18"/>
      <c r="C1133" s="5"/>
      <c r="D1133" s="23" t="str">
        <f>IF(C1133="","",IFERROR(VLOOKUP(C1133,'Food Catalog'!$A:$B,2,0),"Unknown"))</f>
        <v/>
      </c>
      <c r="E1133" s="23" t="str">
        <f>IF(C1133="","",IFERROR(VLOOKUP(C1133,'Food Catalog'!$A:$C,3,0),""))</f>
        <v/>
      </c>
      <c r="F1133" s="23" t="str">
        <f>IF(C1133="","",IFERROR(VLOOKUP(C1133,'Food Catalog'!$A:$D,4,0),""))</f>
        <v/>
      </c>
      <c r="G1133" s="3"/>
      <c r="H1133" s="70"/>
      <c r="I1133" s="24" t="str">
        <f t="shared" ca="1" si="52"/>
        <v/>
      </c>
      <c r="J1133" s="24" t="str">
        <f t="shared" ca="1" si="53"/>
        <v/>
      </c>
      <c r="K1133" s="2"/>
      <c r="L1133" s="2"/>
    </row>
    <row r="1134" spans="1:12" x14ac:dyDescent="0.35">
      <c r="A1134" s="25" t="str">
        <f t="shared" si="54"/>
        <v/>
      </c>
      <c r="B1134" s="20"/>
      <c r="C1134" s="10"/>
      <c r="D1134" s="26" t="str">
        <f>IF(C1134="","",IFERROR(VLOOKUP(C1134,'Food Catalog'!$A:$B,2,0),"Unknown"))</f>
        <v/>
      </c>
      <c r="E1134" s="26" t="str">
        <f>IF(C1134="","",IFERROR(VLOOKUP(C1134,'Food Catalog'!$A:$C,3,0),""))</f>
        <v/>
      </c>
      <c r="F1134" s="26" t="str">
        <f>IF(C1134="","",IFERROR(VLOOKUP(C1134,'Food Catalog'!$A:$D,4,0),""))</f>
        <v/>
      </c>
      <c r="G1134" s="8"/>
      <c r="H1134" s="71"/>
      <c r="I1134" s="27" t="str">
        <f t="shared" ca="1" si="52"/>
        <v/>
      </c>
      <c r="J1134" s="27" t="str">
        <f t="shared" ca="1" si="53"/>
        <v/>
      </c>
      <c r="K1134" s="7"/>
      <c r="L1134" s="7"/>
    </row>
    <row r="1135" spans="1:12" x14ac:dyDescent="0.35">
      <c r="A1135" s="22" t="str">
        <f t="shared" si="54"/>
        <v/>
      </c>
      <c r="B1135" s="18"/>
      <c r="C1135" s="5"/>
      <c r="D1135" s="23" t="str">
        <f>IF(C1135="","",IFERROR(VLOOKUP(C1135,'Food Catalog'!$A:$B,2,0),"Unknown"))</f>
        <v/>
      </c>
      <c r="E1135" s="23" t="str">
        <f>IF(C1135="","",IFERROR(VLOOKUP(C1135,'Food Catalog'!$A:$C,3,0),""))</f>
        <v/>
      </c>
      <c r="F1135" s="23" t="str">
        <f>IF(C1135="","",IFERROR(VLOOKUP(C1135,'Food Catalog'!$A:$D,4,0),""))</f>
        <v/>
      </c>
      <c r="G1135" s="3"/>
      <c r="H1135" s="70"/>
      <c r="I1135" s="24" t="str">
        <f t="shared" ca="1" si="52"/>
        <v/>
      </c>
      <c r="J1135" s="24" t="str">
        <f t="shared" ca="1" si="53"/>
        <v/>
      </c>
      <c r="K1135" s="2"/>
      <c r="L1135" s="2"/>
    </row>
    <row r="1136" spans="1:12" x14ac:dyDescent="0.35">
      <c r="A1136" s="25" t="str">
        <f t="shared" si="54"/>
        <v/>
      </c>
      <c r="B1136" s="20"/>
      <c r="C1136" s="10"/>
      <c r="D1136" s="26" t="str">
        <f>IF(C1136="","",IFERROR(VLOOKUP(C1136,'Food Catalog'!$A:$B,2,0),"Unknown"))</f>
        <v/>
      </c>
      <c r="E1136" s="26" t="str">
        <f>IF(C1136="","",IFERROR(VLOOKUP(C1136,'Food Catalog'!$A:$C,3,0),""))</f>
        <v/>
      </c>
      <c r="F1136" s="26" t="str">
        <f>IF(C1136="","",IFERROR(VLOOKUP(C1136,'Food Catalog'!$A:$D,4,0),""))</f>
        <v/>
      </c>
      <c r="G1136" s="8"/>
      <c r="H1136" s="71"/>
      <c r="I1136" s="27" t="str">
        <f t="shared" ca="1" si="52"/>
        <v/>
      </c>
      <c r="J1136" s="27" t="str">
        <f t="shared" ca="1" si="53"/>
        <v/>
      </c>
      <c r="K1136" s="7"/>
      <c r="L1136" s="7"/>
    </row>
    <row r="1137" spans="1:12" x14ac:dyDescent="0.35">
      <c r="A1137" s="22" t="str">
        <f t="shared" si="54"/>
        <v/>
      </c>
      <c r="B1137" s="18"/>
      <c r="C1137" s="5"/>
      <c r="D1137" s="23" t="str">
        <f>IF(C1137="","",IFERROR(VLOOKUP(C1137,'Food Catalog'!$A:$B,2,0),"Unknown"))</f>
        <v/>
      </c>
      <c r="E1137" s="23" t="str">
        <f>IF(C1137="","",IFERROR(VLOOKUP(C1137,'Food Catalog'!$A:$C,3,0),""))</f>
        <v/>
      </c>
      <c r="F1137" s="23" t="str">
        <f>IF(C1137="","",IFERROR(VLOOKUP(C1137,'Food Catalog'!$A:$D,4,0),""))</f>
        <v/>
      </c>
      <c r="G1137" s="3"/>
      <c r="H1137" s="70"/>
      <c r="I1137" s="24" t="str">
        <f t="shared" ca="1" si="52"/>
        <v/>
      </c>
      <c r="J1137" s="24" t="str">
        <f t="shared" ca="1" si="53"/>
        <v/>
      </c>
      <c r="K1137" s="2"/>
      <c r="L1137" s="2"/>
    </row>
    <row r="1138" spans="1:12" x14ac:dyDescent="0.35">
      <c r="A1138" s="25" t="str">
        <f t="shared" si="54"/>
        <v/>
      </c>
      <c r="B1138" s="20"/>
      <c r="C1138" s="10"/>
      <c r="D1138" s="26" t="str">
        <f>IF(C1138="","",IFERROR(VLOOKUP(C1138,'Food Catalog'!$A:$B,2,0),"Unknown"))</f>
        <v/>
      </c>
      <c r="E1138" s="26" t="str">
        <f>IF(C1138="","",IFERROR(VLOOKUP(C1138,'Food Catalog'!$A:$C,3,0),""))</f>
        <v/>
      </c>
      <c r="F1138" s="26" t="str">
        <f>IF(C1138="","",IFERROR(VLOOKUP(C1138,'Food Catalog'!$A:$D,4,0),""))</f>
        <v/>
      </c>
      <c r="G1138" s="8"/>
      <c r="H1138" s="71"/>
      <c r="I1138" s="27" t="str">
        <f t="shared" ca="1" si="52"/>
        <v/>
      </c>
      <c r="J1138" s="27" t="str">
        <f t="shared" ca="1" si="53"/>
        <v/>
      </c>
      <c r="K1138" s="7"/>
      <c r="L1138" s="7"/>
    </row>
    <row r="1139" spans="1:12" x14ac:dyDescent="0.35">
      <c r="A1139" s="22" t="str">
        <f t="shared" si="54"/>
        <v/>
      </c>
      <c r="B1139" s="18"/>
      <c r="C1139" s="5"/>
      <c r="D1139" s="23" t="str">
        <f>IF(C1139="","",IFERROR(VLOOKUP(C1139,'Food Catalog'!$A:$B,2,0),"Unknown"))</f>
        <v/>
      </c>
      <c r="E1139" s="23" t="str">
        <f>IF(C1139="","",IFERROR(VLOOKUP(C1139,'Food Catalog'!$A:$C,3,0),""))</f>
        <v/>
      </c>
      <c r="F1139" s="23" t="str">
        <f>IF(C1139="","",IFERROR(VLOOKUP(C1139,'Food Catalog'!$A:$D,4,0),""))</f>
        <v/>
      </c>
      <c r="G1139" s="3"/>
      <c r="H1139" s="70"/>
      <c r="I1139" s="24" t="str">
        <f t="shared" ca="1" si="52"/>
        <v/>
      </c>
      <c r="J1139" s="24" t="str">
        <f t="shared" ca="1" si="53"/>
        <v/>
      </c>
      <c r="K1139" s="2"/>
      <c r="L1139" s="2"/>
    </row>
    <row r="1140" spans="1:12" x14ac:dyDescent="0.35">
      <c r="A1140" s="25" t="str">
        <f t="shared" si="54"/>
        <v/>
      </c>
      <c r="B1140" s="20"/>
      <c r="C1140" s="10"/>
      <c r="D1140" s="26" t="str">
        <f>IF(C1140="","",IFERROR(VLOOKUP(C1140,'Food Catalog'!$A:$B,2,0),"Unknown"))</f>
        <v/>
      </c>
      <c r="E1140" s="26" t="str">
        <f>IF(C1140="","",IFERROR(VLOOKUP(C1140,'Food Catalog'!$A:$C,3,0),""))</f>
        <v/>
      </c>
      <c r="F1140" s="26" t="str">
        <f>IF(C1140="","",IFERROR(VLOOKUP(C1140,'Food Catalog'!$A:$D,4,0),""))</f>
        <v/>
      </c>
      <c r="G1140" s="8"/>
      <c r="H1140" s="71"/>
      <c r="I1140" s="27" t="str">
        <f t="shared" ca="1" si="52"/>
        <v/>
      </c>
      <c r="J1140" s="27" t="str">
        <f t="shared" ca="1" si="53"/>
        <v/>
      </c>
      <c r="K1140" s="7"/>
      <c r="L1140" s="7"/>
    </row>
    <row r="1141" spans="1:12" x14ac:dyDescent="0.35">
      <c r="A1141" s="22" t="str">
        <f t="shared" si="54"/>
        <v/>
      </c>
      <c r="B1141" s="18"/>
      <c r="C1141" s="5"/>
      <c r="D1141" s="23" t="str">
        <f>IF(C1141="","",IFERROR(VLOOKUP(C1141,'Food Catalog'!$A:$B,2,0),"Unknown"))</f>
        <v/>
      </c>
      <c r="E1141" s="23" t="str">
        <f>IF(C1141="","",IFERROR(VLOOKUP(C1141,'Food Catalog'!$A:$C,3,0),""))</f>
        <v/>
      </c>
      <c r="F1141" s="23" t="str">
        <f>IF(C1141="","",IFERROR(VLOOKUP(C1141,'Food Catalog'!$A:$D,4,0),""))</f>
        <v/>
      </c>
      <c r="G1141" s="3"/>
      <c r="H1141" s="70"/>
      <c r="I1141" s="24" t="str">
        <f t="shared" ca="1" si="52"/>
        <v/>
      </c>
      <c r="J1141" s="24" t="str">
        <f t="shared" ca="1" si="53"/>
        <v/>
      </c>
      <c r="K1141" s="2"/>
      <c r="L1141" s="2"/>
    </row>
    <row r="1142" spans="1:12" x14ac:dyDescent="0.35">
      <c r="A1142" s="25" t="str">
        <f t="shared" si="54"/>
        <v/>
      </c>
      <c r="B1142" s="20"/>
      <c r="C1142" s="10"/>
      <c r="D1142" s="26" t="str">
        <f>IF(C1142="","",IFERROR(VLOOKUP(C1142,'Food Catalog'!$A:$B,2,0),"Unknown"))</f>
        <v/>
      </c>
      <c r="E1142" s="26" t="str">
        <f>IF(C1142="","",IFERROR(VLOOKUP(C1142,'Food Catalog'!$A:$C,3,0),""))</f>
        <v/>
      </c>
      <c r="F1142" s="26" t="str">
        <f>IF(C1142="","",IFERROR(VLOOKUP(C1142,'Food Catalog'!$A:$D,4,0),""))</f>
        <v/>
      </c>
      <c r="G1142" s="8"/>
      <c r="H1142" s="71"/>
      <c r="I1142" s="27" t="str">
        <f t="shared" ca="1" si="52"/>
        <v/>
      </c>
      <c r="J1142" s="27" t="str">
        <f t="shared" ca="1" si="53"/>
        <v/>
      </c>
      <c r="K1142" s="7"/>
      <c r="L1142" s="7"/>
    </row>
    <row r="1143" spans="1:12" x14ac:dyDescent="0.35">
      <c r="A1143" s="22" t="str">
        <f t="shared" si="54"/>
        <v/>
      </c>
      <c r="B1143" s="18"/>
      <c r="C1143" s="5"/>
      <c r="D1143" s="23" t="str">
        <f>IF(C1143="","",IFERROR(VLOOKUP(C1143,'Food Catalog'!$A:$B,2,0),"Unknown"))</f>
        <v/>
      </c>
      <c r="E1143" s="23" t="str">
        <f>IF(C1143="","",IFERROR(VLOOKUP(C1143,'Food Catalog'!$A:$C,3,0),""))</f>
        <v/>
      </c>
      <c r="F1143" s="23" t="str">
        <f>IF(C1143="","",IFERROR(VLOOKUP(C1143,'Food Catalog'!$A:$D,4,0),""))</f>
        <v/>
      </c>
      <c r="G1143" s="3"/>
      <c r="H1143" s="70"/>
      <c r="I1143" s="24" t="str">
        <f t="shared" ca="1" si="52"/>
        <v/>
      </c>
      <c r="J1143" s="24" t="str">
        <f t="shared" ca="1" si="53"/>
        <v/>
      </c>
      <c r="K1143" s="2"/>
      <c r="L1143" s="2"/>
    </row>
    <row r="1144" spans="1:12" x14ac:dyDescent="0.35">
      <c r="A1144" s="25" t="str">
        <f t="shared" si="54"/>
        <v/>
      </c>
      <c r="B1144" s="20"/>
      <c r="C1144" s="10"/>
      <c r="D1144" s="26" t="str">
        <f>IF(C1144="","",IFERROR(VLOOKUP(C1144,'Food Catalog'!$A:$B,2,0),"Unknown"))</f>
        <v/>
      </c>
      <c r="E1144" s="26" t="str">
        <f>IF(C1144="","",IFERROR(VLOOKUP(C1144,'Food Catalog'!$A:$C,3,0),""))</f>
        <v/>
      </c>
      <c r="F1144" s="26" t="str">
        <f>IF(C1144="","",IFERROR(VLOOKUP(C1144,'Food Catalog'!$A:$D,4,0),""))</f>
        <v/>
      </c>
      <c r="G1144" s="8"/>
      <c r="H1144" s="71"/>
      <c r="I1144" s="27" t="str">
        <f t="shared" ca="1" si="52"/>
        <v/>
      </c>
      <c r="J1144" s="27" t="str">
        <f t="shared" ca="1" si="53"/>
        <v/>
      </c>
      <c r="K1144" s="7"/>
      <c r="L1144" s="7"/>
    </row>
    <row r="1145" spans="1:12" x14ac:dyDescent="0.35">
      <c r="A1145" s="22" t="str">
        <f t="shared" ref="A1145:A1176" si="55">IF(G1145="","",TEXT(ROW()-1014,"DON-0000"))</f>
        <v/>
      </c>
      <c r="B1145" s="18"/>
      <c r="C1145" s="5"/>
      <c r="D1145" s="23" t="str">
        <f>IF(C1145="","",IFERROR(VLOOKUP(C1145,'Food Catalog'!$A:$B,2,0),"Unknown"))</f>
        <v/>
      </c>
      <c r="E1145" s="23" t="str">
        <f>IF(C1145="","",IFERROR(VLOOKUP(C1145,'Food Catalog'!$A:$C,3,0),""))</f>
        <v/>
      </c>
      <c r="F1145" s="23" t="str">
        <f>IF(C1145="","",IFERROR(VLOOKUP(C1145,'Food Catalog'!$A:$D,4,0),""))</f>
        <v/>
      </c>
      <c r="G1145" s="3"/>
      <c r="H1145" s="70"/>
      <c r="I1145" s="24" t="str">
        <f t="shared" ca="1" si="52"/>
        <v/>
      </c>
      <c r="J1145" s="24" t="str">
        <f t="shared" ca="1" si="53"/>
        <v/>
      </c>
      <c r="K1145" s="2"/>
      <c r="L1145" s="2"/>
    </row>
    <row r="1146" spans="1:12" x14ac:dyDescent="0.35">
      <c r="A1146" s="25" t="str">
        <f t="shared" si="55"/>
        <v/>
      </c>
      <c r="B1146" s="20"/>
      <c r="C1146" s="10"/>
      <c r="D1146" s="26" t="str">
        <f>IF(C1146="","",IFERROR(VLOOKUP(C1146,'Food Catalog'!$A:$B,2,0),"Unknown"))</f>
        <v/>
      </c>
      <c r="E1146" s="26" t="str">
        <f>IF(C1146="","",IFERROR(VLOOKUP(C1146,'Food Catalog'!$A:$C,3,0),""))</f>
        <v/>
      </c>
      <c r="F1146" s="26" t="str">
        <f>IF(C1146="","",IFERROR(VLOOKUP(C1146,'Food Catalog'!$A:$D,4,0),""))</f>
        <v/>
      </c>
      <c r="G1146" s="8"/>
      <c r="H1146" s="71"/>
      <c r="I1146" s="27" t="str">
        <f t="shared" ca="1" si="52"/>
        <v/>
      </c>
      <c r="J1146" s="27" t="str">
        <f t="shared" ca="1" si="53"/>
        <v/>
      </c>
      <c r="K1146" s="7"/>
      <c r="L1146" s="7"/>
    </row>
    <row r="1147" spans="1:12" x14ac:dyDescent="0.35">
      <c r="A1147" s="22" t="str">
        <f t="shared" si="55"/>
        <v/>
      </c>
      <c r="B1147" s="18"/>
      <c r="C1147" s="5"/>
      <c r="D1147" s="23" t="str">
        <f>IF(C1147="","",IFERROR(VLOOKUP(C1147,'Food Catalog'!$A:$B,2,0),"Unknown"))</f>
        <v/>
      </c>
      <c r="E1147" s="23" t="str">
        <f>IF(C1147="","",IFERROR(VLOOKUP(C1147,'Food Catalog'!$A:$C,3,0),""))</f>
        <v/>
      </c>
      <c r="F1147" s="23" t="str">
        <f>IF(C1147="","",IFERROR(VLOOKUP(C1147,'Food Catalog'!$A:$D,4,0),""))</f>
        <v/>
      </c>
      <c r="G1147" s="3"/>
      <c r="H1147" s="70"/>
      <c r="I1147" s="24" t="str">
        <f t="shared" ca="1" si="52"/>
        <v/>
      </c>
      <c r="J1147" s="24" t="str">
        <f t="shared" ca="1" si="53"/>
        <v/>
      </c>
      <c r="K1147" s="2"/>
      <c r="L1147" s="2"/>
    </row>
    <row r="1148" spans="1:12" x14ac:dyDescent="0.35">
      <c r="A1148" s="25" t="str">
        <f t="shared" si="55"/>
        <v/>
      </c>
      <c r="B1148" s="20"/>
      <c r="C1148" s="10"/>
      <c r="D1148" s="26" t="str">
        <f>IF(C1148="","",IFERROR(VLOOKUP(C1148,'Food Catalog'!$A:$B,2,0),"Unknown"))</f>
        <v/>
      </c>
      <c r="E1148" s="26" t="str">
        <f>IF(C1148="","",IFERROR(VLOOKUP(C1148,'Food Catalog'!$A:$C,3,0),""))</f>
        <v/>
      </c>
      <c r="F1148" s="26" t="str">
        <f>IF(C1148="","",IFERROR(VLOOKUP(C1148,'Food Catalog'!$A:$D,4,0),""))</f>
        <v/>
      </c>
      <c r="G1148" s="8"/>
      <c r="H1148" s="71"/>
      <c r="I1148" s="27" t="str">
        <f t="shared" ca="1" si="52"/>
        <v/>
      </c>
      <c r="J1148" s="27" t="str">
        <f t="shared" ca="1" si="53"/>
        <v/>
      </c>
      <c r="K1148" s="7"/>
      <c r="L1148" s="7"/>
    </row>
    <row r="1149" spans="1:12" x14ac:dyDescent="0.35">
      <c r="A1149" s="22" t="str">
        <f t="shared" si="55"/>
        <v/>
      </c>
      <c r="B1149" s="18"/>
      <c r="C1149" s="5"/>
      <c r="D1149" s="23" t="str">
        <f>IF(C1149="","",IFERROR(VLOOKUP(C1149,'Food Catalog'!$A:$B,2,0),"Unknown"))</f>
        <v/>
      </c>
      <c r="E1149" s="23" t="str">
        <f>IF(C1149="","",IFERROR(VLOOKUP(C1149,'Food Catalog'!$A:$C,3,0),""))</f>
        <v/>
      </c>
      <c r="F1149" s="23" t="str">
        <f>IF(C1149="","",IFERROR(VLOOKUP(C1149,'Food Catalog'!$A:$D,4,0),""))</f>
        <v/>
      </c>
      <c r="G1149" s="3"/>
      <c r="H1149" s="70"/>
      <c r="I1149" s="24" t="str">
        <f t="shared" ca="1" si="52"/>
        <v/>
      </c>
      <c r="J1149" s="24" t="str">
        <f t="shared" ca="1" si="53"/>
        <v/>
      </c>
      <c r="K1149" s="2"/>
      <c r="L1149" s="2"/>
    </row>
    <row r="1150" spans="1:12" x14ac:dyDescent="0.35">
      <c r="A1150" s="25" t="str">
        <f t="shared" si="55"/>
        <v/>
      </c>
      <c r="B1150" s="20"/>
      <c r="C1150" s="10"/>
      <c r="D1150" s="26" t="str">
        <f>IF(C1150="","",IFERROR(VLOOKUP(C1150,'Food Catalog'!$A:$B,2,0),"Unknown"))</f>
        <v/>
      </c>
      <c r="E1150" s="26" t="str">
        <f>IF(C1150="","",IFERROR(VLOOKUP(C1150,'Food Catalog'!$A:$C,3,0),""))</f>
        <v/>
      </c>
      <c r="F1150" s="26" t="str">
        <f>IF(C1150="","",IFERROR(VLOOKUP(C1150,'Food Catalog'!$A:$D,4,0),""))</f>
        <v/>
      </c>
      <c r="G1150" s="8"/>
      <c r="H1150" s="71"/>
      <c r="I1150" s="27" t="str">
        <f t="shared" ca="1" si="52"/>
        <v/>
      </c>
      <c r="J1150" s="27" t="str">
        <f t="shared" ca="1" si="53"/>
        <v/>
      </c>
      <c r="K1150" s="7"/>
      <c r="L1150" s="7"/>
    </row>
    <row r="1151" spans="1:12" x14ac:dyDescent="0.35">
      <c r="A1151" s="22" t="str">
        <f t="shared" si="55"/>
        <v/>
      </c>
      <c r="B1151" s="18"/>
      <c r="C1151" s="5"/>
      <c r="D1151" s="23" t="str">
        <f>IF(C1151="","",IFERROR(VLOOKUP(C1151,'Food Catalog'!$A:$B,2,0),"Unknown"))</f>
        <v/>
      </c>
      <c r="E1151" s="23" t="str">
        <f>IF(C1151="","",IFERROR(VLOOKUP(C1151,'Food Catalog'!$A:$C,3,0),""))</f>
        <v/>
      </c>
      <c r="F1151" s="23" t="str">
        <f>IF(C1151="","",IFERROR(VLOOKUP(C1151,'Food Catalog'!$A:$D,4,0),""))</f>
        <v/>
      </c>
      <c r="G1151" s="3"/>
      <c r="H1151" s="70"/>
      <c r="I1151" s="24" t="str">
        <f t="shared" ca="1" si="52"/>
        <v/>
      </c>
      <c r="J1151" s="24" t="str">
        <f t="shared" ca="1" si="53"/>
        <v/>
      </c>
      <c r="K1151" s="2"/>
      <c r="L1151" s="2"/>
    </row>
    <row r="1152" spans="1:12" x14ac:dyDescent="0.35">
      <c r="A1152" s="25" t="str">
        <f t="shared" si="55"/>
        <v/>
      </c>
      <c r="B1152" s="20"/>
      <c r="C1152" s="10"/>
      <c r="D1152" s="26" t="str">
        <f>IF(C1152="","",IFERROR(VLOOKUP(C1152,'Food Catalog'!$A:$B,2,0),"Unknown"))</f>
        <v/>
      </c>
      <c r="E1152" s="26" t="str">
        <f>IF(C1152="","",IFERROR(VLOOKUP(C1152,'Food Catalog'!$A:$C,3,0),""))</f>
        <v/>
      </c>
      <c r="F1152" s="26" t="str">
        <f>IF(C1152="","",IFERROR(VLOOKUP(C1152,'Food Catalog'!$A:$D,4,0),""))</f>
        <v/>
      </c>
      <c r="G1152" s="8"/>
      <c r="H1152" s="71"/>
      <c r="I1152" s="27" t="str">
        <f t="shared" ca="1" si="52"/>
        <v/>
      </c>
      <c r="J1152" s="27" t="str">
        <f t="shared" ca="1" si="53"/>
        <v/>
      </c>
      <c r="K1152" s="7"/>
      <c r="L1152" s="7"/>
    </row>
    <row r="1153" spans="1:12" x14ac:dyDescent="0.35">
      <c r="A1153" s="22" t="str">
        <f t="shared" si="55"/>
        <v/>
      </c>
      <c r="B1153" s="18"/>
      <c r="C1153" s="5"/>
      <c r="D1153" s="23" t="str">
        <f>IF(C1153="","",IFERROR(VLOOKUP(C1153,'Food Catalog'!$A:$B,2,0),"Unknown"))</f>
        <v/>
      </c>
      <c r="E1153" s="23" t="str">
        <f>IF(C1153="","",IFERROR(VLOOKUP(C1153,'Food Catalog'!$A:$C,3,0),""))</f>
        <v/>
      </c>
      <c r="F1153" s="23" t="str">
        <f>IF(C1153="","",IFERROR(VLOOKUP(C1153,'Food Catalog'!$A:$D,4,0),""))</f>
        <v/>
      </c>
      <c r="G1153" s="3"/>
      <c r="H1153" s="70"/>
      <c r="I1153" s="24" t="str">
        <f t="shared" ca="1" si="52"/>
        <v/>
      </c>
      <c r="J1153" s="24" t="str">
        <f t="shared" ca="1" si="53"/>
        <v/>
      </c>
      <c r="K1153" s="2"/>
      <c r="L1153" s="2"/>
    </row>
    <row r="1154" spans="1:12" x14ac:dyDescent="0.35">
      <c r="A1154" s="25" t="str">
        <f t="shared" si="55"/>
        <v/>
      </c>
      <c r="B1154" s="20"/>
      <c r="C1154" s="10"/>
      <c r="D1154" s="26" t="str">
        <f>IF(C1154="","",IFERROR(VLOOKUP(C1154,'Food Catalog'!$A:$B,2,0),"Unknown"))</f>
        <v/>
      </c>
      <c r="E1154" s="26" t="str">
        <f>IF(C1154="","",IFERROR(VLOOKUP(C1154,'Food Catalog'!$A:$C,3,0),""))</f>
        <v/>
      </c>
      <c r="F1154" s="26" t="str">
        <f>IF(C1154="","",IFERROR(VLOOKUP(C1154,'Food Catalog'!$A:$D,4,0),""))</f>
        <v/>
      </c>
      <c r="G1154" s="8"/>
      <c r="H1154" s="71"/>
      <c r="I1154" s="27" t="str">
        <f t="shared" ca="1" si="52"/>
        <v/>
      </c>
      <c r="J1154" s="27" t="str">
        <f t="shared" ca="1" si="53"/>
        <v/>
      </c>
      <c r="K1154" s="7"/>
      <c r="L1154" s="7"/>
    </row>
    <row r="1155" spans="1:12" x14ac:dyDescent="0.35">
      <c r="A1155" s="22" t="str">
        <f t="shared" si="55"/>
        <v/>
      </c>
      <c r="B1155" s="18"/>
      <c r="C1155" s="5"/>
      <c r="D1155" s="23" t="str">
        <f>IF(C1155="","",IFERROR(VLOOKUP(C1155,'Food Catalog'!$A:$B,2,0),"Unknown"))</f>
        <v/>
      </c>
      <c r="E1155" s="23" t="str">
        <f>IF(C1155="","",IFERROR(VLOOKUP(C1155,'Food Catalog'!$A:$C,3,0),""))</f>
        <v/>
      </c>
      <c r="F1155" s="23" t="str">
        <f>IF(C1155="","",IFERROR(VLOOKUP(C1155,'Food Catalog'!$A:$D,4,0),""))</f>
        <v/>
      </c>
      <c r="G1155" s="3"/>
      <c r="H1155" s="70"/>
      <c r="I1155" s="24" t="str">
        <f t="shared" ca="1" si="52"/>
        <v/>
      </c>
      <c r="J1155" s="24" t="str">
        <f t="shared" ca="1" si="53"/>
        <v/>
      </c>
      <c r="K1155" s="2"/>
      <c r="L1155" s="2"/>
    </row>
    <row r="1156" spans="1:12" x14ac:dyDescent="0.35">
      <c r="A1156" s="25" t="str">
        <f t="shared" si="55"/>
        <v/>
      </c>
      <c r="B1156" s="20"/>
      <c r="C1156" s="10"/>
      <c r="D1156" s="26" t="str">
        <f>IF(C1156="","",IFERROR(VLOOKUP(C1156,'Food Catalog'!$A:$B,2,0),"Unknown"))</f>
        <v/>
      </c>
      <c r="E1156" s="26" t="str">
        <f>IF(C1156="","",IFERROR(VLOOKUP(C1156,'Food Catalog'!$A:$C,3,0),""))</f>
        <v/>
      </c>
      <c r="F1156" s="26" t="str">
        <f>IF(C1156="","",IFERROR(VLOOKUP(C1156,'Food Catalog'!$A:$D,4,0),""))</f>
        <v/>
      </c>
      <c r="G1156" s="8"/>
      <c r="H1156" s="71"/>
      <c r="I1156" s="27" t="str">
        <f t="shared" ca="1" si="52"/>
        <v/>
      </c>
      <c r="J1156" s="27" t="str">
        <f t="shared" ca="1" si="53"/>
        <v/>
      </c>
      <c r="K1156" s="7"/>
      <c r="L1156" s="7"/>
    </row>
    <row r="1157" spans="1:12" x14ac:dyDescent="0.35">
      <c r="A1157" s="22" t="str">
        <f t="shared" si="55"/>
        <v/>
      </c>
      <c r="B1157" s="18"/>
      <c r="C1157" s="5"/>
      <c r="D1157" s="23" t="str">
        <f>IF(C1157="","",IFERROR(VLOOKUP(C1157,'Food Catalog'!$A:$B,2,0),"Unknown"))</f>
        <v/>
      </c>
      <c r="E1157" s="23" t="str">
        <f>IF(C1157="","",IFERROR(VLOOKUP(C1157,'Food Catalog'!$A:$C,3,0),""))</f>
        <v/>
      </c>
      <c r="F1157" s="23" t="str">
        <f>IF(C1157="","",IFERROR(VLOOKUP(C1157,'Food Catalog'!$A:$D,4,0),""))</f>
        <v/>
      </c>
      <c r="G1157" s="3"/>
      <c r="H1157" s="70"/>
      <c r="I1157" s="24" t="str">
        <f t="shared" ref="I1157:I1212" ca="1" si="56">IF(H1157="","",H1157-TODAY())</f>
        <v/>
      </c>
      <c r="J1157" s="24" t="str">
        <f t="shared" ref="J1157:J1212" ca="1" si="57">IF(I1157="","",IF(I1157&lt;=0,"EXPIRED",IF(I1157&lt;=3,"CRITICAL",IF(I1157&lt;=7,"WARNING",IF(I1157&lt;=30,"NOTICE","OK")))))</f>
        <v/>
      </c>
      <c r="K1157" s="2"/>
      <c r="L1157" s="2"/>
    </row>
    <row r="1158" spans="1:12" x14ac:dyDescent="0.35">
      <c r="A1158" s="25" t="str">
        <f t="shared" si="55"/>
        <v/>
      </c>
      <c r="B1158" s="20"/>
      <c r="C1158" s="10"/>
      <c r="D1158" s="26" t="str">
        <f>IF(C1158="","",IFERROR(VLOOKUP(C1158,'Food Catalog'!$A:$B,2,0),"Unknown"))</f>
        <v/>
      </c>
      <c r="E1158" s="26" t="str">
        <f>IF(C1158="","",IFERROR(VLOOKUP(C1158,'Food Catalog'!$A:$C,3,0),""))</f>
        <v/>
      </c>
      <c r="F1158" s="26" t="str">
        <f>IF(C1158="","",IFERROR(VLOOKUP(C1158,'Food Catalog'!$A:$D,4,0),""))</f>
        <v/>
      </c>
      <c r="G1158" s="8"/>
      <c r="H1158" s="71"/>
      <c r="I1158" s="27" t="str">
        <f t="shared" ca="1" si="56"/>
        <v/>
      </c>
      <c r="J1158" s="27" t="str">
        <f t="shared" ca="1" si="57"/>
        <v/>
      </c>
      <c r="K1158" s="7"/>
      <c r="L1158" s="7"/>
    </row>
    <row r="1159" spans="1:12" x14ac:dyDescent="0.35">
      <c r="A1159" s="22" t="str">
        <f t="shared" si="55"/>
        <v/>
      </c>
      <c r="B1159" s="18"/>
      <c r="C1159" s="5"/>
      <c r="D1159" s="23" t="str">
        <f>IF(C1159="","",IFERROR(VLOOKUP(C1159,'Food Catalog'!$A:$B,2,0),"Unknown"))</f>
        <v/>
      </c>
      <c r="E1159" s="23" t="str">
        <f>IF(C1159="","",IFERROR(VLOOKUP(C1159,'Food Catalog'!$A:$C,3,0),""))</f>
        <v/>
      </c>
      <c r="F1159" s="23" t="str">
        <f>IF(C1159="","",IFERROR(VLOOKUP(C1159,'Food Catalog'!$A:$D,4,0),""))</f>
        <v/>
      </c>
      <c r="G1159" s="3"/>
      <c r="H1159" s="70"/>
      <c r="I1159" s="24" t="str">
        <f t="shared" ca="1" si="56"/>
        <v/>
      </c>
      <c r="J1159" s="24" t="str">
        <f t="shared" ca="1" si="57"/>
        <v/>
      </c>
      <c r="K1159" s="2"/>
      <c r="L1159" s="2"/>
    </row>
    <row r="1160" spans="1:12" x14ac:dyDescent="0.35">
      <c r="A1160" s="25" t="str">
        <f t="shared" si="55"/>
        <v/>
      </c>
      <c r="B1160" s="20"/>
      <c r="C1160" s="10"/>
      <c r="D1160" s="26" t="str">
        <f>IF(C1160="","",IFERROR(VLOOKUP(C1160,'Food Catalog'!$A:$B,2,0),"Unknown"))</f>
        <v/>
      </c>
      <c r="E1160" s="26" t="str">
        <f>IF(C1160="","",IFERROR(VLOOKUP(C1160,'Food Catalog'!$A:$C,3,0),""))</f>
        <v/>
      </c>
      <c r="F1160" s="26" t="str">
        <f>IF(C1160="","",IFERROR(VLOOKUP(C1160,'Food Catalog'!$A:$D,4,0),""))</f>
        <v/>
      </c>
      <c r="G1160" s="8"/>
      <c r="H1160" s="71"/>
      <c r="I1160" s="27" t="str">
        <f t="shared" ca="1" si="56"/>
        <v/>
      </c>
      <c r="J1160" s="27" t="str">
        <f t="shared" ca="1" si="57"/>
        <v/>
      </c>
      <c r="K1160" s="7"/>
      <c r="L1160" s="7"/>
    </row>
    <row r="1161" spans="1:12" x14ac:dyDescent="0.35">
      <c r="A1161" s="22" t="str">
        <f t="shared" si="55"/>
        <v/>
      </c>
      <c r="B1161" s="18"/>
      <c r="C1161" s="5"/>
      <c r="D1161" s="23" t="str">
        <f>IF(C1161="","",IFERROR(VLOOKUP(C1161,'Food Catalog'!$A:$B,2,0),"Unknown"))</f>
        <v/>
      </c>
      <c r="E1161" s="23" t="str">
        <f>IF(C1161="","",IFERROR(VLOOKUP(C1161,'Food Catalog'!$A:$C,3,0),""))</f>
        <v/>
      </c>
      <c r="F1161" s="23" t="str">
        <f>IF(C1161="","",IFERROR(VLOOKUP(C1161,'Food Catalog'!$A:$D,4,0),""))</f>
        <v/>
      </c>
      <c r="G1161" s="3"/>
      <c r="H1161" s="70"/>
      <c r="I1161" s="24" t="str">
        <f t="shared" ca="1" si="56"/>
        <v/>
      </c>
      <c r="J1161" s="24" t="str">
        <f t="shared" ca="1" si="57"/>
        <v/>
      </c>
      <c r="K1161" s="2"/>
      <c r="L1161" s="2"/>
    </row>
    <row r="1162" spans="1:12" x14ac:dyDescent="0.35">
      <c r="A1162" s="25" t="str">
        <f t="shared" si="55"/>
        <v/>
      </c>
      <c r="B1162" s="20"/>
      <c r="C1162" s="10"/>
      <c r="D1162" s="26" t="str">
        <f>IF(C1162="","",IFERROR(VLOOKUP(C1162,'Food Catalog'!$A:$B,2,0),"Unknown"))</f>
        <v/>
      </c>
      <c r="E1162" s="26" t="str">
        <f>IF(C1162="","",IFERROR(VLOOKUP(C1162,'Food Catalog'!$A:$C,3,0),""))</f>
        <v/>
      </c>
      <c r="F1162" s="26" t="str">
        <f>IF(C1162="","",IFERROR(VLOOKUP(C1162,'Food Catalog'!$A:$D,4,0),""))</f>
        <v/>
      </c>
      <c r="G1162" s="8"/>
      <c r="H1162" s="71"/>
      <c r="I1162" s="27" t="str">
        <f t="shared" ca="1" si="56"/>
        <v/>
      </c>
      <c r="J1162" s="27" t="str">
        <f t="shared" ca="1" si="57"/>
        <v/>
      </c>
      <c r="K1162" s="7"/>
      <c r="L1162" s="7"/>
    </row>
    <row r="1163" spans="1:12" x14ac:dyDescent="0.35">
      <c r="A1163" s="22" t="str">
        <f t="shared" si="55"/>
        <v/>
      </c>
      <c r="B1163" s="18"/>
      <c r="C1163" s="5"/>
      <c r="D1163" s="23" t="str">
        <f>IF(C1163="","",IFERROR(VLOOKUP(C1163,'Food Catalog'!$A:$B,2,0),"Unknown"))</f>
        <v/>
      </c>
      <c r="E1163" s="23" t="str">
        <f>IF(C1163="","",IFERROR(VLOOKUP(C1163,'Food Catalog'!$A:$C,3,0),""))</f>
        <v/>
      </c>
      <c r="F1163" s="23" t="str">
        <f>IF(C1163="","",IFERROR(VLOOKUP(C1163,'Food Catalog'!$A:$D,4,0),""))</f>
        <v/>
      </c>
      <c r="G1163" s="3"/>
      <c r="H1163" s="70"/>
      <c r="I1163" s="24" t="str">
        <f t="shared" ca="1" si="56"/>
        <v/>
      </c>
      <c r="J1163" s="24" t="str">
        <f t="shared" ca="1" si="57"/>
        <v/>
      </c>
      <c r="K1163" s="2"/>
      <c r="L1163" s="2"/>
    </row>
    <row r="1164" spans="1:12" x14ac:dyDescent="0.35">
      <c r="A1164" s="25" t="str">
        <f t="shared" si="55"/>
        <v/>
      </c>
      <c r="B1164" s="20"/>
      <c r="C1164" s="10"/>
      <c r="D1164" s="26" t="str">
        <f>IF(C1164="","",IFERROR(VLOOKUP(C1164,'Food Catalog'!$A:$B,2,0),"Unknown"))</f>
        <v/>
      </c>
      <c r="E1164" s="26" t="str">
        <f>IF(C1164="","",IFERROR(VLOOKUP(C1164,'Food Catalog'!$A:$C,3,0),""))</f>
        <v/>
      </c>
      <c r="F1164" s="26" t="str">
        <f>IF(C1164="","",IFERROR(VLOOKUP(C1164,'Food Catalog'!$A:$D,4,0),""))</f>
        <v/>
      </c>
      <c r="G1164" s="8"/>
      <c r="H1164" s="71"/>
      <c r="I1164" s="27" t="str">
        <f t="shared" ca="1" si="56"/>
        <v/>
      </c>
      <c r="J1164" s="27" t="str">
        <f t="shared" ca="1" si="57"/>
        <v/>
      </c>
      <c r="K1164" s="7"/>
      <c r="L1164" s="7"/>
    </row>
    <row r="1165" spans="1:12" x14ac:dyDescent="0.35">
      <c r="A1165" s="22" t="str">
        <f t="shared" si="55"/>
        <v/>
      </c>
      <c r="B1165" s="18"/>
      <c r="C1165" s="5"/>
      <c r="D1165" s="23" t="str">
        <f>IF(C1165="","",IFERROR(VLOOKUP(C1165,'Food Catalog'!$A:$B,2,0),"Unknown"))</f>
        <v/>
      </c>
      <c r="E1165" s="23" t="str">
        <f>IF(C1165="","",IFERROR(VLOOKUP(C1165,'Food Catalog'!$A:$C,3,0),""))</f>
        <v/>
      </c>
      <c r="F1165" s="23" t="str">
        <f>IF(C1165="","",IFERROR(VLOOKUP(C1165,'Food Catalog'!$A:$D,4,0),""))</f>
        <v/>
      </c>
      <c r="G1165" s="3"/>
      <c r="H1165" s="70"/>
      <c r="I1165" s="24" t="str">
        <f t="shared" ca="1" si="56"/>
        <v/>
      </c>
      <c r="J1165" s="24" t="str">
        <f t="shared" ca="1" si="57"/>
        <v/>
      </c>
      <c r="K1165" s="2"/>
      <c r="L1165" s="2"/>
    </row>
    <row r="1166" spans="1:12" x14ac:dyDescent="0.35">
      <c r="A1166" s="25" t="str">
        <f t="shared" si="55"/>
        <v/>
      </c>
      <c r="B1166" s="20"/>
      <c r="C1166" s="10"/>
      <c r="D1166" s="26" t="str">
        <f>IF(C1166="","",IFERROR(VLOOKUP(C1166,'Food Catalog'!$A:$B,2,0),"Unknown"))</f>
        <v/>
      </c>
      <c r="E1166" s="26" t="str">
        <f>IF(C1166="","",IFERROR(VLOOKUP(C1166,'Food Catalog'!$A:$C,3,0),""))</f>
        <v/>
      </c>
      <c r="F1166" s="26" t="str">
        <f>IF(C1166="","",IFERROR(VLOOKUP(C1166,'Food Catalog'!$A:$D,4,0),""))</f>
        <v/>
      </c>
      <c r="G1166" s="8"/>
      <c r="H1166" s="71"/>
      <c r="I1166" s="27" t="str">
        <f t="shared" ca="1" si="56"/>
        <v/>
      </c>
      <c r="J1166" s="27" t="str">
        <f t="shared" ca="1" si="57"/>
        <v/>
      </c>
      <c r="K1166" s="7"/>
      <c r="L1166" s="7"/>
    </row>
    <row r="1167" spans="1:12" x14ac:dyDescent="0.35">
      <c r="A1167" s="22" t="str">
        <f t="shared" si="55"/>
        <v/>
      </c>
      <c r="B1167" s="18"/>
      <c r="C1167" s="5"/>
      <c r="D1167" s="23" t="str">
        <f>IF(C1167="","",IFERROR(VLOOKUP(C1167,'Food Catalog'!$A:$B,2,0),"Unknown"))</f>
        <v/>
      </c>
      <c r="E1167" s="23" t="str">
        <f>IF(C1167="","",IFERROR(VLOOKUP(C1167,'Food Catalog'!$A:$C,3,0),""))</f>
        <v/>
      </c>
      <c r="F1167" s="23" t="str">
        <f>IF(C1167="","",IFERROR(VLOOKUP(C1167,'Food Catalog'!$A:$D,4,0),""))</f>
        <v/>
      </c>
      <c r="G1167" s="3"/>
      <c r="H1167" s="70"/>
      <c r="I1167" s="24" t="str">
        <f t="shared" ca="1" si="56"/>
        <v/>
      </c>
      <c r="J1167" s="24" t="str">
        <f t="shared" ca="1" si="57"/>
        <v/>
      </c>
      <c r="K1167" s="2"/>
      <c r="L1167" s="2"/>
    </row>
    <row r="1168" spans="1:12" x14ac:dyDescent="0.35">
      <c r="A1168" s="25" t="str">
        <f t="shared" si="55"/>
        <v/>
      </c>
      <c r="B1168" s="20"/>
      <c r="C1168" s="10"/>
      <c r="D1168" s="26" t="str">
        <f>IF(C1168="","",IFERROR(VLOOKUP(C1168,'Food Catalog'!$A:$B,2,0),"Unknown"))</f>
        <v/>
      </c>
      <c r="E1168" s="26" t="str">
        <f>IF(C1168="","",IFERROR(VLOOKUP(C1168,'Food Catalog'!$A:$C,3,0),""))</f>
        <v/>
      </c>
      <c r="F1168" s="26" t="str">
        <f>IF(C1168="","",IFERROR(VLOOKUP(C1168,'Food Catalog'!$A:$D,4,0),""))</f>
        <v/>
      </c>
      <c r="G1168" s="8"/>
      <c r="H1168" s="71"/>
      <c r="I1168" s="27" t="str">
        <f t="shared" ca="1" si="56"/>
        <v/>
      </c>
      <c r="J1168" s="27" t="str">
        <f t="shared" ca="1" si="57"/>
        <v/>
      </c>
      <c r="K1168" s="7"/>
      <c r="L1168" s="7"/>
    </row>
    <row r="1169" spans="1:12" x14ac:dyDescent="0.35">
      <c r="A1169" s="22" t="str">
        <f t="shared" si="55"/>
        <v/>
      </c>
      <c r="B1169" s="18"/>
      <c r="C1169" s="5"/>
      <c r="D1169" s="23" t="str">
        <f>IF(C1169="","",IFERROR(VLOOKUP(C1169,'Food Catalog'!$A:$B,2,0),"Unknown"))</f>
        <v/>
      </c>
      <c r="E1169" s="23" t="str">
        <f>IF(C1169="","",IFERROR(VLOOKUP(C1169,'Food Catalog'!$A:$C,3,0),""))</f>
        <v/>
      </c>
      <c r="F1169" s="23" t="str">
        <f>IF(C1169="","",IFERROR(VLOOKUP(C1169,'Food Catalog'!$A:$D,4,0),""))</f>
        <v/>
      </c>
      <c r="G1169" s="3"/>
      <c r="H1169" s="70"/>
      <c r="I1169" s="24" t="str">
        <f t="shared" ca="1" si="56"/>
        <v/>
      </c>
      <c r="J1169" s="24" t="str">
        <f t="shared" ca="1" si="57"/>
        <v/>
      </c>
      <c r="K1169" s="2"/>
      <c r="L1169" s="2"/>
    </row>
    <row r="1170" spans="1:12" x14ac:dyDescent="0.35">
      <c r="A1170" s="25" t="str">
        <f t="shared" si="55"/>
        <v/>
      </c>
      <c r="B1170" s="20"/>
      <c r="C1170" s="10"/>
      <c r="D1170" s="26" t="str">
        <f>IF(C1170="","",IFERROR(VLOOKUP(C1170,'Food Catalog'!$A:$B,2,0),"Unknown"))</f>
        <v/>
      </c>
      <c r="E1170" s="26" t="str">
        <f>IF(C1170="","",IFERROR(VLOOKUP(C1170,'Food Catalog'!$A:$C,3,0),""))</f>
        <v/>
      </c>
      <c r="F1170" s="26" t="str">
        <f>IF(C1170="","",IFERROR(VLOOKUP(C1170,'Food Catalog'!$A:$D,4,0),""))</f>
        <v/>
      </c>
      <c r="G1170" s="8"/>
      <c r="H1170" s="71"/>
      <c r="I1170" s="27" t="str">
        <f t="shared" ca="1" si="56"/>
        <v/>
      </c>
      <c r="J1170" s="27" t="str">
        <f t="shared" ca="1" si="57"/>
        <v/>
      </c>
      <c r="K1170" s="7"/>
      <c r="L1170" s="7"/>
    </row>
    <row r="1171" spans="1:12" x14ac:dyDescent="0.35">
      <c r="A1171" s="22" t="str">
        <f t="shared" si="55"/>
        <v/>
      </c>
      <c r="B1171" s="18"/>
      <c r="C1171" s="5"/>
      <c r="D1171" s="23" t="str">
        <f>IF(C1171="","",IFERROR(VLOOKUP(C1171,'Food Catalog'!$A:$B,2,0),"Unknown"))</f>
        <v/>
      </c>
      <c r="E1171" s="23" t="str">
        <f>IF(C1171="","",IFERROR(VLOOKUP(C1171,'Food Catalog'!$A:$C,3,0),""))</f>
        <v/>
      </c>
      <c r="F1171" s="23" t="str">
        <f>IF(C1171="","",IFERROR(VLOOKUP(C1171,'Food Catalog'!$A:$D,4,0),""))</f>
        <v/>
      </c>
      <c r="G1171" s="3"/>
      <c r="H1171" s="70"/>
      <c r="I1171" s="24" t="str">
        <f t="shared" ca="1" si="56"/>
        <v/>
      </c>
      <c r="J1171" s="24" t="str">
        <f t="shared" ca="1" si="57"/>
        <v/>
      </c>
      <c r="K1171" s="2"/>
      <c r="L1171" s="2"/>
    </row>
    <row r="1172" spans="1:12" x14ac:dyDescent="0.35">
      <c r="A1172" s="25" t="str">
        <f t="shared" si="55"/>
        <v/>
      </c>
      <c r="B1172" s="20"/>
      <c r="C1172" s="10"/>
      <c r="D1172" s="26" t="str">
        <f>IF(C1172="","",IFERROR(VLOOKUP(C1172,'Food Catalog'!$A:$B,2,0),"Unknown"))</f>
        <v/>
      </c>
      <c r="E1172" s="26" t="str">
        <f>IF(C1172="","",IFERROR(VLOOKUP(C1172,'Food Catalog'!$A:$C,3,0),""))</f>
        <v/>
      </c>
      <c r="F1172" s="26" t="str">
        <f>IF(C1172="","",IFERROR(VLOOKUP(C1172,'Food Catalog'!$A:$D,4,0),""))</f>
        <v/>
      </c>
      <c r="G1172" s="8"/>
      <c r="H1172" s="71"/>
      <c r="I1172" s="27" t="str">
        <f t="shared" ca="1" si="56"/>
        <v/>
      </c>
      <c r="J1172" s="27" t="str">
        <f t="shared" ca="1" si="57"/>
        <v/>
      </c>
      <c r="K1172" s="7"/>
      <c r="L1172" s="7"/>
    </row>
    <row r="1173" spans="1:12" x14ac:dyDescent="0.35">
      <c r="A1173" s="22" t="str">
        <f t="shared" si="55"/>
        <v/>
      </c>
      <c r="B1173" s="18"/>
      <c r="C1173" s="5"/>
      <c r="D1173" s="23" t="str">
        <f>IF(C1173="","",IFERROR(VLOOKUP(C1173,'Food Catalog'!$A:$B,2,0),"Unknown"))</f>
        <v/>
      </c>
      <c r="E1173" s="23" t="str">
        <f>IF(C1173="","",IFERROR(VLOOKUP(C1173,'Food Catalog'!$A:$C,3,0),""))</f>
        <v/>
      </c>
      <c r="F1173" s="23" t="str">
        <f>IF(C1173="","",IFERROR(VLOOKUP(C1173,'Food Catalog'!$A:$D,4,0),""))</f>
        <v/>
      </c>
      <c r="G1173" s="3"/>
      <c r="H1173" s="70"/>
      <c r="I1173" s="24" t="str">
        <f t="shared" ca="1" si="56"/>
        <v/>
      </c>
      <c r="J1173" s="24" t="str">
        <f t="shared" ca="1" si="57"/>
        <v/>
      </c>
      <c r="K1173" s="2"/>
      <c r="L1173" s="2"/>
    </row>
    <row r="1174" spans="1:12" x14ac:dyDescent="0.35">
      <c r="A1174" s="25" t="str">
        <f t="shared" si="55"/>
        <v/>
      </c>
      <c r="B1174" s="20"/>
      <c r="C1174" s="10"/>
      <c r="D1174" s="26" t="str">
        <f>IF(C1174="","",IFERROR(VLOOKUP(C1174,'Food Catalog'!$A:$B,2,0),"Unknown"))</f>
        <v/>
      </c>
      <c r="E1174" s="26" t="str">
        <f>IF(C1174="","",IFERROR(VLOOKUP(C1174,'Food Catalog'!$A:$C,3,0),""))</f>
        <v/>
      </c>
      <c r="F1174" s="26" t="str">
        <f>IF(C1174="","",IFERROR(VLOOKUP(C1174,'Food Catalog'!$A:$D,4,0),""))</f>
        <v/>
      </c>
      <c r="G1174" s="8"/>
      <c r="H1174" s="71"/>
      <c r="I1174" s="27" t="str">
        <f t="shared" ca="1" si="56"/>
        <v/>
      </c>
      <c r="J1174" s="27" t="str">
        <f t="shared" ca="1" si="57"/>
        <v/>
      </c>
      <c r="K1174" s="7"/>
      <c r="L1174" s="7"/>
    </row>
    <row r="1175" spans="1:12" x14ac:dyDescent="0.35">
      <c r="A1175" s="22" t="str">
        <f t="shared" si="55"/>
        <v/>
      </c>
      <c r="B1175" s="18"/>
      <c r="C1175" s="5"/>
      <c r="D1175" s="23" t="str">
        <f>IF(C1175="","",IFERROR(VLOOKUP(C1175,'Food Catalog'!$A:$B,2,0),"Unknown"))</f>
        <v/>
      </c>
      <c r="E1175" s="23" t="str">
        <f>IF(C1175="","",IFERROR(VLOOKUP(C1175,'Food Catalog'!$A:$C,3,0),""))</f>
        <v/>
      </c>
      <c r="F1175" s="23" t="str">
        <f>IF(C1175="","",IFERROR(VLOOKUP(C1175,'Food Catalog'!$A:$D,4,0),""))</f>
        <v/>
      </c>
      <c r="G1175" s="3"/>
      <c r="H1175" s="70"/>
      <c r="I1175" s="24" t="str">
        <f t="shared" ca="1" si="56"/>
        <v/>
      </c>
      <c r="J1175" s="24" t="str">
        <f t="shared" ca="1" si="57"/>
        <v/>
      </c>
      <c r="K1175" s="2"/>
      <c r="L1175" s="2"/>
    </row>
    <row r="1176" spans="1:12" x14ac:dyDescent="0.35">
      <c r="A1176" s="25" t="str">
        <f t="shared" si="55"/>
        <v/>
      </c>
      <c r="B1176" s="20"/>
      <c r="C1176" s="10"/>
      <c r="D1176" s="26" t="str">
        <f>IF(C1176="","",IFERROR(VLOOKUP(C1176,'Food Catalog'!$A:$B,2,0),"Unknown"))</f>
        <v/>
      </c>
      <c r="E1176" s="26" t="str">
        <f>IF(C1176="","",IFERROR(VLOOKUP(C1176,'Food Catalog'!$A:$C,3,0),""))</f>
        <v/>
      </c>
      <c r="F1176" s="26" t="str">
        <f>IF(C1176="","",IFERROR(VLOOKUP(C1176,'Food Catalog'!$A:$D,4,0),""))</f>
        <v/>
      </c>
      <c r="G1176" s="8"/>
      <c r="H1176" s="71"/>
      <c r="I1176" s="27" t="str">
        <f t="shared" ca="1" si="56"/>
        <v/>
      </c>
      <c r="J1176" s="27" t="str">
        <f t="shared" ca="1" si="57"/>
        <v/>
      </c>
      <c r="K1176" s="7"/>
      <c r="L1176" s="7"/>
    </row>
    <row r="1177" spans="1:12" x14ac:dyDescent="0.35">
      <c r="A1177" s="22" t="str">
        <f t="shared" ref="A1177:A1212" si="58">IF(G1177="","",TEXT(ROW()-1014,"DON-0000"))</f>
        <v/>
      </c>
      <c r="B1177" s="18"/>
      <c r="C1177" s="5"/>
      <c r="D1177" s="23" t="str">
        <f>IF(C1177="","",IFERROR(VLOOKUP(C1177,'Food Catalog'!$A:$B,2,0),"Unknown"))</f>
        <v/>
      </c>
      <c r="E1177" s="23" t="str">
        <f>IF(C1177="","",IFERROR(VLOOKUP(C1177,'Food Catalog'!$A:$C,3,0),""))</f>
        <v/>
      </c>
      <c r="F1177" s="23" t="str">
        <f>IF(C1177="","",IFERROR(VLOOKUP(C1177,'Food Catalog'!$A:$D,4,0),""))</f>
        <v/>
      </c>
      <c r="G1177" s="3"/>
      <c r="H1177" s="70"/>
      <c r="I1177" s="24" t="str">
        <f t="shared" ca="1" si="56"/>
        <v/>
      </c>
      <c r="J1177" s="24" t="str">
        <f t="shared" ca="1" si="57"/>
        <v/>
      </c>
      <c r="K1177" s="2"/>
      <c r="L1177" s="2"/>
    </row>
    <row r="1178" spans="1:12" x14ac:dyDescent="0.35">
      <c r="A1178" s="25" t="str">
        <f t="shared" si="58"/>
        <v/>
      </c>
      <c r="B1178" s="20"/>
      <c r="C1178" s="10"/>
      <c r="D1178" s="26" t="str">
        <f>IF(C1178="","",IFERROR(VLOOKUP(C1178,'Food Catalog'!$A:$B,2,0),"Unknown"))</f>
        <v/>
      </c>
      <c r="E1178" s="26" t="str">
        <f>IF(C1178="","",IFERROR(VLOOKUP(C1178,'Food Catalog'!$A:$C,3,0),""))</f>
        <v/>
      </c>
      <c r="F1178" s="26" t="str">
        <f>IF(C1178="","",IFERROR(VLOOKUP(C1178,'Food Catalog'!$A:$D,4,0),""))</f>
        <v/>
      </c>
      <c r="G1178" s="8"/>
      <c r="H1178" s="71"/>
      <c r="I1178" s="27" t="str">
        <f t="shared" ca="1" si="56"/>
        <v/>
      </c>
      <c r="J1178" s="27" t="str">
        <f t="shared" ca="1" si="57"/>
        <v/>
      </c>
      <c r="K1178" s="7"/>
      <c r="L1178" s="7"/>
    </row>
    <row r="1179" spans="1:12" x14ac:dyDescent="0.35">
      <c r="A1179" s="22" t="str">
        <f t="shared" si="58"/>
        <v/>
      </c>
      <c r="B1179" s="18"/>
      <c r="C1179" s="5"/>
      <c r="D1179" s="23" t="str">
        <f>IF(C1179="","",IFERROR(VLOOKUP(C1179,'Food Catalog'!$A:$B,2,0),"Unknown"))</f>
        <v/>
      </c>
      <c r="E1179" s="23" t="str">
        <f>IF(C1179="","",IFERROR(VLOOKUP(C1179,'Food Catalog'!$A:$C,3,0),""))</f>
        <v/>
      </c>
      <c r="F1179" s="23" t="str">
        <f>IF(C1179="","",IFERROR(VLOOKUP(C1179,'Food Catalog'!$A:$D,4,0),""))</f>
        <v/>
      </c>
      <c r="G1179" s="3"/>
      <c r="H1179" s="70"/>
      <c r="I1179" s="24" t="str">
        <f t="shared" ca="1" si="56"/>
        <v/>
      </c>
      <c r="J1179" s="24" t="str">
        <f t="shared" ca="1" si="57"/>
        <v/>
      </c>
      <c r="K1179" s="2"/>
      <c r="L1179" s="2"/>
    </row>
    <row r="1180" spans="1:12" x14ac:dyDescent="0.35">
      <c r="A1180" s="25" t="str">
        <f t="shared" si="58"/>
        <v/>
      </c>
      <c r="B1180" s="20"/>
      <c r="C1180" s="10"/>
      <c r="D1180" s="26" t="str">
        <f>IF(C1180="","",IFERROR(VLOOKUP(C1180,'Food Catalog'!$A:$B,2,0),"Unknown"))</f>
        <v/>
      </c>
      <c r="E1180" s="26" t="str">
        <f>IF(C1180="","",IFERROR(VLOOKUP(C1180,'Food Catalog'!$A:$C,3,0),""))</f>
        <v/>
      </c>
      <c r="F1180" s="26" t="str">
        <f>IF(C1180="","",IFERROR(VLOOKUP(C1180,'Food Catalog'!$A:$D,4,0),""))</f>
        <v/>
      </c>
      <c r="G1180" s="8"/>
      <c r="H1180" s="71"/>
      <c r="I1180" s="27" t="str">
        <f t="shared" ca="1" si="56"/>
        <v/>
      </c>
      <c r="J1180" s="27" t="str">
        <f t="shared" ca="1" si="57"/>
        <v/>
      </c>
      <c r="K1180" s="7"/>
      <c r="L1180" s="7"/>
    </row>
    <row r="1181" spans="1:12" x14ac:dyDescent="0.35">
      <c r="A1181" s="22" t="str">
        <f t="shared" si="58"/>
        <v/>
      </c>
      <c r="B1181" s="18"/>
      <c r="C1181" s="5"/>
      <c r="D1181" s="23" t="str">
        <f>IF(C1181="","",IFERROR(VLOOKUP(C1181,'Food Catalog'!$A:$B,2,0),"Unknown"))</f>
        <v/>
      </c>
      <c r="E1181" s="23" t="str">
        <f>IF(C1181="","",IFERROR(VLOOKUP(C1181,'Food Catalog'!$A:$C,3,0),""))</f>
        <v/>
      </c>
      <c r="F1181" s="23" t="str">
        <f>IF(C1181="","",IFERROR(VLOOKUP(C1181,'Food Catalog'!$A:$D,4,0),""))</f>
        <v/>
      </c>
      <c r="G1181" s="3"/>
      <c r="H1181" s="70"/>
      <c r="I1181" s="24" t="str">
        <f t="shared" ca="1" si="56"/>
        <v/>
      </c>
      <c r="J1181" s="24" t="str">
        <f t="shared" ca="1" si="57"/>
        <v/>
      </c>
      <c r="K1181" s="2"/>
      <c r="L1181" s="2"/>
    </row>
    <row r="1182" spans="1:12" x14ac:dyDescent="0.35">
      <c r="A1182" s="25" t="str">
        <f t="shared" si="58"/>
        <v/>
      </c>
      <c r="B1182" s="20"/>
      <c r="C1182" s="10"/>
      <c r="D1182" s="26" t="str">
        <f>IF(C1182="","",IFERROR(VLOOKUP(C1182,'Food Catalog'!$A:$B,2,0),"Unknown"))</f>
        <v/>
      </c>
      <c r="E1182" s="26" t="str">
        <f>IF(C1182="","",IFERROR(VLOOKUP(C1182,'Food Catalog'!$A:$C,3,0),""))</f>
        <v/>
      </c>
      <c r="F1182" s="26" t="str">
        <f>IF(C1182="","",IFERROR(VLOOKUP(C1182,'Food Catalog'!$A:$D,4,0),""))</f>
        <v/>
      </c>
      <c r="G1182" s="8"/>
      <c r="H1182" s="71"/>
      <c r="I1182" s="27" t="str">
        <f t="shared" ca="1" si="56"/>
        <v/>
      </c>
      <c r="J1182" s="27" t="str">
        <f t="shared" ca="1" si="57"/>
        <v/>
      </c>
      <c r="K1182" s="7"/>
      <c r="L1182" s="7"/>
    </row>
    <row r="1183" spans="1:12" x14ac:dyDescent="0.35">
      <c r="A1183" s="22" t="str">
        <f t="shared" si="58"/>
        <v/>
      </c>
      <c r="B1183" s="18"/>
      <c r="C1183" s="5"/>
      <c r="D1183" s="23" t="str">
        <f>IF(C1183="","",IFERROR(VLOOKUP(C1183,'Food Catalog'!$A:$B,2,0),"Unknown"))</f>
        <v/>
      </c>
      <c r="E1183" s="23" t="str">
        <f>IF(C1183="","",IFERROR(VLOOKUP(C1183,'Food Catalog'!$A:$C,3,0),""))</f>
        <v/>
      </c>
      <c r="F1183" s="23" t="str">
        <f>IF(C1183="","",IFERROR(VLOOKUP(C1183,'Food Catalog'!$A:$D,4,0),""))</f>
        <v/>
      </c>
      <c r="G1183" s="3"/>
      <c r="H1183" s="70"/>
      <c r="I1183" s="24" t="str">
        <f t="shared" ca="1" si="56"/>
        <v/>
      </c>
      <c r="J1183" s="24" t="str">
        <f t="shared" ca="1" si="57"/>
        <v/>
      </c>
      <c r="K1183" s="2"/>
      <c r="L1183" s="2"/>
    </row>
    <row r="1184" spans="1:12" x14ac:dyDescent="0.35">
      <c r="A1184" s="25" t="str">
        <f t="shared" si="58"/>
        <v/>
      </c>
      <c r="B1184" s="20"/>
      <c r="C1184" s="10"/>
      <c r="D1184" s="26" t="str">
        <f>IF(C1184="","",IFERROR(VLOOKUP(C1184,'Food Catalog'!$A:$B,2,0),"Unknown"))</f>
        <v/>
      </c>
      <c r="E1184" s="26" t="str">
        <f>IF(C1184="","",IFERROR(VLOOKUP(C1184,'Food Catalog'!$A:$C,3,0),""))</f>
        <v/>
      </c>
      <c r="F1184" s="26" t="str">
        <f>IF(C1184="","",IFERROR(VLOOKUP(C1184,'Food Catalog'!$A:$D,4,0),""))</f>
        <v/>
      </c>
      <c r="G1184" s="8"/>
      <c r="H1184" s="71"/>
      <c r="I1184" s="27" t="str">
        <f t="shared" ca="1" si="56"/>
        <v/>
      </c>
      <c r="J1184" s="27" t="str">
        <f t="shared" ca="1" si="57"/>
        <v/>
      </c>
      <c r="K1184" s="7"/>
      <c r="L1184" s="7"/>
    </row>
    <row r="1185" spans="1:12" x14ac:dyDescent="0.35">
      <c r="A1185" s="22" t="str">
        <f t="shared" si="58"/>
        <v/>
      </c>
      <c r="B1185" s="18"/>
      <c r="C1185" s="5"/>
      <c r="D1185" s="23" t="str">
        <f>IF(C1185="","",IFERROR(VLOOKUP(C1185,'Food Catalog'!$A:$B,2,0),"Unknown"))</f>
        <v/>
      </c>
      <c r="E1185" s="23" t="str">
        <f>IF(C1185="","",IFERROR(VLOOKUP(C1185,'Food Catalog'!$A:$C,3,0),""))</f>
        <v/>
      </c>
      <c r="F1185" s="23" t="str">
        <f>IF(C1185="","",IFERROR(VLOOKUP(C1185,'Food Catalog'!$A:$D,4,0),""))</f>
        <v/>
      </c>
      <c r="G1185" s="3"/>
      <c r="H1185" s="70"/>
      <c r="I1185" s="24" t="str">
        <f t="shared" ca="1" si="56"/>
        <v/>
      </c>
      <c r="J1185" s="24" t="str">
        <f t="shared" ca="1" si="57"/>
        <v/>
      </c>
      <c r="K1185" s="2"/>
      <c r="L1185" s="2"/>
    </row>
    <row r="1186" spans="1:12" x14ac:dyDescent="0.35">
      <c r="A1186" s="25" t="str">
        <f t="shared" si="58"/>
        <v/>
      </c>
      <c r="B1186" s="20"/>
      <c r="C1186" s="10"/>
      <c r="D1186" s="26" t="str">
        <f>IF(C1186="","",IFERROR(VLOOKUP(C1186,'Food Catalog'!$A:$B,2,0),"Unknown"))</f>
        <v/>
      </c>
      <c r="E1186" s="26" t="str">
        <f>IF(C1186="","",IFERROR(VLOOKUP(C1186,'Food Catalog'!$A:$C,3,0),""))</f>
        <v/>
      </c>
      <c r="F1186" s="26" t="str">
        <f>IF(C1186="","",IFERROR(VLOOKUP(C1186,'Food Catalog'!$A:$D,4,0),""))</f>
        <v/>
      </c>
      <c r="G1186" s="8"/>
      <c r="H1186" s="71"/>
      <c r="I1186" s="27" t="str">
        <f t="shared" ca="1" si="56"/>
        <v/>
      </c>
      <c r="J1186" s="27" t="str">
        <f t="shared" ca="1" si="57"/>
        <v/>
      </c>
      <c r="K1186" s="7"/>
      <c r="L1186" s="7"/>
    </row>
    <row r="1187" spans="1:12" x14ac:dyDescent="0.35">
      <c r="A1187" s="22" t="str">
        <f t="shared" si="58"/>
        <v/>
      </c>
      <c r="B1187" s="18"/>
      <c r="C1187" s="5"/>
      <c r="D1187" s="23" t="str">
        <f>IF(C1187="","",IFERROR(VLOOKUP(C1187,'Food Catalog'!$A:$B,2,0),"Unknown"))</f>
        <v/>
      </c>
      <c r="E1187" s="23" t="str">
        <f>IF(C1187="","",IFERROR(VLOOKUP(C1187,'Food Catalog'!$A:$C,3,0),""))</f>
        <v/>
      </c>
      <c r="F1187" s="23" t="str">
        <f>IF(C1187="","",IFERROR(VLOOKUP(C1187,'Food Catalog'!$A:$D,4,0),""))</f>
        <v/>
      </c>
      <c r="G1187" s="3"/>
      <c r="H1187" s="70"/>
      <c r="I1187" s="24" t="str">
        <f t="shared" ca="1" si="56"/>
        <v/>
      </c>
      <c r="J1187" s="24" t="str">
        <f t="shared" ca="1" si="57"/>
        <v/>
      </c>
      <c r="K1187" s="2"/>
      <c r="L1187" s="2"/>
    </row>
    <row r="1188" spans="1:12" x14ac:dyDescent="0.35">
      <c r="A1188" s="25" t="str">
        <f t="shared" si="58"/>
        <v/>
      </c>
      <c r="B1188" s="20"/>
      <c r="C1188" s="10"/>
      <c r="D1188" s="26" t="str">
        <f>IF(C1188="","",IFERROR(VLOOKUP(C1188,'Food Catalog'!$A:$B,2,0),"Unknown"))</f>
        <v/>
      </c>
      <c r="E1188" s="26" t="str">
        <f>IF(C1188="","",IFERROR(VLOOKUP(C1188,'Food Catalog'!$A:$C,3,0),""))</f>
        <v/>
      </c>
      <c r="F1188" s="26" t="str">
        <f>IF(C1188="","",IFERROR(VLOOKUP(C1188,'Food Catalog'!$A:$D,4,0),""))</f>
        <v/>
      </c>
      <c r="G1188" s="8"/>
      <c r="H1188" s="71"/>
      <c r="I1188" s="27" t="str">
        <f t="shared" ca="1" si="56"/>
        <v/>
      </c>
      <c r="J1188" s="27" t="str">
        <f t="shared" ca="1" si="57"/>
        <v/>
      </c>
      <c r="K1188" s="7"/>
      <c r="L1188" s="7"/>
    </row>
    <row r="1189" spans="1:12" x14ac:dyDescent="0.35">
      <c r="A1189" s="22" t="str">
        <f t="shared" si="58"/>
        <v/>
      </c>
      <c r="B1189" s="18"/>
      <c r="C1189" s="5"/>
      <c r="D1189" s="23" t="str">
        <f>IF(C1189="","",IFERROR(VLOOKUP(C1189,'Food Catalog'!$A:$B,2,0),"Unknown"))</f>
        <v/>
      </c>
      <c r="E1189" s="23" t="str">
        <f>IF(C1189="","",IFERROR(VLOOKUP(C1189,'Food Catalog'!$A:$C,3,0),""))</f>
        <v/>
      </c>
      <c r="F1189" s="23" t="str">
        <f>IF(C1189="","",IFERROR(VLOOKUP(C1189,'Food Catalog'!$A:$D,4,0),""))</f>
        <v/>
      </c>
      <c r="G1189" s="3"/>
      <c r="H1189" s="70"/>
      <c r="I1189" s="24" t="str">
        <f t="shared" ca="1" si="56"/>
        <v/>
      </c>
      <c r="J1189" s="24" t="str">
        <f t="shared" ca="1" si="57"/>
        <v/>
      </c>
      <c r="K1189" s="2"/>
      <c r="L1189" s="2"/>
    </row>
    <row r="1190" spans="1:12" x14ac:dyDescent="0.35">
      <c r="A1190" s="25" t="str">
        <f t="shared" si="58"/>
        <v/>
      </c>
      <c r="B1190" s="20"/>
      <c r="C1190" s="10"/>
      <c r="D1190" s="26" t="str">
        <f>IF(C1190="","",IFERROR(VLOOKUP(C1190,'Food Catalog'!$A:$B,2,0),"Unknown"))</f>
        <v/>
      </c>
      <c r="E1190" s="26" t="str">
        <f>IF(C1190="","",IFERROR(VLOOKUP(C1190,'Food Catalog'!$A:$C,3,0),""))</f>
        <v/>
      </c>
      <c r="F1190" s="26" t="str">
        <f>IF(C1190="","",IFERROR(VLOOKUP(C1190,'Food Catalog'!$A:$D,4,0),""))</f>
        <v/>
      </c>
      <c r="G1190" s="8"/>
      <c r="H1190" s="71"/>
      <c r="I1190" s="27" t="str">
        <f t="shared" ca="1" si="56"/>
        <v/>
      </c>
      <c r="J1190" s="27" t="str">
        <f t="shared" ca="1" si="57"/>
        <v/>
      </c>
      <c r="K1190" s="7"/>
      <c r="L1190" s="7"/>
    </row>
    <row r="1191" spans="1:12" x14ac:dyDescent="0.35">
      <c r="A1191" s="22" t="str">
        <f t="shared" si="58"/>
        <v/>
      </c>
      <c r="B1191" s="18"/>
      <c r="C1191" s="5"/>
      <c r="D1191" s="23" t="str">
        <f>IF(C1191="","",IFERROR(VLOOKUP(C1191,'Food Catalog'!$A:$B,2,0),"Unknown"))</f>
        <v/>
      </c>
      <c r="E1191" s="23" t="str">
        <f>IF(C1191="","",IFERROR(VLOOKUP(C1191,'Food Catalog'!$A:$C,3,0),""))</f>
        <v/>
      </c>
      <c r="F1191" s="23" t="str">
        <f>IF(C1191="","",IFERROR(VLOOKUP(C1191,'Food Catalog'!$A:$D,4,0),""))</f>
        <v/>
      </c>
      <c r="G1191" s="3"/>
      <c r="H1191" s="70"/>
      <c r="I1191" s="24" t="str">
        <f t="shared" ca="1" si="56"/>
        <v/>
      </c>
      <c r="J1191" s="24" t="str">
        <f t="shared" ca="1" si="57"/>
        <v/>
      </c>
      <c r="K1191" s="2"/>
      <c r="L1191" s="2"/>
    </row>
    <row r="1192" spans="1:12" x14ac:dyDescent="0.35">
      <c r="A1192" s="25" t="str">
        <f t="shared" si="58"/>
        <v/>
      </c>
      <c r="B1192" s="20"/>
      <c r="C1192" s="10"/>
      <c r="D1192" s="26" t="str">
        <f>IF(C1192="","",IFERROR(VLOOKUP(C1192,'Food Catalog'!$A:$B,2,0),"Unknown"))</f>
        <v/>
      </c>
      <c r="E1192" s="26" t="str">
        <f>IF(C1192="","",IFERROR(VLOOKUP(C1192,'Food Catalog'!$A:$C,3,0),""))</f>
        <v/>
      </c>
      <c r="F1192" s="26" t="str">
        <f>IF(C1192="","",IFERROR(VLOOKUP(C1192,'Food Catalog'!$A:$D,4,0),""))</f>
        <v/>
      </c>
      <c r="G1192" s="8"/>
      <c r="H1192" s="71"/>
      <c r="I1192" s="27" t="str">
        <f t="shared" ca="1" si="56"/>
        <v/>
      </c>
      <c r="J1192" s="27" t="str">
        <f t="shared" ca="1" si="57"/>
        <v/>
      </c>
      <c r="K1192" s="7"/>
      <c r="L1192" s="7"/>
    </row>
    <row r="1193" spans="1:12" x14ac:dyDescent="0.35">
      <c r="A1193" s="22" t="str">
        <f t="shared" si="58"/>
        <v/>
      </c>
      <c r="B1193" s="18"/>
      <c r="C1193" s="5"/>
      <c r="D1193" s="23" t="str">
        <f>IF(C1193="","",IFERROR(VLOOKUP(C1193,'Food Catalog'!$A:$B,2,0),"Unknown"))</f>
        <v/>
      </c>
      <c r="E1193" s="23" t="str">
        <f>IF(C1193="","",IFERROR(VLOOKUP(C1193,'Food Catalog'!$A:$C,3,0),""))</f>
        <v/>
      </c>
      <c r="F1193" s="23" t="str">
        <f>IF(C1193="","",IFERROR(VLOOKUP(C1193,'Food Catalog'!$A:$D,4,0),""))</f>
        <v/>
      </c>
      <c r="G1193" s="3"/>
      <c r="H1193" s="70"/>
      <c r="I1193" s="24" t="str">
        <f t="shared" ca="1" si="56"/>
        <v/>
      </c>
      <c r="J1193" s="24" t="str">
        <f t="shared" ca="1" si="57"/>
        <v/>
      </c>
      <c r="K1193" s="2"/>
      <c r="L1193" s="2"/>
    </row>
    <row r="1194" spans="1:12" x14ac:dyDescent="0.35">
      <c r="A1194" s="25" t="str">
        <f t="shared" si="58"/>
        <v/>
      </c>
      <c r="B1194" s="20"/>
      <c r="C1194" s="10"/>
      <c r="D1194" s="26" t="str">
        <f>IF(C1194="","",IFERROR(VLOOKUP(C1194,'Food Catalog'!$A:$B,2,0),"Unknown"))</f>
        <v/>
      </c>
      <c r="E1194" s="26" t="str">
        <f>IF(C1194="","",IFERROR(VLOOKUP(C1194,'Food Catalog'!$A:$C,3,0),""))</f>
        <v/>
      </c>
      <c r="F1194" s="26" t="str">
        <f>IF(C1194="","",IFERROR(VLOOKUP(C1194,'Food Catalog'!$A:$D,4,0),""))</f>
        <v/>
      </c>
      <c r="G1194" s="8"/>
      <c r="H1194" s="71"/>
      <c r="I1194" s="27" t="str">
        <f t="shared" ca="1" si="56"/>
        <v/>
      </c>
      <c r="J1194" s="27" t="str">
        <f t="shared" ca="1" si="57"/>
        <v/>
      </c>
      <c r="K1194" s="7"/>
      <c r="L1194" s="7"/>
    </row>
    <row r="1195" spans="1:12" x14ac:dyDescent="0.35">
      <c r="A1195" s="22" t="str">
        <f t="shared" si="58"/>
        <v/>
      </c>
      <c r="B1195" s="18"/>
      <c r="C1195" s="5"/>
      <c r="D1195" s="23" t="str">
        <f>IF(C1195="","",IFERROR(VLOOKUP(C1195,'Food Catalog'!$A:$B,2,0),"Unknown"))</f>
        <v/>
      </c>
      <c r="E1195" s="23" t="str">
        <f>IF(C1195="","",IFERROR(VLOOKUP(C1195,'Food Catalog'!$A:$C,3,0),""))</f>
        <v/>
      </c>
      <c r="F1195" s="23" t="str">
        <f>IF(C1195="","",IFERROR(VLOOKUP(C1195,'Food Catalog'!$A:$D,4,0),""))</f>
        <v/>
      </c>
      <c r="G1195" s="3"/>
      <c r="H1195" s="70"/>
      <c r="I1195" s="24" t="str">
        <f t="shared" ca="1" si="56"/>
        <v/>
      </c>
      <c r="J1195" s="24" t="str">
        <f t="shared" ca="1" si="57"/>
        <v/>
      </c>
      <c r="K1195" s="2"/>
      <c r="L1195" s="2"/>
    </row>
    <row r="1196" spans="1:12" x14ac:dyDescent="0.35">
      <c r="A1196" s="25" t="str">
        <f t="shared" si="58"/>
        <v/>
      </c>
      <c r="B1196" s="20"/>
      <c r="C1196" s="10"/>
      <c r="D1196" s="26" t="str">
        <f>IF(C1196="","",IFERROR(VLOOKUP(C1196,'Food Catalog'!$A:$B,2,0),"Unknown"))</f>
        <v/>
      </c>
      <c r="E1196" s="26" t="str">
        <f>IF(C1196="","",IFERROR(VLOOKUP(C1196,'Food Catalog'!$A:$C,3,0),""))</f>
        <v/>
      </c>
      <c r="F1196" s="26" t="str">
        <f>IF(C1196="","",IFERROR(VLOOKUP(C1196,'Food Catalog'!$A:$D,4,0),""))</f>
        <v/>
      </c>
      <c r="G1196" s="8"/>
      <c r="H1196" s="71"/>
      <c r="I1196" s="27" t="str">
        <f t="shared" ca="1" si="56"/>
        <v/>
      </c>
      <c r="J1196" s="27" t="str">
        <f t="shared" ca="1" si="57"/>
        <v/>
      </c>
      <c r="K1196" s="7"/>
      <c r="L1196" s="7"/>
    </row>
    <row r="1197" spans="1:12" x14ac:dyDescent="0.35">
      <c r="A1197" s="22" t="str">
        <f t="shared" si="58"/>
        <v/>
      </c>
      <c r="B1197" s="18"/>
      <c r="C1197" s="5"/>
      <c r="D1197" s="23" t="str">
        <f>IF(C1197="","",IFERROR(VLOOKUP(C1197,'Food Catalog'!$A:$B,2,0),"Unknown"))</f>
        <v/>
      </c>
      <c r="E1197" s="23" t="str">
        <f>IF(C1197="","",IFERROR(VLOOKUP(C1197,'Food Catalog'!$A:$C,3,0),""))</f>
        <v/>
      </c>
      <c r="F1197" s="23" t="str">
        <f>IF(C1197="","",IFERROR(VLOOKUP(C1197,'Food Catalog'!$A:$D,4,0),""))</f>
        <v/>
      </c>
      <c r="G1197" s="3"/>
      <c r="H1197" s="70"/>
      <c r="I1197" s="24" t="str">
        <f t="shared" ca="1" si="56"/>
        <v/>
      </c>
      <c r="J1197" s="24" t="str">
        <f t="shared" ca="1" si="57"/>
        <v/>
      </c>
      <c r="K1197" s="2"/>
      <c r="L1197" s="2"/>
    </row>
    <row r="1198" spans="1:12" x14ac:dyDescent="0.35">
      <c r="A1198" s="25" t="str">
        <f t="shared" si="58"/>
        <v/>
      </c>
      <c r="B1198" s="20"/>
      <c r="C1198" s="10"/>
      <c r="D1198" s="26" t="str">
        <f>IF(C1198="","",IFERROR(VLOOKUP(C1198,'Food Catalog'!$A:$B,2,0),"Unknown"))</f>
        <v/>
      </c>
      <c r="E1198" s="26" t="str">
        <f>IF(C1198="","",IFERROR(VLOOKUP(C1198,'Food Catalog'!$A:$C,3,0),""))</f>
        <v/>
      </c>
      <c r="F1198" s="26" t="str">
        <f>IF(C1198="","",IFERROR(VLOOKUP(C1198,'Food Catalog'!$A:$D,4,0),""))</f>
        <v/>
      </c>
      <c r="G1198" s="8"/>
      <c r="H1198" s="71"/>
      <c r="I1198" s="27" t="str">
        <f t="shared" ca="1" si="56"/>
        <v/>
      </c>
      <c r="J1198" s="27" t="str">
        <f t="shared" ca="1" si="57"/>
        <v/>
      </c>
      <c r="K1198" s="7"/>
      <c r="L1198" s="7"/>
    </row>
    <row r="1199" spans="1:12" x14ac:dyDescent="0.35">
      <c r="A1199" s="22" t="str">
        <f t="shared" si="58"/>
        <v/>
      </c>
      <c r="B1199" s="18"/>
      <c r="C1199" s="5"/>
      <c r="D1199" s="23" t="str">
        <f>IF(C1199="","",IFERROR(VLOOKUP(C1199,'Food Catalog'!$A:$B,2,0),"Unknown"))</f>
        <v/>
      </c>
      <c r="E1199" s="23" t="str">
        <f>IF(C1199="","",IFERROR(VLOOKUP(C1199,'Food Catalog'!$A:$C,3,0),""))</f>
        <v/>
      </c>
      <c r="F1199" s="23" t="str">
        <f>IF(C1199="","",IFERROR(VLOOKUP(C1199,'Food Catalog'!$A:$D,4,0),""))</f>
        <v/>
      </c>
      <c r="G1199" s="3"/>
      <c r="H1199" s="70"/>
      <c r="I1199" s="24" t="str">
        <f t="shared" ca="1" si="56"/>
        <v/>
      </c>
      <c r="J1199" s="24" t="str">
        <f t="shared" ca="1" si="57"/>
        <v/>
      </c>
      <c r="K1199" s="2"/>
      <c r="L1199" s="2"/>
    </row>
    <row r="1200" spans="1:12" x14ac:dyDescent="0.35">
      <c r="A1200" s="25" t="str">
        <f t="shared" si="58"/>
        <v/>
      </c>
      <c r="B1200" s="20"/>
      <c r="C1200" s="10"/>
      <c r="D1200" s="26" t="str">
        <f>IF(C1200="","",IFERROR(VLOOKUP(C1200,'Food Catalog'!$A:$B,2,0),"Unknown"))</f>
        <v/>
      </c>
      <c r="E1200" s="26" t="str">
        <f>IF(C1200="","",IFERROR(VLOOKUP(C1200,'Food Catalog'!$A:$C,3,0),""))</f>
        <v/>
      </c>
      <c r="F1200" s="26" t="str">
        <f>IF(C1200="","",IFERROR(VLOOKUP(C1200,'Food Catalog'!$A:$D,4,0),""))</f>
        <v/>
      </c>
      <c r="G1200" s="8"/>
      <c r="H1200" s="71"/>
      <c r="I1200" s="27" t="str">
        <f t="shared" ca="1" si="56"/>
        <v/>
      </c>
      <c r="J1200" s="27" t="str">
        <f t="shared" ca="1" si="57"/>
        <v/>
      </c>
      <c r="K1200" s="7"/>
      <c r="L1200" s="7"/>
    </row>
    <row r="1201" spans="1:12" x14ac:dyDescent="0.35">
      <c r="A1201" s="22" t="str">
        <f t="shared" si="58"/>
        <v/>
      </c>
      <c r="B1201" s="18"/>
      <c r="C1201" s="5"/>
      <c r="D1201" s="23" t="str">
        <f>IF(C1201="","",IFERROR(VLOOKUP(C1201,'Food Catalog'!$A:$B,2,0),"Unknown"))</f>
        <v/>
      </c>
      <c r="E1201" s="23" t="str">
        <f>IF(C1201="","",IFERROR(VLOOKUP(C1201,'Food Catalog'!$A:$C,3,0),""))</f>
        <v/>
      </c>
      <c r="F1201" s="23" t="str">
        <f>IF(C1201="","",IFERROR(VLOOKUP(C1201,'Food Catalog'!$A:$D,4,0),""))</f>
        <v/>
      </c>
      <c r="G1201" s="3"/>
      <c r="H1201" s="70"/>
      <c r="I1201" s="24" t="str">
        <f t="shared" ca="1" si="56"/>
        <v/>
      </c>
      <c r="J1201" s="24" t="str">
        <f t="shared" ca="1" si="57"/>
        <v/>
      </c>
      <c r="K1201" s="2"/>
      <c r="L1201" s="2"/>
    </row>
    <row r="1202" spans="1:12" x14ac:dyDescent="0.35">
      <c r="A1202" s="25" t="str">
        <f t="shared" si="58"/>
        <v/>
      </c>
      <c r="B1202" s="20"/>
      <c r="C1202" s="10"/>
      <c r="D1202" s="26" t="str">
        <f>IF(C1202="","",IFERROR(VLOOKUP(C1202,'Food Catalog'!$A:$B,2,0),"Unknown"))</f>
        <v/>
      </c>
      <c r="E1202" s="26" t="str">
        <f>IF(C1202="","",IFERROR(VLOOKUP(C1202,'Food Catalog'!$A:$C,3,0),""))</f>
        <v/>
      </c>
      <c r="F1202" s="26" t="str">
        <f>IF(C1202="","",IFERROR(VLOOKUP(C1202,'Food Catalog'!$A:$D,4,0),""))</f>
        <v/>
      </c>
      <c r="G1202" s="8"/>
      <c r="H1202" s="71"/>
      <c r="I1202" s="27" t="str">
        <f t="shared" ca="1" si="56"/>
        <v/>
      </c>
      <c r="J1202" s="27" t="str">
        <f t="shared" ca="1" si="57"/>
        <v/>
      </c>
      <c r="K1202" s="7"/>
      <c r="L1202" s="7"/>
    </row>
    <row r="1203" spans="1:12" x14ac:dyDescent="0.35">
      <c r="A1203" s="22" t="str">
        <f t="shared" si="58"/>
        <v/>
      </c>
      <c r="B1203" s="18"/>
      <c r="C1203" s="5"/>
      <c r="D1203" s="23" t="str">
        <f>IF(C1203="","",IFERROR(VLOOKUP(C1203,'Food Catalog'!$A:$B,2,0),"Unknown"))</f>
        <v/>
      </c>
      <c r="E1203" s="23" t="str">
        <f>IF(C1203="","",IFERROR(VLOOKUP(C1203,'Food Catalog'!$A:$C,3,0),""))</f>
        <v/>
      </c>
      <c r="F1203" s="23" t="str">
        <f>IF(C1203="","",IFERROR(VLOOKUP(C1203,'Food Catalog'!$A:$D,4,0),""))</f>
        <v/>
      </c>
      <c r="G1203" s="3"/>
      <c r="H1203" s="70"/>
      <c r="I1203" s="24" t="str">
        <f t="shared" ca="1" si="56"/>
        <v/>
      </c>
      <c r="J1203" s="24" t="str">
        <f t="shared" ca="1" si="57"/>
        <v/>
      </c>
      <c r="K1203" s="2"/>
      <c r="L1203" s="2"/>
    </row>
    <row r="1204" spans="1:12" x14ac:dyDescent="0.35">
      <c r="A1204" s="25" t="str">
        <f t="shared" si="58"/>
        <v/>
      </c>
      <c r="B1204" s="20"/>
      <c r="C1204" s="10"/>
      <c r="D1204" s="26" t="str">
        <f>IF(C1204="","",IFERROR(VLOOKUP(C1204,'Food Catalog'!$A:$B,2,0),"Unknown"))</f>
        <v/>
      </c>
      <c r="E1204" s="26" t="str">
        <f>IF(C1204="","",IFERROR(VLOOKUP(C1204,'Food Catalog'!$A:$C,3,0),""))</f>
        <v/>
      </c>
      <c r="F1204" s="26" t="str">
        <f>IF(C1204="","",IFERROR(VLOOKUP(C1204,'Food Catalog'!$A:$D,4,0),""))</f>
        <v/>
      </c>
      <c r="G1204" s="8"/>
      <c r="H1204" s="71"/>
      <c r="I1204" s="27" t="str">
        <f t="shared" ca="1" si="56"/>
        <v/>
      </c>
      <c r="J1204" s="27" t="str">
        <f t="shared" ca="1" si="57"/>
        <v/>
      </c>
      <c r="K1204" s="7"/>
      <c r="L1204" s="7"/>
    </row>
    <row r="1205" spans="1:12" x14ac:dyDescent="0.35">
      <c r="A1205" s="22" t="str">
        <f t="shared" si="58"/>
        <v/>
      </c>
      <c r="B1205" s="18"/>
      <c r="C1205" s="5"/>
      <c r="D1205" s="23" t="str">
        <f>IF(C1205="","",IFERROR(VLOOKUP(C1205,'Food Catalog'!$A:$B,2,0),"Unknown"))</f>
        <v/>
      </c>
      <c r="E1205" s="23" t="str">
        <f>IF(C1205="","",IFERROR(VLOOKUP(C1205,'Food Catalog'!$A:$C,3,0),""))</f>
        <v/>
      </c>
      <c r="F1205" s="23" t="str">
        <f>IF(C1205="","",IFERROR(VLOOKUP(C1205,'Food Catalog'!$A:$D,4,0),""))</f>
        <v/>
      </c>
      <c r="G1205" s="3"/>
      <c r="H1205" s="70"/>
      <c r="I1205" s="24" t="str">
        <f t="shared" ca="1" si="56"/>
        <v/>
      </c>
      <c r="J1205" s="24" t="str">
        <f t="shared" ca="1" si="57"/>
        <v/>
      </c>
      <c r="K1205" s="2"/>
      <c r="L1205" s="2"/>
    </row>
    <row r="1206" spans="1:12" x14ac:dyDescent="0.35">
      <c r="A1206" s="25" t="str">
        <f t="shared" si="58"/>
        <v/>
      </c>
      <c r="B1206" s="20"/>
      <c r="C1206" s="10"/>
      <c r="D1206" s="26" t="str">
        <f>IF(C1206="","",IFERROR(VLOOKUP(C1206,'Food Catalog'!$A:$B,2,0),"Unknown"))</f>
        <v/>
      </c>
      <c r="E1206" s="26" t="str">
        <f>IF(C1206="","",IFERROR(VLOOKUP(C1206,'Food Catalog'!$A:$C,3,0),""))</f>
        <v/>
      </c>
      <c r="F1206" s="26" t="str">
        <f>IF(C1206="","",IFERROR(VLOOKUP(C1206,'Food Catalog'!$A:$D,4,0),""))</f>
        <v/>
      </c>
      <c r="G1206" s="8"/>
      <c r="H1206" s="71"/>
      <c r="I1206" s="27" t="str">
        <f t="shared" ca="1" si="56"/>
        <v/>
      </c>
      <c r="J1206" s="27" t="str">
        <f t="shared" ca="1" si="57"/>
        <v/>
      </c>
      <c r="K1206" s="7"/>
      <c r="L1206" s="7"/>
    </row>
    <row r="1207" spans="1:12" x14ac:dyDescent="0.35">
      <c r="A1207" s="22" t="str">
        <f t="shared" si="58"/>
        <v/>
      </c>
      <c r="B1207" s="18"/>
      <c r="C1207" s="5"/>
      <c r="D1207" s="23" t="str">
        <f>IF(C1207="","",IFERROR(VLOOKUP(C1207,'Food Catalog'!$A:$B,2,0),"Unknown"))</f>
        <v/>
      </c>
      <c r="E1207" s="23" t="str">
        <f>IF(C1207="","",IFERROR(VLOOKUP(C1207,'Food Catalog'!$A:$C,3,0),""))</f>
        <v/>
      </c>
      <c r="F1207" s="23" t="str">
        <f>IF(C1207="","",IFERROR(VLOOKUP(C1207,'Food Catalog'!$A:$D,4,0),""))</f>
        <v/>
      </c>
      <c r="G1207" s="3"/>
      <c r="H1207" s="70"/>
      <c r="I1207" s="24" t="str">
        <f t="shared" ca="1" si="56"/>
        <v/>
      </c>
      <c r="J1207" s="24" t="str">
        <f t="shared" ca="1" si="57"/>
        <v/>
      </c>
      <c r="K1207" s="2"/>
      <c r="L1207" s="2"/>
    </row>
    <row r="1208" spans="1:12" x14ac:dyDescent="0.35">
      <c r="A1208" s="25" t="str">
        <f t="shared" si="58"/>
        <v/>
      </c>
      <c r="B1208" s="20"/>
      <c r="C1208" s="10"/>
      <c r="D1208" s="26" t="str">
        <f>IF(C1208="","",IFERROR(VLOOKUP(C1208,'Food Catalog'!$A:$B,2,0),"Unknown"))</f>
        <v/>
      </c>
      <c r="E1208" s="26" t="str">
        <f>IF(C1208="","",IFERROR(VLOOKUP(C1208,'Food Catalog'!$A:$C,3,0),""))</f>
        <v/>
      </c>
      <c r="F1208" s="26" t="str">
        <f>IF(C1208="","",IFERROR(VLOOKUP(C1208,'Food Catalog'!$A:$D,4,0),""))</f>
        <v/>
      </c>
      <c r="G1208" s="8"/>
      <c r="H1208" s="71"/>
      <c r="I1208" s="27" t="str">
        <f t="shared" ca="1" si="56"/>
        <v/>
      </c>
      <c r="J1208" s="27" t="str">
        <f t="shared" ca="1" si="57"/>
        <v/>
      </c>
      <c r="K1208" s="7"/>
      <c r="L1208" s="7"/>
    </row>
    <row r="1209" spans="1:12" x14ac:dyDescent="0.35">
      <c r="A1209" s="22" t="str">
        <f t="shared" si="58"/>
        <v/>
      </c>
      <c r="B1209" s="18"/>
      <c r="C1209" s="5"/>
      <c r="D1209" s="23" t="str">
        <f>IF(C1209="","",IFERROR(VLOOKUP(C1209,'Food Catalog'!$A:$B,2,0),"Unknown"))</f>
        <v/>
      </c>
      <c r="E1209" s="23" t="str">
        <f>IF(C1209="","",IFERROR(VLOOKUP(C1209,'Food Catalog'!$A:$C,3,0),""))</f>
        <v/>
      </c>
      <c r="F1209" s="23" t="str">
        <f>IF(C1209="","",IFERROR(VLOOKUP(C1209,'Food Catalog'!$A:$D,4,0),""))</f>
        <v/>
      </c>
      <c r="G1209" s="3"/>
      <c r="H1209" s="70"/>
      <c r="I1209" s="24" t="str">
        <f t="shared" ca="1" si="56"/>
        <v/>
      </c>
      <c r="J1209" s="24" t="str">
        <f t="shared" ca="1" si="57"/>
        <v/>
      </c>
      <c r="K1209" s="2"/>
      <c r="L1209" s="2"/>
    </row>
    <row r="1210" spans="1:12" x14ac:dyDescent="0.35">
      <c r="A1210" s="25" t="str">
        <f t="shared" si="58"/>
        <v/>
      </c>
      <c r="B1210" s="20"/>
      <c r="C1210" s="10"/>
      <c r="D1210" s="26" t="str">
        <f>IF(C1210="","",IFERROR(VLOOKUP(C1210,'Food Catalog'!$A:$B,2,0),"Unknown"))</f>
        <v/>
      </c>
      <c r="E1210" s="26" t="str">
        <f>IF(C1210="","",IFERROR(VLOOKUP(C1210,'Food Catalog'!$A:$C,3,0),""))</f>
        <v/>
      </c>
      <c r="F1210" s="26" t="str">
        <f>IF(C1210="","",IFERROR(VLOOKUP(C1210,'Food Catalog'!$A:$D,4,0),""))</f>
        <v/>
      </c>
      <c r="G1210" s="8"/>
      <c r="H1210" s="71"/>
      <c r="I1210" s="27" t="str">
        <f t="shared" ca="1" si="56"/>
        <v/>
      </c>
      <c r="J1210" s="27" t="str">
        <f t="shared" ca="1" si="57"/>
        <v/>
      </c>
      <c r="K1210" s="7"/>
      <c r="L1210" s="7"/>
    </row>
    <row r="1211" spans="1:12" x14ac:dyDescent="0.35">
      <c r="A1211" s="22" t="str">
        <f t="shared" si="58"/>
        <v/>
      </c>
      <c r="B1211" s="18"/>
      <c r="C1211" s="5"/>
      <c r="D1211" s="23" t="str">
        <f>IF(C1211="","",IFERROR(VLOOKUP(C1211,'Food Catalog'!$A:$B,2,0),"Unknown"))</f>
        <v/>
      </c>
      <c r="E1211" s="23" t="str">
        <f>IF(C1211="","",IFERROR(VLOOKUP(C1211,'Food Catalog'!$A:$C,3,0),""))</f>
        <v/>
      </c>
      <c r="F1211" s="23" t="str">
        <f>IF(C1211="","",IFERROR(VLOOKUP(C1211,'Food Catalog'!$A:$D,4,0),""))</f>
        <v/>
      </c>
      <c r="G1211" s="3"/>
      <c r="H1211" s="70"/>
      <c r="I1211" s="24" t="str">
        <f t="shared" ca="1" si="56"/>
        <v/>
      </c>
      <c r="J1211" s="24" t="str">
        <f t="shared" ca="1" si="57"/>
        <v/>
      </c>
      <c r="K1211" s="2"/>
      <c r="L1211" s="2"/>
    </row>
    <row r="1212" spans="1:12" x14ac:dyDescent="0.35">
      <c r="A1212" s="25" t="str">
        <f t="shared" si="58"/>
        <v/>
      </c>
      <c r="B1212" s="20"/>
      <c r="C1212" s="10"/>
      <c r="D1212" s="26" t="str">
        <f>IF(C1212="","",IFERROR(VLOOKUP(C1212,'Food Catalog'!$A:$B,2,0),"Unknown"))</f>
        <v/>
      </c>
      <c r="E1212" s="26" t="str">
        <f>IF(C1212="","",IFERROR(VLOOKUP(C1212,'Food Catalog'!$A:$C,3,0),""))</f>
        <v/>
      </c>
      <c r="F1212" s="26" t="str">
        <f>IF(C1212="","",IFERROR(VLOOKUP(C1212,'Food Catalog'!$A:$D,4,0),""))</f>
        <v/>
      </c>
      <c r="G1212" s="8"/>
      <c r="H1212" s="71"/>
      <c r="I1212" s="27" t="str">
        <f t="shared" ca="1" si="56"/>
        <v/>
      </c>
      <c r="J1212" s="27" t="str">
        <f t="shared" ca="1" si="57"/>
        <v/>
      </c>
      <c r="K1212" s="7"/>
      <c r="L1212" s="7"/>
    </row>
  </sheetData>
  <mergeCells count="2">
    <mergeCell ref="A2:L2"/>
    <mergeCell ref="A1:L1"/>
  </mergeCells>
  <phoneticPr fontId="9" type="noConversion"/>
  <conditionalFormatting sqref="J5:J1212">
    <cfRule type="cellIs" dxfId="4" priority="1" operator="equal">
      <formula>"CRITICAL"</formula>
    </cfRule>
    <cfRule type="cellIs" dxfId="3" priority="2" operator="equal">
      <formula>"WARNING"</formula>
    </cfRule>
    <cfRule type="cellIs" dxfId="2" priority="3" operator="equal">
      <formula>"NOTICE"</formula>
    </cfRule>
    <cfRule type="cellIs" dxfId="1" priority="4" operator="equal">
      <formula>"OK"</formula>
    </cfRule>
    <cfRule type="cellIs" dxfId="0" priority="5" operator="equal">
      <formula>"EXPIRED"</formula>
    </cfRule>
  </conditionalFormatting>
  <dataValidations count="1">
    <dataValidation type="list" allowBlank="1" sqref="K1014:K1212" xr:uid="{00000000-0002-0000-0300-000001000000}">
      <formula1>"Corporate Drive,Grocery Rescue,Individual Donor,Community Drive,School Drive,Church Drive,Government Surplus,Restaurant Partner"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Item ID" error="Please select an Item ID from the dropdown list." xr:uid="{00000000-0002-0000-0300-000000000000}">
          <x14:formula1>
            <xm:f>'Food Catalog'!$A$5:$A$54</xm:f>
          </x14:formula1>
          <xm:sqref>C1014:C1212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81"/>
  <sheetViews>
    <sheetView showGridLines="0" workbookViewId="0">
      <pane ySplit="4" topLeftCell="A5" activePane="bottomLeft" state="frozen"/>
      <selection pane="bottomLeft" activeCell="D1686" sqref="D1686"/>
    </sheetView>
  </sheetViews>
  <sheetFormatPr defaultRowHeight="14.5" x14ac:dyDescent="0.35"/>
  <cols>
    <col min="1" max="2" width="12" customWidth="1"/>
    <col min="3" max="3" width="10" customWidth="1"/>
    <col min="4" max="4" width="28" customWidth="1"/>
    <col min="5" max="5" width="10" customWidth="1"/>
    <col min="6" max="6" width="28" customWidth="1"/>
    <col min="7" max="7" width="22" customWidth="1"/>
    <col min="8" max="9" width="16" customWidth="1"/>
    <col min="10" max="10" width="20" customWidth="1"/>
  </cols>
  <sheetData>
    <row r="1" spans="1:10" ht="38" customHeight="1" x14ac:dyDescent="0.35">
      <c r="A1" s="78" t="s">
        <v>183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0" customHeight="1" x14ac:dyDescent="0.35">
      <c r="A2" s="76" t="s">
        <v>184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6" customHeight="1" x14ac:dyDescent="0.35"/>
    <row r="4" spans="1:10" ht="28" customHeight="1" x14ac:dyDescent="0.35">
      <c r="A4" s="1" t="s">
        <v>185</v>
      </c>
      <c r="B4" s="1" t="s">
        <v>170</v>
      </c>
      <c r="C4" s="1" t="s">
        <v>186</v>
      </c>
      <c r="D4" s="1" t="s">
        <v>187</v>
      </c>
      <c r="E4" s="1" t="s">
        <v>22</v>
      </c>
      <c r="F4" s="1" t="s">
        <v>0</v>
      </c>
      <c r="G4" s="1" t="s">
        <v>1</v>
      </c>
      <c r="H4" s="1" t="s">
        <v>23</v>
      </c>
      <c r="I4" s="1" t="s">
        <v>188</v>
      </c>
      <c r="J4" s="1" t="s">
        <v>174</v>
      </c>
    </row>
    <row r="5" spans="1:10" x14ac:dyDescent="0.35">
      <c r="A5" s="36" t="s">
        <v>189</v>
      </c>
      <c r="B5" s="35">
        <v>45849</v>
      </c>
      <c r="C5" s="36" t="s">
        <v>190</v>
      </c>
      <c r="D5" s="36" t="s">
        <v>191</v>
      </c>
      <c r="E5" s="36" t="s">
        <v>54</v>
      </c>
      <c r="F5" s="36" t="s">
        <v>55</v>
      </c>
      <c r="G5" s="36" t="s">
        <v>53</v>
      </c>
      <c r="H5" s="36" t="s">
        <v>56</v>
      </c>
      <c r="I5" s="37">
        <v>19</v>
      </c>
      <c r="J5" s="36"/>
    </row>
    <row r="6" spans="1:10" x14ac:dyDescent="0.35">
      <c r="A6" s="36" t="s">
        <v>192</v>
      </c>
      <c r="B6" s="35">
        <v>45849</v>
      </c>
      <c r="C6" s="36" t="s">
        <v>190</v>
      </c>
      <c r="D6" s="36" t="s">
        <v>191</v>
      </c>
      <c r="E6" s="36" t="s">
        <v>132</v>
      </c>
      <c r="F6" s="36" t="s">
        <v>133</v>
      </c>
      <c r="G6" s="36" t="s">
        <v>10</v>
      </c>
      <c r="H6" s="36" t="s">
        <v>134</v>
      </c>
      <c r="I6" s="37">
        <v>6</v>
      </c>
      <c r="J6" s="36"/>
    </row>
    <row r="7" spans="1:10" x14ac:dyDescent="0.35">
      <c r="A7" s="36" t="s">
        <v>193</v>
      </c>
      <c r="B7" s="35">
        <v>45849</v>
      </c>
      <c r="C7" s="36" t="s">
        <v>190</v>
      </c>
      <c r="D7" s="36" t="s">
        <v>191</v>
      </c>
      <c r="E7" s="36" t="s">
        <v>48</v>
      </c>
      <c r="F7" s="36" t="s">
        <v>49</v>
      </c>
      <c r="G7" s="36" t="s">
        <v>31</v>
      </c>
      <c r="H7" s="36" t="s">
        <v>50</v>
      </c>
      <c r="I7" s="37">
        <v>17</v>
      </c>
      <c r="J7" s="36"/>
    </row>
    <row r="8" spans="1:10" x14ac:dyDescent="0.35">
      <c r="A8" s="36" t="s">
        <v>194</v>
      </c>
      <c r="B8" s="35">
        <v>45849</v>
      </c>
      <c r="C8" s="36" t="s">
        <v>190</v>
      </c>
      <c r="D8" s="36" t="s">
        <v>191</v>
      </c>
      <c r="E8" s="36" t="s">
        <v>57</v>
      </c>
      <c r="F8" s="36" t="s">
        <v>58</v>
      </c>
      <c r="G8" s="36" t="s">
        <v>53</v>
      </c>
      <c r="H8" s="36" t="s">
        <v>42</v>
      </c>
      <c r="I8" s="37">
        <v>27</v>
      </c>
      <c r="J8" s="36"/>
    </row>
    <row r="9" spans="1:10" x14ac:dyDescent="0.35">
      <c r="A9" s="36" t="s">
        <v>195</v>
      </c>
      <c r="B9" s="35">
        <v>45849</v>
      </c>
      <c r="C9" s="36" t="s">
        <v>190</v>
      </c>
      <c r="D9" s="36" t="s">
        <v>191</v>
      </c>
      <c r="E9" s="36" t="s">
        <v>156</v>
      </c>
      <c r="F9" s="36" t="s">
        <v>11</v>
      </c>
      <c r="G9" s="36" t="s">
        <v>12</v>
      </c>
      <c r="H9" s="36" t="s">
        <v>155</v>
      </c>
      <c r="I9" s="37">
        <v>6</v>
      </c>
      <c r="J9" s="36"/>
    </row>
    <row r="10" spans="1:10" x14ac:dyDescent="0.35">
      <c r="A10" s="36" t="s">
        <v>196</v>
      </c>
      <c r="B10" s="35">
        <v>45849</v>
      </c>
      <c r="C10" s="36" t="s">
        <v>190</v>
      </c>
      <c r="D10" s="36" t="s">
        <v>191</v>
      </c>
      <c r="E10" s="36" t="s">
        <v>59</v>
      </c>
      <c r="F10" s="36" t="s">
        <v>60</v>
      </c>
      <c r="G10" s="36" t="s">
        <v>53</v>
      </c>
      <c r="H10" s="36" t="s">
        <v>56</v>
      </c>
      <c r="I10" s="37">
        <v>21</v>
      </c>
      <c r="J10" s="36"/>
    </row>
    <row r="11" spans="1:10" x14ac:dyDescent="0.35">
      <c r="A11" s="36" t="s">
        <v>197</v>
      </c>
      <c r="B11" s="35">
        <v>45849</v>
      </c>
      <c r="C11" s="36" t="s">
        <v>190</v>
      </c>
      <c r="D11" s="36" t="s">
        <v>191</v>
      </c>
      <c r="E11" s="36" t="s">
        <v>109</v>
      </c>
      <c r="F11" s="36" t="s">
        <v>110</v>
      </c>
      <c r="G11" s="36" t="s">
        <v>102</v>
      </c>
      <c r="H11" s="36" t="s">
        <v>42</v>
      </c>
      <c r="I11" s="37">
        <v>21</v>
      </c>
      <c r="J11" s="36"/>
    </row>
    <row r="12" spans="1:10" x14ac:dyDescent="0.35">
      <c r="A12" s="36" t="s">
        <v>198</v>
      </c>
      <c r="B12" s="35">
        <v>45849</v>
      </c>
      <c r="C12" s="36" t="s">
        <v>190</v>
      </c>
      <c r="D12" s="36" t="s">
        <v>191</v>
      </c>
      <c r="E12" s="36" t="s">
        <v>111</v>
      </c>
      <c r="F12" s="36" t="s">
        <v>112</v>
      </c>
      <c r="G12" s="36" t="s">
        <v>102</v>
      </c>
      <c r="H12" s="36" t="s">
        <v>113</v>
      </c>
      <c r="I12" s="37">
        <v>11</v>
      </c>
      <c r="J12" s="36"/>
    </row>
    <row r="13" spans="1:10" x14ac:dyDescent="0.35">
      <c r="A13" s="36" t="s">
        <v>199</v>
      </c>
      <c r="B13" s="35">
        <v>45853</v>
      </c>
      <c r="C13" s="36" t="s">
        <v>190</v>
      </c>
      <c r="D13" s="36" t="s">
        <v>191</v>
      </c>
      <c r="E13" s="36" t="s">
        <v>57</v>
      </c>
      <c r="F13" s="36" t="s">
        <v>58</v>
      </c>
      <c r="G13" s="36" t="s">
        <v>53</v>
      </c>
      <c r="H13" s="36" t="s">
        <v>42</v>
      </c>
      <c r="I13" s="37">
        <v>28</v>
      </c>
      <c r="J13" s="36"/>
    </row>
    <row r="14" spans="1:10" x14ac:dyDescent="0.35">
      <c r="A14" s="36" t="s">
        <v>200</v>
      </c>
      <c r="B14" s="35">
        <v>45853</v>
      </c>
      <c r="C14" s="36" t="s">
        <v>190</v>
      </c>
      <c r="D14" s="36" t="s">
        <v>191</v>
      </c>
      <c r="E14" s="36" t="s">
        <v>46</v>
      </c>
      <c r="F14" s="36" t="s">
        <v>47</v>
      </c>
      <c r="G14" s="36" t="s">
        <v>31</v>
      </c>
      <c r="H14" s="36" t="s">
        <v>42</v>
      </c>
      <c r="I14" s="37">
        <v>14</v>
      </c>
      <c r="J14" s="36"/>
    </row>
    <row r="15" spans="1:10" x14ac:dyDescent="0.35">
      <c r="A15" s="36" t="s">
        <v>201</v>
      </c>
      <c r="B15" s="35">
        <v>45853</v>
      </c>
      <c r="C15" s="36" t="s">
        <v>190</v>
      </c>
      <c r="D15" s="36" t="s">
        <v>191</v>
      </c>
      <c r="E15" s="36" t="s">
        <v>151</v>
      </c>
      <c r="F15" s="36" t="s">
        <v>152</v>
      </c>
      <c r="G15" s="36" t="s">
        <v>8</v>
      </c>
      <c r="H15" s="36" t="s">
        <v>143</v>
      </c>
      <c r="I15" s="37">
        <v>12</v>
      </c>
      <c r="J15" s="36"/>
    </row>
    <row r="16" spans="1:10" x14ac:dyDescent="0.35">
      <c r="A16" s="36" t="s">
        <v>202</v>
      </c>
      <c r="B16" s="35">
        <v>45853</v>
      </c>
      <c r="C16" s="36" t="s">
        <v>190</v>
      </c>
      <c r="D16" s="36" t="s">
        <v>191</v>
      </c>
      <c r="E16" s="36" t="s">
        <v>72</v>
      </c>
      <c r="F16" s="36" t="s">
        <v>73</v>
      </c>
      <c r="G16" s="36" t="s">
        <v>74</v>
      </c>
      <c r="H16" s="36" t="s">
        <v>75</v>
      </c>
      <c r="I16" s="37">
        <v>18</v>
      </c>
      <c r="J16" s="36"/>
    </row>
    <row r="17" spans="1:10" x14ac:dyDescent="0.35">
      <c r="A17" s="36" t="s">
        <v>203</v>
      </c>
      <c r="B17" s="35">
        <v>45853</v>
      </c>
      <c r="C17" s="36" t="s">
        <v>190</v>
      </c>
      <c r="D17" s="36" t="s">
        <v>191</v>
      </c>
      <c r="E17" s="36" t="s">
        <v>91</v>
      </c>
      <c r="F17" s="36" t="s">
        <v>92</v>
      </c>
      <c r="G17" s="36" t="s">
        <v>93</v>
      </c>
      <c r="H17" s="36" t="s">
        <v>85</v>
      </c>
      <c r="I17" s="37">
        <v>11</v>
      </c>
      <c r="J17" s="36"/>
    </row>
    <row r="18" spans="1:10" x14ac:dyDescent="0.35">
      <c r="A18" s="36" t="s">
        <v>204</v>
      </c>
      <c r="B18" s="35">
        <v>45853</v>
      </c>
      <c r="C18" s="36" t="s">
        <v>190</v>
      </c>
      <c r="D18" s="36" t="s">
        <v>191</v>
      </c>
      <c r="E18" s="36" t="s">
        <v>100</v>
      </c>
      <c r="F18" s="36" t="s">
        <v>101</v>
      </c>
      <c r="G18" s="36" t="s">
        <v>102</v>
      </c>
      <c r="H18" s="36" t="s">
        <v>103</v>
      </c>
      <c r="I18" s="37">
        <v>17</v>
      </c>
      <c r="J18" s="36"/>
    </row>
    <row r="19" spans="1:10" x14ac:dyDescent="0.35">
      <c r="A19" s="36" t="s">
        <v>205</v>
      </c>
      <c r="B19" s="35">
        <v>45853</v>
      </c>
      <c r="C19" s="36" t="s">
        <v>190</v>
      </c>
      <c r="D19" s="36" t="s">
        <v>191</v>
      </c>
      <c r="E19" s="36" t="s">
        <v>120</v>
      </c>
      <c r="F19" s="36" t="s">
        <v>121</v>
      </c>
      <c r="G19" s="36" t="s">
        <v>14</v>
      </c>
      <c r="H19" s="36" t="s">
        <v>119</v>
      </c>
      <c r="I19" s="37">
        <v>2</v>
      </c>
      <c r="J19" s="36"/>
    </row>
    <row r="20" spans="1:10" x14ac:dyDescent="0.35">
      <c r="A20" s="36" t="s">
        <v>206</v>
      </c>
      <c r="B20" s="35">
        <v>45853</v>
      </c>
      <c r="C20" s="36" t="s">
        <v>190</v>
      </c>
      <c r="D20" s="36" t="s">
        <v>191</v>
      </c>
      <c r="E20" s="36" t="s">
        <v>40</v>
      </c>
      <c r="F20" s="36" t="s">
        <v>41</v>
      </c>
      <c r="G20" s="36" t="s">
        <v>31</v>
      </c>
      <c r="H20" s="36" t="s">
        <v>42</v>
      </c>
      <c r="I20" s="37">
        <v>13</v>
      </c>
      <c r="J20" s="36"/>
    </row>
    <row r="21" spans="1:10" x14ac:dyDescent="0.35">
      <c r="A21" s="36" t="s">
        <v>207</v>
      </c>
      <c r="B21" s="35">
        <v>45853</v>
      </c>
      <c r="C21" s="36" t="s">
        <v>190</v>
      </c>
      <c r="D21" s="36" t="s">
        <v>191</v>
      </c>
      <c r="E21" s="36" t="s">
        <v>83</v>
      </c>
      <c r="F21" s="36" t="s">
        <v>84</v>
      </c>
      <c r="G21" s="36" t="s">
        <v>74</v>
      </c>
      <c r="H21" s="36" t="s">
        <v>85</v>
      </c>
      <c r="I21" s="37">
        <v>17</v>
      </c>
      <c r="J21" s="36"/>
    </row>
    <row r="22" spans="1:10" x14ac:dyDescent="0.35">
      <c r="A22" s="36" t="s">
        <v>208</v>
      </c>
      <c r="B22" s="35">
        <v>45853</v>
      </c>
      <c r="C22" s="36" t="s">
        <v>190</v>
      </c>
      <c r="D22" s="36" t="s">
        <v>191</v>
      </c>
      <c r="E22" s="36" t="s">
        <v>76</v>
      </c>
      <c r="F22" s="36" t="s">
        <v>77</v>
      </c>
      <c r="G22" s="36" t="s">
        <v>74</v>
      </c>
      <c r="H22" s="36" t="s">
        <v>75</v>
      </c>
      <c r="I22" s="37">
        <v>10</v>
      </c>
      <c r="J22" s="36"/>
    </row>
    <row r="23" spans="1:10" x14ac:dyDescent="0.35">
      <c r="A23" s="36" t="s">
        <v>209</v>
      </c>
      <c r="B23" s="35">
        <v>45853</v>
      </c>
      <c r="C23" s="36" t="s">
        <v>210</v>
      </c>
      <c r="D23" s="36" t="s">
        <v>211</v>
      </c>
      <c r="E23" s="36" t="s">
        <v>161</v>
      </c>
      <c r="F23" s="36" t="s">
        <v>162</v>
      </c>
      <c r="G23" s="36" t="s">
        <v>159</v>
      </c>
      <c r="H23" s="36" t="s">
        <v>163</v>
      </c>
      <c r="I23" s="37">
        <v>5</v>
      </c>
      <c r="J23" s="36"/>
    </row>
    <row r="24" spans="1:10" x14ac:dyDescent="0.35">
      <c r="A24" s="36" t="s">
        <v>212</v>
      </c>
      <c r="B24" s="35">
        <v>45853</v>
      </c>
      <c r="C24" s="36" t="s">
        <v>210</v>
      </c>
      <c r="D24" s="36" t="s">
        <v>211</v>
      </c>
      <c r="E24" s="36" t="s">
        <v>69</v>
      </c>
      <c r="F24" s="36" t="s">
        <v>70</v>
      </c>
      <c r="G24" s="36" t="s">
        <v>66</v>
      </c>
      <c r="H24" s="36" t="s">
        <v>71</v>
      </c>
      <c r="I24" s="37">
        <v>13</v>
      </c>
      <c r="J24" s="36"/>
    </row>
    <row r="25" spans="1:10" x14ac:dyDescent="0.35">
      <c r="A25" s="36" t="s">
        <v>213</v>
      </c>
      <c r="B25" s="35">
        <v>45853</v>
      </c>
      <c r="C25" s="36" t="s">
        <v>210</v>
      </c>
      <c r="D25" s="36" t="s">
        <v>211</v>
      </c>
      <c r="E25" s="36" t="s">
        <v>54</v>
      </c>
      <c r="F25" s="36" t="s">
        <v>55</v>
      </c>
      <c r="G25" s="36" t="s">
        <v>53</v>
      </c>
      <c r="H25" s="36" t="s">
        <v>56</v>
      </c>
      <c r="I25" s="37">
        <v>18</v>
      </c>
      <c r="J25" s="36"/>
    </row>
    <row r="26" spans="1:10" x14ac:dyDescent="0.35">
      <c r="A26" s="36" t="s">
        <v>214</v>
      </c>
      <c r="B26" s="35">
        <v>45853</v>
      </c>
      <c r="C26" s="36" t="s">
        <v>210</v>
      </c>
      <c r="D26" s="36" t="s">
        <v>211</v>
      </c>
      <c r="E26" s="36" t="s">
        <v>64</v>
      </c>
      <c r="F26" s="36" t="s">
        <v>65</v>
      </c>
      <c r="G26" s="36" t="s">
        <v>66</v>
      </c>
      <c r="H26" s="36" t="s">
        <v>42</v>
      </c>
      <c r="I26" s="37">
        <v>13</v>
      </c>
      <c r="J26" s="36"/>
    </row>
    <row r="27" spans="1:10" x14ac:dyDescent="0.35">
      <c r="A27" s="36" t="s">
        <v>215</v>
      </c>
      <c r="B27" s="35">
        <v>45853</v>
      </c>
      <c r="C27" s="36" t="s">
        <v>210</v>
      </c>
      <c r="D27" s="36" t="s">
        <v>211</v>
      </c>
      <c r="E27" s="36" t="s">
        <v>100</v>
      </c>
      <c r="F27" s="36" t="s">
        <v>101</v>
      </c>
      <c r="G27" s="36" t="s">
        <v>102</v>
      </c>
      <c r="H27" s="36" t="s">
        <v>103</v>
      </c>
      <c r="I27" s="37">
        <v>9</v>
      </c>
      <c r="J27" s="36"/>
    </row>
    <row r="28" spans="1:10" x14ac:dyDescent="0.35">
      <c r="A28" s="36" t="s">
        <v>216</v>
      </c>
      <c r="B28" s="35">
        <v>45853</v>
      </c>
      <c r="C28" s="36" t="s">
        <v>190</v>
      </c>
      <c r="D28" s="36" t="s">
        <v>191</v>
      </c>
      <c r="E28" s="36" t="s">
        <v>64</v>
      </c>
      <c r="F28" s="36" t="s">
        <v>65</v>
      </c>
      <c r="G28" s="36" t="s">
        <v>66</v>
      </c>
      <c r="H28" s="36" t="s">
        <v>42</v>
      </c>
      <c r="I28" s="37">
        <v>8</v>
      </c>
      <c r="J28" s="36"/>
    </row>
    <row r="29" spans="1:10" x14ac:dyDescent="0.35">
      <c r="A29" s="36" t="s">
        <v>217</v>
      </c>
      <c r="B29" s="35">
        <v>45853</v>
      </c>
      <c r="C29" s="36" t="s">
        <v>190</v>
      </c>
      <c r="D29" s="36" t="s">
        <v>191</v>
      </c>
      <c r="E29" s="36" t="s">
        <v>141</v>
      </c>
      <c r="F29" s="36" t="s">
        <v>142</v>
      </c>
      <c r="G29" s="36" t="s">
        <v>8</v>
      </c>
      <c r="H29" s="36" t="s">
        <v>143</v>
      </c>
      <c r="I29" s="37">
        <v>12</v>
      </c>
      <c r="J29" s="36"/>
    </row>
    <row r="30" spans="1:10" x14ac:dyDescent="0.35">
      <c r="A30" s="36" t="s">
        <v>218</v>
      </c>
      <c r="B30" s="35">
        <v>45853</v>
      </c>
      <c r="C30" s="36" t="s">
        <v>190</v>
      </c>
      <c r="D30" s="36" t="s">
        <v>191</v>
      </c>
      <c r="E30" s="36" t="s">
        <v>109</v>
      </c>
      <c r="F30" s="36" t="s">
        <v>110</v>
      </c>
      <c r="G30" s="36" t="s">
        <v>102</v>
      </c>
      <c r="H30" s="36" t="s">
        <v>42</v>
      </c>
      <c r="I30" s="37">
        <v>10</v>
      </c>
      <c r="J30" s="36"/>
    </row>
    <row r="31" spans="1:10" x14ac:dyDescent="0.35">
      <c r="A31" s="36" t="s">
        <v>219</v>
      </c>
      <c r="B31" s="35">
        <v>45853</v>
      </c>
      <c r="C31" s="36" t="s">
        <v>190</v>
      </c>
      <c r="D31" s="36" t="s">
        <v>191</v>
      </c>
      <c r="E31" s="36" t="s">
        <v>54</v>
      </c>
      <c r="F31" s="36" t="s">
        <v>55</v>
      </c>
      <c r="G31" s="36" t="s">
        <v>53</v>
      </c>
      <c r="H31" s="36" t="s">
        <v>56</v>
      </c>
      <c r="I31" s="37">
        <v>30</v>
      </c>
      <c r="J31" s="36"/>
    </row>
    <row r="32" spans="1:10" x14ac:dyDescent="0.35">
      <c r="A32" s="36" t="s">
        <v>220</v>
      </c>
      <c r="B32" s="35">
        <v>45853</v>
      </c>
      <c r="C32" s="36" t="s">
        <v>190</v>
      </c>
      <c r="D32" s="36" t="s">
        <v>191</v>
      </c>
      <c r="E32" s="36" t="s">
        <v>46</v>
      </c>
      <c r="F32" s="36" t="s">
        <v>47</v>
      </c>
      <c r="G32" s="36" t="s">
        <v>31</v>
      </c>
      <c r="H32" s="36" t="s">
        <v>42</v>
      </c>
      <c r="I32" s="37">
        <v>18</v>
      </c>
      <c r="J32" s="36"/>
    </row>
    <row r="33" spans="1:10" x14ac:dyDescent="0.35">
      <c r="A33" s="36" t="s">
        <v>221</v>
      </c>
      <c r="B33" s="35">
        <v>45853</v>
      </c>
      <c r="C33" s="36" t="s">
        <v>190</v>
      </c>
      <c r="D33" s="36" t="s">
        <v>191</v>
      </c>
      <c r="E33" s="36" t="s">
        <v>88</v>
      </c>
      <c r="F33" s="36" t="s">
        <v>89</v>
      </c>
      <c r="G33" s="36" t="s">
        <v>74</v>
      </c>
      <c r="H33" s="36" t="s">
        <v>90</v>
      </c>
      <c r="I33" s="37">
        <v>16</v>
      </c>
      <c r="J33" s="36"/>
    </row>
    <row r="34" spans="1:10" x14ac:dyDescent="0.35">
      <c r="A34" s="36" t="s">
        <v>222</v>
      </c>
      <c r="B34" s="35">
        <v>45854</v>
      </c>
      <c r="C34" s="36" t="s">
        <v>210</v>
      </c>
      <c r="D34" s="36" t="s">
        <v>211</v>
      </c>
      <c r="E34" s="36" t="s">
        <v>67</v>
      </c>
      <c r="F34" s="36" t="s">
        <v>68</v>
      </c>
      <c r="G34" s="36" t="s">
        <v>66</v>
      </c>
      <c r="H34" s="36" t="s">
        <v>42</v>
      </c>
      <c r="I34" s="37">
        <v>9</v>
      </c>
      <c r="J34" s="36"/>
    </row>
    <row r="35" spans="1:10" x14ac:dyDescent="0.35">
      <c r="A35" s="36" t="s">
        <v>223</v>
      </c>
      <c r="B35" s="35">
        <v>45854</v>
      </c>
      <c r="C35" s="36" t="s">
        <v>210</v>
      </c>
      <c r="D35" s="36" t="s">
        <v>211</v>
      </c>
      <c r="E35" s="36" t="s">
        <v>61</v>
      </c>
      <c r="F35" s="36" t="s">
        <v>62</v>
      </c>
      <c r="G35" s="36" t="s">
        <v>53</v>
      </c>
      <c r="H35" s="36" t="s">
        <v>42</v>
      </c>
      <c r="I35" s="37">
        <v>14</v>
      </c>
      <c r="J35" s="36"/>
    </row>
    <row r="36" spans="1:10" x14ac:dyDescent="0.35">
      <c r="A36" s="36" t="s">
        <v>224</v>
      </c>
      <c r="B36" s="35">
        <v>45854</v>
      </c>
      <c r="C36" s="36" t="s">
        <v>210</v>
      </c>
      <c r="D36" s="36" t="s">
        <v>211</v>
      </c>
      <c r="E36" s="36" t="s">
        <v>78</v>
      </c>
      <c r="F36" s="36" t="s">
        <v>79</v>
      </c>
      <c r="G36" s="36" t="s">
        <v>74</v>
      </c>
      <c r="H36" s="36" t="s">
        <v>80</v>
      </c>
      <c r="I36" s="37">
        <v>10</v>
      </c>
      <c r="J36" s="36"/>
    </row>
    <row r="37" spans="1:10" x14ac:dyDescent="0.35">
      <c r="A37" s="36" t="s">
        <v>225</v>
      </c>
      <c r="B37" s="35">
        <v>45854</v>
      </c>
      <c r="C37" s="36" t="s">
        <v>210</v>
      </c>
      <c r="D37" s="36" t="s">
        <v>211</v>
      </c>
      <c r="E37" s="36" t="s">
        <v>156</v>
      </c>
      <c r="F37" s="36" t="s">
        <v>11</v>
      </c>
      <c r="G37" s="36" t="s">
        <v>12</v>
      </c>
      <c r="H37" s="36" t="s">
        <v>155</v>
      </c>
      <c r="I37" s="37">
        <v>5</v>
      </c>
      <c r="J37" s="36"/>
    </row>
    <row r="38" spans="1:10" x14ac:dyDescent="0.35">
      <c r="A38" s="36" t="s">
        <v>226</v>
      </c>
      <c r="B38" s="35">
        <v>45854</v>
      </c>
      <c r="C38" s="36" t="s">
        <v>210</v>
      </c>
      <c r="D38" s="36" t="s">
        <v>211</v>
      </c>
      <c r="E38" s="36" t="s">
        <v>109</v>
      </c>
      <c r="F38" s="36" t="s">
        <v>110</v>
      </c>
      <c r="G38" s="36" t="s">
        <v>102</v>
      </c>
      <c r="H38" s="36" t="s">
        <v>42</v>
      </c>
      <c r="I38" s="37">
        <v>6</v>
      </c>
      <c r="J38" s="36"/>
    </row>
    <row r="39" spans="1:10" x14ac:dyDescent="0.35">
      <c r="A39" s="36" t="s">
        <v>227</v>
      </c>
      <c r="B39" s="35">
        <v>45854</v>
      </c>
      <c r="C39" s="36" t="s">
        <v>210</v>
      </c>
      <c r="D39" s="36" t="s">
        <v>211</v>
      </c>
      <c r="E39" s="36" t="s">
        <v>57</v>
      </c>
      <c r="F39" s="36" t="s">
        <v>58</v>
      </c>
      <c r="G39" s="36" t="s">
        <v>53</v>
      </c>
      <c r="H39" s="36" t="s">
        <v>42</v>
      </c>
      <c r="I39" s="37">
        <v>14</v>
      </c>
      <c r="J39" s="36"/>
    </row>
    <row r="40" spans="1:10" x14ac:dyDescent="0.35">
      <c r="A40" s="36" t="s">
        <v>228</v>
      </c>
      <c r="B40" s="35">
        <v>45854</v>
      </c>
      <c r="C40" s="36" t="s">
        <v>210</v>
      </c>
      <c r="D40" s="36" t="s">
        <v>211</v>
      </c>
      <c r="E40" s="36" t="s">
        <v>37</v>
      </c>
      <c r="F40" s="36" t="s">
        <v>38</v>
      </c>
      <c r="G40" s="36" t="s">
        <v>31</v>
      </c>
      <c r="H40" s="36" t="s">
        <v>39</v>
      </c>
      <c r="I40" s="37">
        <v>9</v>
      </c>
      <c r="J40" s="36"/>
    </row>
    <row r="41" spans="1:10" x14ac:dyDescent="0.35">
      <c r="A41" s="36" t="s">
        <v>229</v>
      </c>
      <c r="B41" s="35">
        <v>45854</v>
      </c>
      <c r="C41" s="36" t="s">
        <v>210</v>
      </c>
      <c r="D41" s="36" t="s">
        <v>211</v>
      </c>
      <c r="E41" s="36" t="s">
        <v>137</v>
      </c>
      <c r="F41" s="36" t="s">
        <v>15</v>
      </c>
      <c r="G41" s="36" t="s">
        <v>6</v>
      </c>
      <c r="H41" s="36" t="s">
        <v>136</v>
      </c>
      <c r="I41" s="37">
        <v>6</v>
      </c>
      <c r="J41" s="36"/>
    </row>
    <row r="42" spans="1:10" x14ac:dyDescent="0.35">
      <c r="A42" s="36" t="s">
        <v>230</v>
      </c>
      <c r="B42" s="35">
        <v>45854</v>
      </c>
      <c r="C42" s="36" t="s">
        <v>210</v>
      </c>
      <c r="D42" s="36" t="s">
        <v>211</v>
      </c>
      <c r="E42" s="36" t="s">
        <v>144</v>
      </c>
      <c r="F42" s="36" t="s">
        <v>7</v>
      </c>
      <c r="G42" s="36" t="s">
        <v>8</v>
      </c>
      <c r="H42" s="36" t="s">
        <v>145</v>
      </c>
      <c r="I42" s="37">
        <v>9</v>
      </c>
      <c r="J42" s="36"/>
    </row>
    <row r="43" spans="1:10" x14ac:dyDescent="0.35">
      <c r="A43" s="36" t="s">
        <v>231</v>
      </c>
      <c r="B43" s="35">
        <v>45854</v>
      </c>
      <c r="C43" s="36" t="s">
        <v>210</v>
      </c>
      <c r="D43" s="36" t="s">
        <v>211</v>
      </c>
      <c r="E43" s="36" t="s">
        <v>141</v>
      </c>
      <c r="F43" s="36" t="s">
        <v>142</v>
      </c>
      <c r="G43" s="36" t="s">
        <v>8</v>
      </c>
      <c r="H43" s="36" t="s">
        <v>143</v>
      </c>
      <c r="I43" s="37">
        <v>7</v>
      </c>
      <c r="J43" s="36"/>
    </row>
    <row r="44" spans="1:10" x14ac:dyDescent="0.35">
      <c r="A44" s="36" t="s">
        <v>232</v>
      </c>
      <c r="B44" s="35">
        <v>45854</v>
      </c>
      <c r="C44" s="36" t="s">
        <v>190</v>
      </c>
      <c r="D44" s="36" t="s">
        <v>191</v>
      </c>
      <c r="E44" s="36" t="s">
        <v>97</v>
      </c>
      <c r="F44" s="36" t="s">
        <v>98</v>
      </c>
      <c r="G44" s="36" t="s">
        <v>93</v>
      </c>
      <c r="H44" s="36" t="s">
        <v>99</v>
      </c>
      <c r="I44" s="37">
        <v>13</v>
      </c>
      <c r="J44" s="36"/>
    </row>
    <row r="45" spans="1:10" x14ac:dyDescent="0.35">
      <c r="A45" s="36" t="s">
        <v>233</v>
      </c>
      <c r="B45" s="35">
        <v>45854</v>
      </c>
      <c r="C45" s="36" t="s">
        <v>190</v>
      </c>
      <c r="D45" s="36" t="s">
        <v>191</v>
      </c>
      <c r="E45" s="36" t="s">
        <v>151</v>
      </c>
      <c r="F45" s="36" t="s">
        <v>152</v>
      </c>
      <c r="G45" s="36" t="s">
        <v>8</v>
      </c>
      <c r="H45" s="36" t="s">
        <v>143</v>
      </c>
      <c r="I45" s="37">
        <v>8</v>
      </c>
      <c r="J45" s="36"/>
    </row>
    <row r="46" spans="1:10" x14ac:dyDescent="0.35">
      <c r="A46" s="36" t="s">
        <v>234</v>
      </c>
      <c r="B46" s="35">
        <v>45854</v>
      </c>
      <c r="C46" s="36" t="s">
        <v>190</v>
      </c>
      <c r="D46" s="36" t="s">
        <v>191</v>
      </c>
      <c r="E46" s="36" t="s">
        <v>91</v>
      </c>
      <c r="F46" s="36" t="s">
        <v>92</v>
      </c>
      <c r="G46" s="36" t="s">
        <v>93</v>
      </c>
      <c r="H46" s="36" t="s">
        <v>85</v>
      </c>
      <c r="I46" s="37">
        <v>11</v>
      </c>
      <c r="J46" s="36"/>
    </row>
    <row r="47" spans="1:10" x14ac:dyDescent="0.35">
      <c r="A47" s="36" t="s">
        <v>235</v>
      </c>
      <c r="B47" s="35">
        <v>45854</v>
      </c>
      <c r="C47" s="36" t="s">
        <v>190</v>
      </c>
      <c r="D47" s="36" t="s">
        <v>191</v>
      </c>
      <c r="E47" s="36" t="s">
        <v>114</v>
      </c>
      <c r="F47" s="36" t="s">
        <v>13</v>
      </c>
      <c r="G47" s="36" t="s">
        <v>14</v>
      </c>
      <c r="H47" s="36" t="s">
        <v>115</v>
      </c>
      <c r="I47" s="37">
        <v>3</v>
      </c>
      <c r="J47" s="36"/>
    </row>
    <row r="48" spans="1:10" x14ac:dyDescent="0.35">
      <c r="A48" s="36" t="s">
        <v>236</v>
      </c>
      <c r="B48" s="35">
        <v>45854</v>
      </c>
      <c r="C48" s="36" t="s">
        <v>190</v>
      </c>
      <c r="D48" s="36" t="s">
        <v>191</v>
      </c>
      <c r="E48" s="36" t="s">
        <v>125</v>
      </c>
      <c r="F48" s="36" t="s">
        <v>126</v>
      </c>
      <c r="G48" s="36" t="s">
        <v>14</v>
      </c>
      <c r="H48" s="36" t="s">
        <v>127</v>
      </c>
      <c r="I48" s="37">
        <v>3</v>
      </c>
      <c r="J48" s="36"/>
    </row>
    <row r="49" spans="1:10" x14ac:dyDescent="0.35">
      <c r="A49" s="36" t="s">
        <v>237</v>
      </c>
      <c r="B49" s="35">
        <v>45854</v>
      </c>
      <c r="C49" s="36" t="s">
        <v>238</v>
      </c>
      <c r="D49" s="36" t="s">
        <v>239</v>
      </c>
      <c r="E49" s="36" t="s">
        <v>40</v>
      </c>
      <c r="F49" s="36" t="s">
        <v>41</v>
      </c>
      <c r="G49" s="36" t="s">
        <v>31</v>
      </c>
      <c r="H49" s="36" t="s">
        <v>42</v>
      </c>
      <c r="I49" s="37">
        <v>9</v>
      </c>
      <c r="J49" s="36"/>
    </row>
    <row r="50" spans="1:10" x14ac:dyDescent="0.35">
      <c r="A50" s="36" t="s">
        <v>240</v>
      </c>
      <c r="B50" s="35">
        <v>45854</v>
      </c>
      <c r="C50" s="36" t="s">
        <v>238</v>
      </c>
      <c r="D50" s="36" t="s">
        <v>239</v>
      </c>
      <c r="E50" s="36" t="s">
        <v>114</v>
      </c>
      <c r="F50" s="36" t="s">
        <v>13</v>
      </c>
      <c r="G50" s="36" t="s">
        <v>14</v>
      </c>
      <c r="H50" s="36" t="s">
        <v>115</v>
      </c>
      <c r="I50" s="37">
        <v>1</v>
      </c>
      <c r="J50" s="36"/>
    </row>
    <row r="51" spans="1:10" x14ac:dyDescent="0.35">
      <c r="A51" s="36" t="s">
        <v>241</v>
      </c>
      <c r="B51" s="35">
        <v>45854</v>
      </c>
      <c r="C51" s="36" t="s">
        <v>238</v>
      </c>
      <c r="D51" s="36" t="s">
        <v>239</v>
      </c>
      <c r="E51" s="36" t="s">
        <v>122</v>
      </c>
      <c r="F51" s="36" t="s">
        <v>123</v>
      </c>
      <c r="G51" s="36" t="s">
        <v>14</v>
      </c>
      <c r="H51" s="36" t="s">
        <v>124</v>
      </c>
      <c r="I51" s="37">
        <v>1</v>
      </c>
      <c r="J51" s="36"/>
    </row>
    <row r="52" spans="1:10" x14ac:dyDescent="0.35">
      <c r="A52" s="36" t="s">
        <v>242</v>
      </c>
      <c r="B52" s="35">
        <v>45854</v>
      </c>
      <c r="C52" s="36" t="s">
        <v>238</v>
      </c>
      <c r="D52" s="36" t="s">
        <v>239</v>
      </c>
      <c r="E52" s="36" t="s">
        <v>91</v>
      </c>
      <c r="F52" s="36" t="s">
        <v>92</v>
      </c>
      <c r="G52" s="36" t="s">
        <v>93</v>
      </c>
      <c r="H52" s="36" t="s">
        <v>85</v>
      </c>
      <c r="I52" s="37">
        <v>6</v>
      </c>
      <c r="J52" s="36"/>
    </row>
    <row r="53" spans="1:10" x14ac:dyDescent="0.35">
      <c r="A53" s="36" t="s">
        <v>243</v>
      </c>
      <c r="B53" s="35">
        <v>45854</v>
      </c>
      <c r="C53" s="36" t="s">
        <v>238</v>
      </c>
      <c r="D53" s="36" t="s">
        <v>239</v>
      </c>
      <c r="E53" s="36" t="s">
        <v>132</v>
      </c>
      <c r="F53" s="36" t="s">
        <v>133</v>
      </c>
      <c r="G53" s="36" t="s">
        <v>10</v>
      </c>
      <c r="H53" s="36" t="s">
        <v>134</v>
      </c>
      <c r="I53" s="37">
        <v>1</v>
      </c>
      <c r="J53" s="36"/>
    </row>
    <row r="54" spans="1:10" x14ac:dyDescent="0.35">
      <c r="A54" s="36" t="s">
        <v>244</v>
      </c>
      <c r="B54" s="35">
        <v>45854</v>
      </c>
      <c r="C54" s="36" t="s">
        <v>238</v>
      </c>
      <c r="D54" s="36" t="s">
        <v>239</v>
      </c>
      <c r="E54" s="36" t="s">
        <v>69</v>
      </c>
      <c r="F54" s="36" t="s">
        <v>70</v>
      </c>
      <c r="G54" s="36" t="s">
        <v>66</v>
      </c>
      <c r="H54" s="36" t="s">
        <v>71</v>
      </c>
      <c r="I54" s="37">
        <v>6</v>
      </c>
      <c r="J54" s="36"/>
    </row>
    <row r="55" spans="1:10" x14ac:dyDescent="0.35">
      <c r="A55" s="36" t="s">
        <v>245</v>
      </c>
      <c r="B55" s="35">
        <v>45854</v>
      </c>
      <c r="C55" s="36" t="s">
        <v>238</v>
      </c>
      <c r="D55" s="36" t="s">
        <v>239</v>
      </c>
      <c r="E55" s="36" t="s">
        <v>59</v>
      </c>
      <c r="F55" s="36" t="s">
        <v>60</v>
      </c>
      <c r="G55" s="36" t="s">
        <v>53</v>
      </c>
      <c r="H55" s="36" t="s">
        <v>56</v>
      </c>
      <c r="I55" s="37">
        <v>6</v>
      </c>
      <c r="J55" s="36"/>
    </row>
    <row r="56" spans="1:10" x14ac:dyDescent="0.35">
      <c r="A56" s="36" t="s">
        <v>246</v>
      </c>
      <c r="B56" s="35">
        <v>45854</v>
      </c>
      <c r="C56" s="36" t="s">
        <v>238</v>
      </c>
      <c r="D56" s="36" t="s">
        <v>239</v>
      </c>
      <c r="E56" s="36" t="s">
        <v>48</v>
      </c>
      <c r="F56" s="36" t="s">
        <v>49</v>
      </c>
      <c r="G56" s="36" t="s">
        <v>31</v>
      </c>
      <c r="H56" s="36" t="s">
        <v>50</v>
      </c>
      <c r="I56" s="37">
        <v>10</v>
      </c>
      <c r="J56" s="36"/>
    </row>
    <row r="57" spans="1:10" x14ac:dyDescent="0.35">
      <c r="A57" s="36" t="s">
        <v>247</v>
      </c>
      <c r="B57" s="35">
        <v>45854</v>
      </c>
      <c r="C57" s="36" t="s">
        <v>238</v>
      </c>
      <c r="D57" s="36" t="s">
        <v>239</v>
      </c>
      <c r="E57" s="36" t="s">
        <v>72</v>
      </c>
      <c r="F57" s="36" t="s">
        <v>73</v>
      </c>
      <c r="G57" s="36" t="s">
        <v>74</v>
      </c>
      <c r="H57" s="36" t="s">
        <v>75</v>
      </c>
      <c r="I57" s="37">
        <v>6</v>
      </c>
      <c r="J57" s="36"/>
    </row>
    <row r="58" spans="1:10" x14ac:dyDescent="0.35">
      <c r="A58" s="36" t="s">
        <v>248</v>
      </c>
      <c r="B58" s="35">
        <v>45854</v>
      </c>
      <c r="C58" s="36" t="s">
        <v>190</v>
      </c>
      <c r="D58" s="36" t="s">
        <v>191</v>
      </c>
      <c r="E58" s="36" t="s">
        <v>61</v>
      </c>
      <c r="F58" s="36" t="s">
        <v>62</v>
      </c>
      <c r="G58" s="36" t="s">
        <v>53</v>
      </c>
      <c r="H58" s="36" t="s">
        <v>42</v>
      </c>
      <c r="I58" s="37">
        <v>30</v>
      </c>
      <c r="J58" s="36"/>
    </row>
    <row r="59" spans="1:10" x14ac:dyDescent="0.35">
      <c r="A59" s="36" t="s">
        <v>249</v>
      </c>
      <c r="B59" s="35">
        <v>45854</v>
      </c>
      <c r="C59" s="36" t="s">
        <v>190</v>
      </c>
      <c r="D59" s="36" t="s">
        <v>191</v>
      </c>
      <c r="E59" s="36" t="s">
        <v>161</v>
      </c>
      <c r="F59" s="36" t="s">
        <v>162</v>
      </c>
      <c r="G59" s="36" t="s">
        <v>159</v>
      </c>
      <c r="H59" s="36" t="s">
        <v>163</v>
      </c>
      <c r="I59" s="37">
        <v>9</v>
      </c>
      <c r="J59" s="36"/>
    </row>
    <row r="60" spans="1:10" x14ac:dyDescent="0.35">
      <c r="A60" s="36" t="s">
        <v>250</v>
      </c>
      <c r="B60" s="35">
        <v>45854</v>
      </c>
      <c r="C60" s="36" t="s">
        <v>190</v>
      </c>
      <c r="D60" s="36" t="s">
        <v>191</v>
      </c>
      <c r="E60" s="36" t="s">
        <v>72</v>
      </c>
      <c r="F60" s="36" t="s">
        <v>73</v>
      </c>
      <c r="G60" s="36" t="s">
        <v>74</v>
      </c>
      <c r="H60" s="36" t="s">
        <v>75</v>
      </c>
      <c r="I60" s="37">
        <v>15</v>
      </c>
      <c r="J60" s="36"/>
    </row>
    <row r="61" spans="1:10" x14ac:dyDescent="0.35">
      <c r="A61" s="36" t="s">
        <v>251</v>
      </c>
      <c r="B61" s="35">
        <v>45854</v>
      </c>
      <c r="C61" s="36" t="s">
        <v>190</v>
      </c>
      <c r="D61" s="36" t="s">
        <v>191</v>
      </c>
      <c r="E61" s="36" t="s">
        <v>132</v>
      </c>
      <c r="F61" s="36" t="s">
        <v>133</v>
      </c>
      <c r="G61" s="36" t="s">
        <v>10</v>
      </c>
      <c r="H61" s="36" t="s">
        <v>134</v>
      </c>
      <c r="I61" s="37">
        <v>6</v>
      </c>
      <c r="J61" s="36"/>
    </row>
    <row r="62" spans="1:10" x14ac:dyDescent="0.35">
      <c r="A62" s="36" t="s">
        <v>252</v>
      </c>
      <c r="B62" s="35">
        <v>45854</v>
      </c>
      <c r="C62" s="36" t="s">
        <v>190</v>
      </c>
      <c r="D62" s="36" t="s">
        <v>191</v>
      </c>
      <c r="E62" s="36" t="s">
        <v>86</v>
      </c>
      <c r="F62" s="36" t="s">
        <v>87</v>
      </c>
      <c r="G62" s="36" t="s">
        <v>74</v>
      </c>
      <c r="H62" s="36" t="s">
        <v>75</v>
      </c>
      <c r="I62" s="37">
        <v>20</v>
      </c>
      <c r="J62" s="36"/>
    </row>
    <row r="63" spans="1:10" x14ac:dyDescent="0.35">
      <c r="A63" s="36" t="s">
        <v>253</v>
      </c>
      <c r="B63" s="35">
        <v>45854</v>
      </c>
      <c r="C63" s="36" t="s">
        <v>190</v>
      </c>
      <c r="D63" s="36" t="s">
        <v>191</v>
      </c>
      <c r="E63" s="36" t="s">
        <v>149</v>
      </c>
      <c r="F63" s="36" t="s">
        <v>150</v>
      </c>
      <c r="G63" s="36" t="s">
        <v>8</v>
      </c>
      <c r="H63" s="36" t="s">
        <v>75</v>
      </c>
      <c r="I63" s="37">
        <v>12</v>
      </c>
      <c r="J63" s="36"/>
    </row>
    <row r="64" spans="1:10" x14ac:dyDescent="0.35">
      <c r="A64" s="36" t="s">
        <v>254</v>
      </c>
      <c r="B64" s="35">
        <v>45854</v>
      </c>
      <c r="C64" s="36" t="s">
        <v>190</v>
      </c>
      <c r="D64" s="36" t="s">
        <v>191</v>
      </c>
      <c r="E64" s="36" t="s">
        <v>91</v>
      </c>
      <c r="F64" s="36" t="s">
        <v>92</v>
      </c>
      <c r="G64" s="36" t="s">
        <v>93</v>
      </c>
      <c r="H64" s="36" t="s">
        <v>85</v>
      </c>
      <c r="I64" s="37">
        <v>11</v>
      </c>
      <c r="J64" s="36"/>
    </row>
    <row r="65" spans="1:10" x14ac:dyDescent="0.35">
      <c r="A65" s="36" t="s">
        <v>255</v>
      </c>
      <c r="B65" s="35">
        <v>45854</v>
      </c>
      <c r="C65" s="36" t="s">
        <v>190</v>
      </c>
      <c r="D65" s="36" t="s">
        <v>191</v>
      </c>
      <c r="E65" s="36" t="s">
        <v>153</v>
      </c>
      <c r="F65" s="36" t="s">
        <v>154</v>
      </c>
      <c r="G65" s="36" t="s">
        <v>12</v>
      </c>
      <c r="H65" s="36" t="s">
        <v>155</v>
      </c>
      <c r="I65" s="37">
        <v>5</v>
      </c>
      <c r="J65" s="36"/>
    </row>
    <row r="66" spans="1:10" x14ac:dyDescent="0.35">
      <c r="A66" s="36" t="s">
        <v>256</v>
      </c>
      <c r="B66" s="35">
        <v>45854</v>
      </c>
      <c r="C66" s="36" t="s">
        <v>190</v>
      </c>
      <c r="D66" s="36" t="s">
        <v>191</v>
      </c>
      <c r="E66" s="36" t="s">
        <v>34</v>
      </c>
      <c r="F66" s="36" t="s">
        <v>35</v>
      </c>
      <c r="G66" s="36" t="s">
        <v>31</v>
      </c>
      <c r="H66" s="36" t="s">
        <v>36</v>
      </c>
      <c r="I66" s="37">
        <v>19</v>
      </c>
      <c r="J66" s="36"/>
    </row>
    <row r="67" spans="1:10" x14ac:dyDescent="0.35">
      <c r="A67" s="36" t="s">
        <v>257</v>
      </c>
      <c r="B67" s="35">
        <v>45854</v>
      </c>
      <c r="C67" s="36" t="s">
        <v>190</v>
      </c>
      <c r="D67" s="36" t="s">
        <v>191</v>
      </c>
      <c r="E67" s="36" t="s">
        <v>146</v>
      </c>
      <c r="F67" s="36" t="s">
        <v>147</v>
      </c>
      <c r="G67" s="36" t="s">
        <v>8</v>
      </c>
      <c r="H67" s="36" t="s">
        <v>148</v>
      </c>
      <c r="I67" s="37">
        <v>6</v>
      </c>
      <c r="J67" s="36"/>
    </row>
    <row r="68" spans="1:10" x14ac:dyDescent="0.35">
      <c r="A68" s="36" t="s">
        <v>258</v>
      </c>
      <c r="B68" s="35">
        <v>45855</v>
      </c>
      <c r="C68" s="36" t="s">
        <v>190</v>
      </c>
      <c r="D68" s="36" t="s">
        <v>191</v>
      </c>
      <c r="E68" s="36" t="s">
        <v>29</v>
      </c>
      <c r="F68" s="36" t="s">
        <v>30</v>
      </c>
      <c r="G68" s="36" t="s">
        <v>31</v>
      </c>
      <c r="H68" s="36" t="s">
        <v>32</v>
      </c>
      <c r="I68" s="37">
        <v>23</v>
      </c>
      <c r="J68" s="36"/>
    </row>
    <row r="69" spans="1:10" x14ac:dyDescent="0.35">
      <c r="A69" s="36" t="s">
        <v>259</v>
      </c>
      <c r="B69" s="35">
        <v>45855</v>
      </c>
      <c r="C69" s="36" t="s">
        <v>190</v>
      </c>
      <c r="D69" s="36" t="s">
        <v>191</v>
      </c>
      <c r="E69" s="36" t="s">
        <v>88</v>
      </c>
      <c r="F69" s="36" t="s">
        <v>89</v>
      </c>
      <c r="G69" s="36" t="s">
        <v>74</v>
      </c>
      <c r="H69" s="36" t="s">
        <v>90</v>
      </c>
      <c r="I69" s="37">
        <v>10</v>
      </c>
      <c r="J69" s="36"/>
    </row>
    <row r="70" spans="1:10" x14ac:dyDescent="0.35">
      <c r="A70" s="36" t="s">
        <v>260</v>
      </c>
      <c r="B70" s="35">
        <v>45855</v>
      </c>
      <c r="C70" s="36" t="s">
        <v>190</v>
      </c>
      <c r="D70" s="36" t="s">
        <v>191</v>
      </c>
      <c r="E70" s="36" t="s">
        <v>137</v>
      </c>
      <c r="F70" s="36" t="s">
        <v>15</v>
      </c>
      <c r="G70" s="36" t="s">
        <v>6</v>
      </c>
      <c r="H70" s="36" t="s">
        <v>136</v>
      </c>
      <c r="I70" s="37">
        <v>9</v>
      </c>
      <c r="J70" s="36"/>
    </row>
    <row r="71" spans="1:10" x14ac:dyDescent="0.35">
      <c r="A71" s="36" t="s">
        <v>261</v>
      </c>
      <c r="B71" s="35">
        <v>45855</v>
      </c>
      <c r="C71" s="36" t="s">
        <v>190</v>
      </c>
      <c r="D71" s="36" t="s">
        <v>191</v>
      </c>
      <c r="E71" s="36" t="s">
        <v>64</v>
      </c>
      <c r="F71" s="36" t="s">
        <v>65</v>
      </c>
      <c r="G71" s="36" t="s">
        <v>66</v>
      </c>
      <c r="H71" s="36" t="s">
        <v>42</v>
      </c>
      <c r="I71" s="37">
        <v>12</v>
      </c>
      <c r="J71" s="36"/>
    </row>
    <row r="72" spans="1:10" x14ac:dyDescent="0.35">
      <c r="A72" s="36" t="s">
        <v>262</v>
      </c>
      <c r="B72" s="35">
        <v>45855</v>
      </c>
      <c r="C72" s="36" t="s">
        <v>190</v>
      </c>
      <c r="D72" s="36" t="s">
        <v>191</v>
      </c>
      <c r="E72" s="36" t="s">
        <v>54</v>
      </c>
      <c r="F72" s="36" t="s">
        <v>55</v>
      </c>
      <c r="G72" s="36" t="s">
        <v>53</v>
      </c>
      <c r="H72" s="36" t="s">
        <v>56</v>
      </c>
      <c r="I72" s="37">
        <v>19</v>
      </c>
      <c r="J72" s="36"/>
    </row>
    <row r="73" spans="1:10" x14ac:dyDescent="0.35">
      <c r="A73" s="36" t="s">
        <v>263</v>
      </c>
      <c r="B73" s="35">
        <v>45855</v>
      </c>
      <c r="C73" s="36" t="s">
        <v>190</v>
      </c>
      <c r="D73" s="36" t="s">
        <v>191</v>
      </c>
      <c r="E73" s="36" t="s">
        <v>157</v>
      </c>
      <c r="F73" s="36" t="s">
        <v>158</v>
      </c>
      <c r="G73" s="36" t="s">
        <v>159</v>
      </c>
      <c r="H73" s="36" t="s">
        <v>160</v>
      </c>
      <c r="I73" s="37">
        <v>5</v>
      </c>
      <c r="J73" s="36"/>
    </row>
    <row r="74" spans="1:10" x14ac:dyDescent="0.35">
      <c r="A74" s="36" t="s">
        <v>264</v>
      </c>
      <c r="B74" s="35">
        <v>45855</v>
      </c>
      <c r="C74" s="36" t="s">
        <v>190</v>
      </c>
      <c r="D74" s="36" t="s">
        <v>191</v>
      </c>
      <c r="E74" s="36" t="s">
        <v>61</v>
      </c>
      <c r="F74" s="36" t="s">
        <v>62</v>
      </c>
      <c r="G74" s="36" t="s">
        <v>53</v>
      </c>
      <c r="H74" s="36" t="s">
        <v>42</v>
      </c>
      <c r="I74" s="37">
        <v>26</v>
      </c>
      <c r="J74" s="36"/>
    </row>
    <row r="75" spans="1:10" x14ac:dyDescent="0.35">
      <c r="A75" s="36" t="s">
        <v>265</v>
      </c>
      <c r="B75" s="35">
        <v>45855</v>
      </c>
      <c r="C75" s="36" t="s">
        <v>190</v>
      </c>
      <c r="D75" s="36" t="s">
        <v>191</v>
      </c>
      <c r="E75" s="36" t="s">
        <v>86</v>
      </c>
      <c r="F75" s="36" t="s">
        <v>87</v>
      </c>
      <c r="G75" s="36" t="s">
        <v>74</v>
      </c>
      <c r="H75" s="36" t="s">
        <v>75</v>
      </c>
      <c r="I75" s="37">
        <v>16</v>
      </c>
      <c r="J75" s="36"/>
    </row>
    <row r="76" spans="1:10" x14ac:dyDescent="0.35">
      <c r="A76" s="36" t="s">
        <v>266</v>
      </c>
      <c r="B76" s="35">
        <v>45855</v>
      </c>
      <c r="C76" s="36" t="s">
        <v>190</v>
      </c>
      <c r="D76" s="36" t="s">
        <v>191</v>
      </c>
      <c r="E76" s="36" t="s">
        <v>40</v>
      </c>
      <c r="F76" s="36" t="s">
        <v>41</v>
      </c>
      <c r="G76" s="36" t="s">
        <v>31</v>
      </c>
      <c r="H76" s="36" t="s">
        <v>42</v>
      </c>
      <c r="I76" s="37">
        <v>21</v>
      </c>
      <c r="J76" s="36"/>
    </row>
    <row r="77" spans="1:10" x14ac:dyDescent="0.35">
      <c r="A77" s="36" t="s">
        <v>267</v>
      </c>
      <c r="B77" s="35">
        <v>45855</v>
      </c>
      <c r="C77" s="36" t="s">
        <v>190</v>
      </c>
      <c r="D77" s="36" t="s">
        <v>191</v>
      </c>
      <c r="E77" s="36" t="s">
        <v>34</v>
      </c>
      <c r="F77" s="36" t="s">
        <v>35</v>
      </c>
      <c r="G77" s="36" t="s">
        <v>31</v>
      </c>
      <c r="H77" s="36" t="s">
        <v>36</v>
      </c>
      <c r="I77" s="37">
        <v>17</v>
      </c>
      <c r="J77" s="36"/>
    </row>
    <row r="78" spans="1:10" x14ac:dyDescent="0.35">
      <c r="A78" s="36" t="s">
        <v>268</v>
      </c>
      <c r="B78" s="35">
        <v>45855</v>
      </c>
      <c r="C78" s="36" t="s">
        <v>190</v>
      </c>
      <c r="D78" s="36" t="s">
        <v>191</v>
      </c>
      <c r="E78" s="36" t="s">
        <v>57</v>
      </c>
      <c r="F78" s="36" t="s">
        <v>58</v>
      </c>
      <c r="G78" s="36" t="s">
        <v>53</v>
      </c>
      <c r="H78" s="36" t="s">
        <v>42</v>
      </c>
      <c r="I78" s="37">
        <v>19</v>
      </c>
      <c r="J78" s="36"/>
    </row>
    <row r="79" spans="1:10" x14ac:dyDescent="0.35">
      <c r="A79" s="36" t="s">
        <v>269</v>
      </c>
      <c r="B79" s="35">
        <v>45855</v>
      </c>
      <c r="C79" s="36" t="s">
        <v>190</v>
      </c>
      <c r="D79" s="36" t="s">
        <v>191</v>
      </c>
      <c r="E79" s="36" t="s">
        <v>132</v>
      </c>
      <c r="F79" s="36" t="s">
        <v>133</v>
      </c>
      <c r="G79" s="36" t="s">
        <v>10</v>
      </c>
      <c r="H79" s="36" t="s">
        <v>134</v>
      </c>
      <c r="I79" s="37">
        <v>12</v>
      </c>
      <c r="J79" s="36"/>
    </row>
    <row r="80" spans="1:10" x14ac:dyDescent="0.35">
      <c r="A80" s="36" t="s">
        <v>270</v>
      </c>
      <c r="B80" s="35">
        <v>45863</v>
      </c>
      <c r="C80" s="36" t="s">
        <v>190</v>
      </c>
      <c r="D80" s="36" t="s">
        <v>191</v>
      </c>
      <c r="E80" s="36" t="s">
        <v>72</v>
      </c>
      <c r="F80" s="36" t="s">
        <v>73</v>
      </c>
      <c r="G80" s="36" t="s">
        <v>74</v>
      </c>
      <c r="H80" s="36" t="s">
        <v>75</v>
      </c>
      <c r="I80" s="37">
        <v>13</v>
      </c>
      <c r="J80" s="36"/>
    </row>
    <row r="81" spans="1:10" x14ac:dyDescent="0.35">
      <c r="A81" s="36" t="s">
        <v>271</v>
      </c>
      <c r="B81" s="35">
        <v>45863</v>
      </c>
      <c r="C81" s="36" t="s">
        <v>190</v>
      </c>
      <c r="D81" s="36" t="s">
        <v>191</v>
      </c>
      <c r="E81" s="36" t="s">
        <v>149</v>
      </c>
      <c r="F81" s="36" t="s">
        <v>150</v>
      </c>
      <c r="G81" s="36" t="s">
        <v>8</v>
      </c>
      <c r="H81" s="36" t="s">
        <v>75</v>
      </c>
      <c r="I81" s="37">
        <v>11</v>
      </c>
      <c r="J81" s="36"/>
    </row>
    <row r="82" spans="1:10" x14ac:dyDescent="0.35">
      <c r="A82" s="36" t="s">
        <v>272</v>
      </c>
      <c r="B82" s="35">
        <v>45863</v>
      </c>
      <c r="C82" s="36" t="s">
        <v>190</v>
      </c>
      <c r="D82" s="36" t="s">
        <v>191</v>
      </c>
      <c r="E82" s="36" t="s">
        <v>43</v>
      </c>
      <c r="F82" s="36" t="s">
        <v>44</v>
      </c>
      <c r="G82" s="36" t="s">
        <v>31</v>
      </c>
      <c r="H82" s="36" t="s">
        <v>42</v>
      </c>
      <c r="I82" s="37">
        <v>27</v>
      </c>
      <c r="J82" s="36"/>
    </row>
    <row r="83" spans="1:10" x14ac:dyDescent="0.35">
      <c r="A83" s="36" t="s">
        <v>273</v>
      </c>
      <c r="B83" s="35">
        <v>45863</v>
      </c>
      <c r="C83" s="36" t="s">
        <v>190</v>
      </c>
      <c r="D83" s="36" t="s">
        <v>191</v>
      </c>
      <c r="E83" s="36" t="s">
        <v>91</v>
      </c>
      <c r="F83" s="36" t="s">
        <v>92</v>
      </c>
      <c r="G83" s="36" t="s">
        <v>93</v>
      </c>
      <c r="H83" s="36" t="s">
        <v>85</v>
      </c>
      <c r="I83" s="37">
        <v>14</v>
      </c>
      <c r="J83" s="36"/>
    </row>
    <row r="84" spans="1:10" x14ac:dyDescent="0.35">
      <c r="A84" s="36" t="s">
        <v>274</v>
      </c>
      <c r="B84" s="35">
        <v>45863</v>
      </c>
      <c r="C84" s="36" t="s">
        <v>190</v>
      </c>
      <c r="D84" s="36" t="s">
        <v>191</v>
      </c>
      <c r="E84" s="36" t="s">
        <v>76</v>
      </c>
      <c r="F84" s="36" t="s">
        <v>77</v>
      </c>
      <c r="G84" s="36" t="s">
        <v>74</v>
      </c>
      <c r="H84" s="36" t="s">
        <v>75</v>
      </c>
      <c r="I84" s="37">
        <v>14</v>
      </c>
      <c r="J84" s="36"/>
    </row>
    <row r="85" spans="1:10" x14ac:dyDescent="0.35">
      <c r="A85" s="36" t="s">
        <v>275</v>
      </c>
      <c r="B85" s="35">
        <v>45863</v>
      </c>
      <c r="C85" s="36" t="s">
        <v>190</v>
      </c>
      <c r="D85" s="36" t="s">
        <v>191</v>
      </c>
      <c r="E85" s="36" t="s">
        <v>48</v>
      </c>
      <c r="F85" s="36" t="s">
        <v>49</v>
      </c>
      <c r="G85" s="36" t="s">
        <v>31</v>
      </c>
      <c r="H85" s="36" t="s">
        <v>50</v>
      </c>
      <c r="I85" s="37">
        <v>17</v>
      </c>
      <c r="J85" s="36"/>
    </row>
    <row r="86" spans="1:10" x14ac:dyDescent="0.35">
      <c r="A86" s="36" t="s">
        <v>276</v>
      </c>
      <c r="B86" s="35">
        <v>45863</v>
      </c>
      <c r="C86" s="36" t="s">
        <v>190</v>
      </c>
      <c r="D86" s="36" t="s">
        <v>191</v>
      </c>
      <c r="E86" s="36" t="s">
        <v>29</v>
      </c>
      <c r="F86" s="36" t="s">
        <v>30</v>
      </c>
      <c r="G86" s="36" t="s">
        <v>31</v>
      </c>
      <c r="H86" s="36" t="s">
        <v>32</v>
      </c>
      <c r="I86" s="37">
        <v>20</v>
      </c>
      <c r="J86" s="36"/>
    </row>
    <row r="87" spans="1:10" x14ac:dyDescent="0.35">
      <c r="A87" s="36" t="s">
        <v>277</v>
      </c>
      <c r="B87" s="35">
        <v>45863</v>
      </c>
      <c r="C87" s="36" t="s">
        <v>190</v>
      </c>
      <c r="D87" s="36" t="s">
        <v>191</v>
      </c>
      <c r="E87" s="36" t="s">
        <v>40</v>
      </c>
      <c r="F87" s="36" t="s">
        <v>41</v>
      </c>
      <c r="G87" s="36" t="s">
        <v>31</v>
      </c>
      <c r="H87" s="36" t="s">
        <v>42</v>
      </c>
      <c r="I87" s="37">
        <v>13</v>
      </c>
      <c r="J87" s="36"/>
    </row>
    <row r="88" spans="1:10" x14ac:dyDescent="0.35">
      <c r="A88" s="36" t="s">
        <v>278</v>
      </c>
      <c r="B88" s="35">
        <v>45863</v>
      </c>
      <c r="C88" s="36" t="s">
        <v>238</v>
      </c>
      <c r="D88" s="36" t="s">
        <v>239</v>
      </c>
      <c r="E88" s="36" t="s">
        <v>130</v>
      </c>
      <c r="F88" s="36" t="s">
        <v>16</v>
      </c>
      <c r="G88" s="36" t="s">
        <v>10</v>
      </c>
      <c r="H88" s="36" t="s">
        <v>131</v>
      </c>
      <c r="I88" s="37">
        <v>3</v>
      </c>
      <c r="J88" s="36"/>
    </row>
    <row r="89" spans="1:10" x14ac:dyDescent="0.35">
      <c r="A89" s="36" t="s">
        <v>279</v>
      </c>
      <c r="B89" s="35">
        <v>45863</v>
      </c>
      <c r="C89" s="36" t="s">
        <v>238</v>
      </c>
      <c r="D89" s="36" t="s">
        <v>239</v>
      </c>
      <c r="E89" s="36" t="s">
        <v>141</v>
      </c>
      <c r="F89" s="36" t="s">
        <v>142</v>
      </c>
      <c r="G89" s="36" t="s">
        <v>8</v>
      </c>
      <c r="H89" s="36" t="s">
        <v>143</v>
      </c>
      <c r="I89" s="37">
        <v>2</v>
      </c>
      <c r="J89" s="36"/>
    </row>
    <row r="90" spans="1:10" x14ac:dyDescent="0.35">
      <c r="A90" s="36" t="s">
        <v>280</v>
      </c>
      <c r="B90" s="35">
        <v>45863</v>
      </c>
      <c r="C90" s="36" t="s">
        <v>238</v>
      </c>
      <c r="D90" s="36" t="s">
        <v>239</v>
      </c>
      <c r="E90" s="36" t="s">
        <v>146</v>
      </c>
      <c r="F90" s="36" t="s">
        <v>147</v>
      </c>
      <c r="G90" s="36" t="s">
        <v>8</v>
      </c>
      <c r="H90" s="36" t="s">
        <v>148</v>
      </c>
      <c r="I90" s="37">
        <v>2</v>
      </c>
      <c r="J90" s="36"/>
    </row>
    <row r="91" spans="1:10" x14ac:dyDescent="0.35">
      <c r="A91" s="36" t="s">
        <v>281</v>
      </c>
      <c r="B91" s="35">
        <v>45863</v>
      </c>
      <c r="C91" s="36" t="s">
        <v>238</v>
      </c>
      <c r="D91" s="36" t="s">
        <v>239</v>
      </c>
      <c r="E91" s="36" t="s">
        <v>69</v>
      </c>
      <c r="F91" s="36" t="s">
        <v>70</v>
      </c>
      <c r="G91" s="36" t="s">
        <v>66</v>
      </c>
      <c r="H91" s="36" t="s">
        <v>71</v>
      </c>
      <c r="I91" s="37">
        <v>3</v>
      </c>
      <c r="J91" s="36"/>
    </row>
    <row r="92" spans="1:10" x14ac:dyDescent="0.35">
      <c r="A92" s="36" t="s">
        <v>282</v>
      </c>
      <c r="B92" s="35">
        <v>45863</v>
      </c>
      <c r="C92" s="36" t="s">
        <v>238</v>
      </c>
      <c r="D92" s="36" t="s">
        <v>239</v>
      </c>
      <c r="E92" s="36" t="s">
        <v>59</v>
      </c>
      <c r="F92" s="36" t="s">
        <v>60</v>
      </c>
      <c r="G92" s="36" t="s">
        <v>53</v>
      </c>
      <c r="H92" s="36" t="s">
        <v>56</v>
      </c>
      <c r="I92" s="37">
        <v>9</v>
      </c>
      <c r="J92" s="36"/>
    </row>
    <row r="93" spans="1:10" x14ac:dyDescent="0.35">
      <c r="A93" s="36" t="s">
        <v>283</v>
      </c>
      <c r="B93" s="35">
        <v>45863</v>
      </c>
      <c r="C93" s="36" t="s">
        <v>238</v>
      </c>
      <c r="D93" s="36" t="s">
        <v>239</v>
      </c>
      <c r="E93" s="36" t="s">
        <v>109</v>
      </c>
      <c r="F93" s="36" t="s">
        <v>110</v>
      </c>
      <c r="G93" s="36" t="s">
        <v>102</v>
      </c>
      <c r="H93" s="36" t="s">
        <v>42</v>
      </c>
      <c r="I93" s="37">
        <v>7</v>
      </c>
      <c r="J93" s="36"/>
    </row>
    <row r="94" spans="1:10" x14ac:dyDescent="0.35">
      <c r="A94" s="36" t="s">
        <v>284</v>
      </c>
      <c r="B94" s="35">
        <v>45863</v>
      </c>
      <c r="C94" s="36" t="s">
        <v>238</v>
      </c>
      <c r="D94" s="36" t="s">
        <v>239</v>
      </c>
      <c r="E94" s="36" t="s">
        <v>43</v>
      </c>
      <c r="F94" s="36" t="s">
        <v>44</v>
      </c>
      <c r="G94" s="36" t="s">
        <v>31</v>
      </c>
      <c r="H94" s="36" t="s">
        <v>42</v>
      </c>
      <c r="I94" s="37">
        <v>11</v>
      </c>
      <c r="J94" s="36"/>
    </row>
    <row r="95" spans="1:10" x14ac:dyDescent="0.35">
      <c r="A95" s="36" t="s">
        <v>285</v>
      </c>
      <c r="B95" s="35">
        <v>45863</v>
      </c>
      <c r="C95" s="36" t="s">
        <v>238</v>
      </c>
      <c r="D95" s="36" t="s">
        <v>239</v>
      </c>
      <c r="E95" s="36" t="s">
        <v>37</v>
      </c>
      <c r="F95" s="36" t="s">
        <v>38</v>
      </c>
      <c r="G95" s="36" t="s">
        <v>31</v>
      </c>
      <c r="H95" s="36" t="s">
        <v>39</v>
      </c>
      <c r="I95" s="37">
        <v>5</v>
      </c>
      <c r="J95" s="36"/>
    </row>
    <row r="96" spans="1:10" x14ac:dyDescent="0.35">
      <c r="A96" s="36" t="s">
        <v>286</v>
      </c>
      <c r="B96" s="35">
        <v>45863</v>
      </c>
      <c r="C96" s="36" t="s">
        <v>238</v>
      </c>
      <c r="D96" s="36" t="s">
        <v>239</v>
      </c>
      <c r="E96" s="36" t="s">
        <v>81</v>
      </c>
      <c r="F96" s="36" t="s">
        <v>82</v>
      </c>
      <c r="G96" s="36" t="s">
        <v>74</v>
      </c>
      <c r="H96" s="36" t="s">
        <v>80</v>
      </c>
      <c r="I96" s="37">
        <v>5</v>
      </c>
      <c r="J96" s="36"/>
    </row>
    <row r="97" spans="1:10" x14ac:dyDescent="0.35">
      <c r="A97" s="36" t="s">
        <v>287</v>
      </c>
      <c r="B97" s="35">
        <v>45863</v>
      </c>
      <c r="C97" s="36" t="s">
        <v>238</v>
      </c>
      <c r="D97" s="36" t="s">
        <v>239</v>
      </c>
      <c r="E97" s="36" t="s">
        <v>34</v>
      </c>
      <c r="F97" s="36" t="s">
        <v>35</v>
      </c>
      <c r="G97" s="36" t="s">
        <v>31</v>
      </c>
      <c r="H97" s="36" t="s">
        <v>36</v>
      </c>
      <c r="I97" s="37">
        <v>9</v>
      </c>
      <c r="J97" s="36"/>
    </row>
    <row r="98" spans="1:10" x14ac:dyDescent="0.35">
      <c r="A98" s="36" t="s">
        <v>288</v>
      </c>
      <c r="B98" s="35">
        <v>45863</v>
      </c>
      <c r="C98" s="36" t="s">
        <v>238</v>
      </c>
      <c r="D98" s="36" t="s">
        <v>239</v>
      </c>
      <c r="E98" s="36" t="s">
        <v>86</v>
      </c>
      <c r="F98" s="36" t="s">
        <v>87</v>
      </c>
      <c r="G98" s="36" t="s">
        <v>74</v>
      </c>
      <c r="H98" s="36" t="s">
        <v>75</v>
      </c>
      <c r="I98" s="37">
        <v>5</v>
      </c>
      <c r="J98" s="36"/>
    </row>
    <row r="99" spans="1:10" x14ac:dyDescent="0.35">
      <c r="A99" s="36" t="s">
        <v>289</v>
      </c>
      <c r="B99" s="35">
        <v>45863</v>
      </c>
      <c r="C99" s="36" t="s">
        <v>238</v>
      </c>
      <c r="D99" s="36" t="s">
        <v>239</v>
      </c>
      <c r="E99" s="36" t="s">
        <v>76</v>
      </c>
      <c r="F99" s="36" t="s">
        <v>77</v>
      </c>
      <c r="G99" s="36" t="s">
        <v>74</v>
      </c>
      <c r="H99" s="36" t="s">
        <v>75</v>
      </c>
      <c r="I99" s="37">
        <v>3</v>
      </c>
      <c r="J99" s="36"/>
    </row>
    <row r="100" spans="1:10" x14ac:dyDescent="0.35">
      <c r="A100" s="36" t="s">
        <v>290</v>
      </c>
      <c r="B100" s="35">
        <v>45866</v>
      </c>
      <c r="C100" s="36" t="s">
        <v>210</v>
      </c>
      <c r="D100" s="36" t="s">
        <v>211</v>
      </c>
      <c r="E100" s="36" t="s">
        <v>40</v>
      </c>
      <c r="F100" s="36" t="s">
        <v>41</v>
      </c>
      <c r="G100" s="36" t="s">
        <v>31</v>
      </c>
      <c r="H100" s="36" t="s">
        <v>42</v>
      </c>
      <c r="I100" s="37">
        <v>16</v>
      </c>
      <c r="J100" s="36"/>
    </row>
    <row r="101" spans="1:10" x14ac:dyDescent="0.35">
      <c r="A101" s="36" t="s">
        <v>291</v>
      </c>
      <c r="B101" s="35">
        <v>45866</v>
      </c>
      <c r="C101" s="36" t="s">
        <v>210</v>
      </c>
      <c r="D101" s="36" t="s">
        <v>211</v>
      </c>
      <c r="E101" s="36" t="s">
        <v>48</v>
      </c>
      <c r="F101" s="36" t="s">
        <v>49</v>
      </c>
      <c r="G101" s="36" t="s">
        <v>31</v>
      </c>
      <c r="H101" s="36" t="s">
        <v>50</v>
      </c>
      <c r="I101" s="37">
        <v>16</v>
      </c>
      <c r="J101" s="36"/>
    </row>
    <row r="102" spans="1:10" x14ac:dyDescent="0.35">
      <c r="A102" s="36" t="s">
        <v>292</v>
      </c>
      <c r="B102" s="35">
        <v>45866</v>
      </c>
      <c r="C102" s="36" t="s">
        <v>210</v>
      </c>
      <c r="D102" s="36" t="s">
        <v>211</v>
      </c>
      <c r="E102" s="36" t="s">
        <v>88</v>
      </c>
      <c r="F102" s="36" t="s">
        <v>89</v>
      </c>
      <c r="G102" s="36" t="s">
        <v>74</v>
      </c>
      <c r="H102" s="36" t="s">
        <v>90</v>
      </c>
      <c r="I102" s="37">
        <v>9</v>
      </c>
      <c r="J102" s="36"/>
    </row>
    <row r="103" spans="1:10" x14ac:dyDescent="0.35">
      <c r="A103" s="36" t="s">
        <v>293</v>
      </c>
      <c r="B103" s="35">
        <v>45866</v>
      </c>
      <c r="C103" s="36" t="s">
        <v>210</v>
      </c>
      <c r="D103" s="36" t="s">
        <v>211</v>
      </c>
      <c r="E103" s="36" t="s">
        <v>67</v>
      </c>
      <c r="F103" s="36" t="s">
        <v>68</v>
      </c>
      <c r="G103" s="36" t="s">
        <v>66</v>
      </c>
      <c r="H103" s="36" t="s">
        <v>42</v>
      </c>
      <c r="I103" s="37">
        <v>10</v>
      </c>
      <c r="J103" s="36"/>
    </row>
    <row r="104" spans="1:10" x14ac:dyDescent="0.35">
      <c r="A104" s="36" t="s">
        <v>294</v>
      </c>
      <c r="B104" s="35">
        <v>45866</v>
      </c>
      <c r="C104" s="36" t="s">
        <v>210</v>
      </c>
      <c r="D104" s="36" t="s">
        <v>211</v>
      </c>
      <c r="E104" s="36" t="s">
        <v>64</v>
      </c>
      <c r="F104" s="36" t="s">
        <v>65</v>
      </c>
      <c r="G104" s="36" t="s">
        <v>66</v>
      </c>
      <c r="H104" s="36" t="s">
        <v>42</v>
      </c>
      <c r="I104" s="37">
        <v>9</v>
      </c>
      <c r="J104" s="36"/>
    </row>
    <row r="105" spans="1:10" x14ac:dyDescent="0.35">
      <c r="A105" s="36" t="s">
        <v>295</v>
      </c>
      <c r="B105" s="35">
        <v>45866</v>
      </c>
      <c r="C105" s="36" t="s">
        <v>210</v>
      </c>
      <c r="D105" s="36" t="s">
        <v>211</v>
      </c>
      <c r="E105" s="36" t="s">
        <v>104</v>
      </c>
      <c r="F105" s="36" t="s">
        <v>105</v>
      </c>
      <c r="G105" s="36" t="s">
        <v>102</v>
      </c>
      <c r="H105" s="36" t="s">
        <v>103</v>
      </c>
      <c r="I105" s="37">
        <v>6</v>
      </c>
      <c r="J105" s="36"/>
    </row>
    <row r="106" spans="1:10" x14ac:dyDescent="0.35">
      <c r="A106" s="36" t="s">
        <v>296</v>
      </c>
      <c r="B106" s="35">
        <v>45866</v>
      </c>
      <c r="C106" s="36" t="s">
        <v>210</v>
      </c>
      <c r="D106" s="36" t="s">
        <v>211</v>
      </c>
      <c r="E106" s="36" t="s">
        <v>128</v>
      </c>
      <c r="F106" s="36" t="s">
        <v>9</v>
      </c>
      <c r="G106" s="36" t="s">
        <v>10</v>
      </c>
      <c r="H106" s="36" t="s">
        <v>129</v>
      </c>
      <c r="I106" s="37">
        <v>7</v>
      </c>
      <c r="J106" s="36"/>
    </row>
    <row r="107" spans="1:10" x14ac:dyDescent="0.35">
      <c r="A107" s="36" t="s">
        <v>297</v>
      </c>
      <c r="B107" s="35">
        <v>45867</v>
      </c>
      <c r="C107" s="36" t="s">
        <v>298</v>
      </c>
      <c r="D107" s="36" t="s">
        <v>299</v>
      </c>
      <c r="E107" s="36" t="s">
        <v>69</v>
      </c>
      <c r="F107" s="36" t="s">
        <v>70</v>
      </c>
      <c r="G107" s="36" t="s">
        <v>66</v>
      </c>
      <c r="H107" s="36" t="s">
        <v>71</v>
      </c>
      <c r="I107" s="37">
        <v>6</v>
      </c>
      <c r="J107" s="36"/>
    </row>
    <row r="108" spans="1:10" x14ac:dyDescent="0.35">
      <c r="A108" s="36" t="s">
        <v>300</v>
      </c>
      <c r="B108" s="35">
        <v>45867</v>
      </c>
      <c r="C108" s="36" t="s">
        <v>298</v>
      </c>
      <c r="D108" s="36" t="s">
        <v>299</v>
      </c>
      <c r="E108" s="36" t="s">
        <v>144</v>
      </c>
      <c r="F108" s="36" t="s">
        <v>7</v>
      </c>
      <c r="G108" s="36" t="s">
        <v>8</v>
      </c>
      <c r="H108" s="36" t="s">
        <v>145</v>
      </c>
      <c r="I108" s="37">
        <v>3</v>
      </c>
      <c r="J108" s="36"/>
    </row>
    <row r="109" spans="1:10" x14ac:dyDescent="0.35">
      <c r="A109" s="36" t="s">
        <v>301</v>
      </c>
      <c r="B109" s="35">
        <v>45867</v>
      </c>
      <c r="C109" s="36" t="s">
        <v>298</v>
      </c>
      <c r="D109" s="36" t="s">
        <v>299</v>
      </c>
      <c r="E109" s="36" t="s">
        <v>132</v>
      </c>
      <c r="F109" s="36" t="s">
        <v>133</v>
      </c>
      <c r="G109" s="36" t="s">
        <v>10</v>
      </c>
      <c r="H109" s="36" t="s">
        <v>134</v>
      </c>
      <c r="I109" s="37">
        <v>2</v>
      </c>
      <c r="J109" s="36"/>
    </row>
    <row r="110" spans="1:10" x14ac:dyDescent="0.35">
      <c r="A110" s="36" t="s">
        <v>302</v>
      </c>
      <c r="B110" s="35">
        <v>45867</v>
      </c>
      <c r="C110" s="36" t="s">
        <v>298</v>
      </c>
      <c r="D110" s="36" t="s">
        <v>299</v>
      </c>
      <c r="E110" s="36" t="s">
        <v>61</v>
      </c>
      <c r="F110" s="36" t="s">
        <v>62</v>
      </c>
      <c r="G110" s="36" t="s">
        <v>53</v>
      </c>
      <c r="H110" s="36" t="s">
        <v>42</v>
      </c>
      <c r="I110" s="37">
        <v>10</v>
      </c>
      <c r="J110" s="36"/>
    </row>
    <row r="111" spans="1:10" x14ac:dyDescent="0.35">
      <c r="A111" s="36" t="s">
        <v>303</v>
      </c>
      <c r="B111" s="35">
        <v>45867</v>
      </c>
      <c r="C111" s="36" t="s">
        <v>298</v>
      </c>
      <c r="D111" s="36" t="s">
        <v>299</v>
      </c>
      <c r="E111" s="36" t="s">
        <v>97</v>
      </c>
      <c r="F111" s="36" t="s">
        <v>98</v>
      </c>
      <c r="G111" s="36" t="s">
        <v>93</v>
      </c>
      <c r="H111" s="36" t="s">
        <v>99</v>
      </c>
      <c r="I111" s="37">
        <v>4</v>
      </c>
      <c r="J111" s="36"/>
    </row>
    <row r="112" spans="1:10" x14ac:dyDescent="0.35">
      <c r="A112" s="36" t="s">
        <v>304</v>
      </c>
      <c r="B112" s="35">
        <v>45867</v>
      </c>
      <c r="C112" s="36" t="s">
        <v>298</v>
      </c>
      <c r="D112" s="36" t="s">
        <v>299</v>
      </c>
      <c r="E112" s="36" t="s">
        <v>83</v>
      </c>
      <c r="F112" s="36" t="s">
        <v>84</v>
      </c>
      <c r="G112" s="36" t="s">
        <v>74</v>
      </c>
      <c r="H112" s="36" t="s">
        <v>85</v>
      </c>
      <c r="I112" s="37">
        <v>2</v>
      </c>
      <c r="J112" s="36"/>
    </row>
    <row r="113" spans="1:10" x14ac:dyDescent="0.35">
      <c r="A113" s="36" t="s">
        <v>305</v>
      </c>
      <c r="B113" s="35">
        <v>45867</v>
      </c>
      <c r="C113" s="36" t="s">
        <v>298</v>
      </c>
      <c r="D113" s="36" t="s">
        <v>299</v>
      </c>
      <c r="E113" s="36" t="s">
        <v>81</v>
      </c>
      <c r="F113" s="36" t="s">
        <v>82</v>
      </c>
      <c r="G113" s="36" t="s">
        <v>74</v>
      </c>
      <c r="H113" s="36" t="s">
        <v>80</v>
      </c>
      <c r="I113" s="37">
        <v>3</v>
      </c>
      <c r="J113" s="36"/>
    </row>
    <row r="114" spans="1:10" x14ac:dyDescent="0.35">
      <c r="A114" s="36" t="s">
        <v>306</v>
      </c>
      <c r="B114" s="35">
        <v>45867</v>
      </c>
      <c r="C114" s="36" t="s">
        <v>298</v>
      </c>
      <c r="D114" s="36" t="s">
        <v>299</v>
      </c>
      <c r="E114" s="36" t="s">
        <v>54</v>
      </c>
      <c r="F114" s="36" t="s">
        <v>55</v>
      </c>
      <c r="G114" s="36" t="s">
        <v>53</v>
      </c>
      <c r="H114" s="36" t="s">
        <v>56</v>
      </c>
      <c r="I114" s="37">
        <v>10</v>
      </c>
      <c r="J114" s="36"/>
    </row>
    <row r="115" spans="1:10" x14ac:dyDescent="0.35">
      <c r="A115" s="36" t="s">
        <v>307</v>
      </c>
      <c r="B115" s="35">
        <v>45867</v>
      </c>
      <c r="C115" s="36" t="s">
        <v>298</v>
      </c>
      <c r="D115" s="36" t="s">
        <v>299</v>
      </c>
      <c r="E115" s="36" t="s">
        <v>153</v>
      </c>
      <c r="F115" s="36" t="s">
        <v>154</v>
      </c>
      <c r="G115" s="36" t="s">
        <v>12</v>
      </c>
      <c r="H115" s="36" t="s">
        <v>155</v>
      </c>
      <c r="I115" s="37">
        <v>2</v>
      </c>
      <c r="J115" s="36"/>
    </row>
    <row r="116" spans="1:10" x14ac:dyDescent="0.35">
      <c r="A116" s="36" t="s">
        <v>308</v>
      </c>
      <c r="B116" s="35">
        <v>45867</v>
      </c>
      <c r="C116" s="36" t="s">
        <v>298</v>
      </c>
      <c r="D116" s="36" t="s">
        <v>299</v>
      </c>
      <c r="E116" s="36" t="s">
        <v>29</v>
      </c>
      <c r="F116" s="36" t="s">
        <v>30</v>
      </c>
      <c r="G116" s="36" t="s">
        <v>31</v>
      </c>
      <c r="H116" s="36" t="s">
        <v>32</v>
      </c>
      <c r="I116" s="37">
        <v>4</v>
      </c>
      <c r="J116" s="36"/>
    </row>
    <row r="117" spans="1:10" x14ac:dyDescent="0.35">
      <c r="A117" s="36" t="s">
        <v>309</v>
      </c>
      <c r="B117" s="35">
        <v>45867</v>
      </c>
      <c r="C117" s="36" t="s">
        <v>190</v>
      </c>
      <c r="D117" s="36" t="s">
        <v>191</v>
      </c>
      <c r="E117" s="36" t="s">
        <v>117</v>
      </c>
      <c r="F117" s="36" t="s">
        <v>118</v>
      </c>
      <c r="G117" s="36" t="s">
        <v>14</v>
      </c>
      <c r="H117" s="36" t="s">
        <v>119</v>
      </c>
      <c r="I117" s="37">
        <v>5</v>
      </c>
      <c r="J117" s="36"/>
    </row>
    <row r="118" spans="1:10" x14ac:dyDescent="0.35">
      <c r="A118" s="36" t="s">
        <v>310</v>
      </c>
      <c r="B118" s="35">
        <v>45867</v>
      </c>
      <c r="C118" s="36" t="s">
        <v>190</v>
      </c>
      <c r="D118" s="36" t="s">
        <v>191</v>
      </c>
      <c r="E118" s="36" t="s">
        <v>57</v>
      </c>
      <c r="F118" s="36" t="s">
        <v>58</v>
      </c>
      <c r="G118" s="36" t="s">
        <v>53</v>
      </c>
      <c r="H118" s="36" t="s">
        <v>42</v>
      </c>
      <c r="I118" s="37">
        <v>16</v>
      </c>
      <c r="J118" s="36"/>
    </row>
    <row r="119" spans="1:10" x14ac:dyDescent="0.35">
      <c r="A119" s="36" t="s">
        <v>311</v>
      </c>
      <c r="B119" s="35">
        <v>45867</v>
      </c>
      <c r="C119" s="36" t="s">
        <v>190</v>
      </c>
      <c r="D119" s="36" t="s">
        <v>191</v>
      </c>
      <c r="E119" s="36" t="s">
        <v>88</v>
      </c>
      <c r="F119" s="36" t="s">
        <v>89</v>
      </c>
      <c r="G119" s="36" t="s">
        <v>74</v>
      </c>
      <c r="H119" s="36" t="s">
        <v>90</v>
      </c>
      <c r="I119" s="37">
        <v>18</v>
      </c>
      <c r="J119" s="36"/>
    </row>
    <row r="120" spans="1:10" x14ac:dyDescent="0.35">
      <c r="A120" s="36" t="s">
        <v>312</v>
      </c>
      <c r="B120" s="35">
        <v>45867</v>
      </c>
      <c r="C120" s="36" t="s">
        <v>190</v>
      </c>
      <c r="D120" s="36" t="s">
        <v>191</v>
      </c>
      <c r="E120" s="36" t="s">
        <v>43</v>
      </c>
      <c r="F120" s="36" t="s">
        <v>44</v>
      </c>
      <c r="G120" s="36" t="s">
        <v>31</v>
      </c>
      <c r="H120" s="36" t="s">
        <v>42</v>
      </c>
      <c r="I120" s="37">
        <v>13</v>
      </c>
      <c r="J120" s="36"/>
    </row>
    <row r="121" spans="1:10" x14ac:dyDescent="0.35">
      <c r="A121" s="36" t="s">
        <v>313</v>
      </c>
      <c r="B121" s="35">
        <v>45867</v>
      </c>
      <c r="C121" s="36" t="s">
        <v>190</v>
      </c>
      <c r="D121" s="36" t="s">
        <v>191</v>
      </c>
      <c r="E121" s="36" t="s">
        <v>72</v>
      </c>
      <c r="F121" s="36" t="s">
        <v>73</v>
      </c>
      <c r="G121" s="36" t="s">
        <v>74</v>
      </c>
      <c r="H121" s="36" t="s">
        <v>75</v>
      </c>
      <c r="I121" s="37">
        <v>16</v>
      </c>
      <c r="J121" s="36"/>
    </row>
    <row r="122" spans="1:10" x14ac:dyDescent="0.35">
      <c r="A122" s="36" t="s">
        <v>314</v>
      </c>
      <c r="B122" s="35">
        <v>45867</v>
      </c>
      <c r="C122" s="36" t="s">
        <v>190</v>
      </c>
      <c r="D122" s="36" t="s">
        <v>191</v>
      </c>
      <c r="E122" s="36" t="s">
        <v>91</v>
      </c>
      <c r="F122" s="36" t="s">
        <v>92</v>
      </c>
      <c r="G122" s="36" t="s">
        <v>93</v>
      </c>
      <c r="H122" s="36" t="s">
        <v>85</v>
      </c>
      <c r="I122" s="37">
        <v>12</v>
      </c>
      <c r="J122" s="36"/>
    </row>
    <row r="123" spans="1:10" x14ac:dyDescent="0.35">
      <c r="A123" s="36" t="s">
        <v>315</v>
      </c>
      <c r="B123" s="35">
        <v>45868</v>
      </c>
      <c r="C123" s="36" t="s">
        <v>190</v>
      </c>
      <c r="D123" s="36" t="s">
        <v>191</v>
      </c>
      <c r="E123" s="36" t="s">
        <v>114</v>
      </c>
      <c r="F123" s="36" t="s">
        <v>13</v>
      </c>
      <c r="G123" s="36" t="s">
        <v>14</v>
      </c>
      <c r="H123" s="36" t="s">
        <v>115</v>
      </c>
      <c r="I123" s="37">
        <v>3</v>
      </c>
      <c r="J123" s="36"/>
    </row>
    <row r="124" spans="1:10" x14ac:dyDescent="0.35">
      <c r="A124" s="36" t="s">
        <v>316</v>
      </c>
      <c r="B124" s="35">
        <v>45868</v>
      </c>
      <c r="C124" s="36" t="s">
        <v>190</v>
      </c>
      <c r="D124" s="36" t="s">
        <v>191</v>
      </c>
      <c r="E124" s="36" t="s">
        <v>117</v>
      </c>
      <c r="F124" s="36" t="s">
        <v>118</v>
      </c>
      <c r="G124" s="36" t="s">
        <v>14</v>
      </c>
      <c r="H124" s="36" t="s">
        <v>119</v>
      </c>
      <c r="I124" s="37">
        <v>4</v>
      </c>
      <c r="J124" s="36"/>
    </row>
    <row r="125" spans="1:10" x14ac:dyDescent="0.35">
      <c r="A125" s="36" t="s">
        <v>317</v>
      </c>
      <c r="B125" s="35">
        <v>45868</v>
      </c>
      <c r="C125" s="36" t="s">
        <v>190</v>
      </c>
      <c r="D125" s="36" t="s">
        <v>191</v>
      </c>
      <c r="E125" s="36" t="s">
        <v>144</v>
      </c>
      <c r="F125" s="36" t="s">
        <v>7</v>
      </c>
      <c r="G125" s="36" t="s">
        <v>8</v>
      </c>
      <c r="H125" s="36" t="s">
        <v>145</v>
      </c>
      <c r="I125" s="37">
        <v>7</v>
      </c>
      <c r="J125" s="36"/>
    </row>
    <row r="126" spans="1:10" x14ac:dyDescent="0.35">
      <c r="A126" s="36" t="s">
        <v>318</v>
      </c>
      <c r="B126" s="35">
        <v>45868</v>
      </c>
      <c r="C126" s="36" t="s">
        <v>190</v>
      </c>
      <c r="D126" s="36" t="s">
        <v>191</v>
      </c>
      <c r="E126" s="36" t="s">
        <v>76</v>
      </c>
      <c r="F126" s="36" t="s">
        <v>77</v>
      </c>
      <c r="G126" s="36" t="s">
        <v>74</v>
      </c>
      <c r="H126" s="36" t="s">
        <v>75</v>
      </c>
      <c r="I126" s="37">
        <v>13</v>
      </c>
      <c r="J126" s="36"/>
    </row>
    <row r="127" spans="1:10" x14ac:dyDescent="0.35">
      <c r="A127" s="36" t="s">
        <v>319</v>
      </c>
      <c r="B127" s="35">
        <v>45868</v>
      </c>
      <c r="C127" s="36" t="s">
        <v>190</v>
      </c>
      <c r="D127" s="36" t="s">
        <v>191</v>
      </c>
      <c r="E127" s="36" t="s">
        <v>46</v>
      </c>
      <c r="F127" s="36" t="s">
        <v>47</v>
      </c>
      <c r="G127" s="36" t="s">
        <v>31</v>
      </c>
      <c r="H127" s="36" t="s">
        <v>42</v>
      </c>
      <c r="I127" s="37">
        <v>15</v>
      </c>
      <c r="J127" s="36"/>
    </row>
    <row r="128" spans="1:10" x14ac:dyDescent="0.35">
      <c r="A128" s="36" t="s">
        <v>320</v>
      </c>
      <c r="B128" s="35">
        <v>45868</v>
      </c>
      <c r="C128" s="36" t="s">
        <v>190</v>
      </c>
      <c r="D128" s="36" t="s">
        <v>191</v>
      </c>
      <c r="E128" s="36" t="s">
        <v>141</v>
      </c>
      <c r="F128" s="36" t="s">
        <v>142</v>
      </c>
      <c r="G128" s="36" t="s">
        <v>8</v>
      </c>
      <c r="H128" s="36" t="s">
        <v>143</v>
      </c>
      <c r="I128" s="37">
        <v>7</v>
      </c>
      <c r="J128" s="36"/>
    </row>
    <row r="129" spans="1:10" x14ac:dyDescent="0.35">
      <c r="A129" s="36" t="s">
        <v>321</v>
      </c>
      <c r="B129" s="35">
        <v>45868</v>
      </c>
      <c r="C129" s="36" t="s">
        <v>190</v>
      </c>
      <c r="D129" s="36" t="s">
        <v>191</v>
      </c>
      <c r="E129" s="36" t="s">
        <v>125</v>
      </c>
      <c r="F129" s="36" t="s">
        <v>126</v>
      </c>
      <c r="G129" s="36" t="s">
        <v>14</v>
      </c>
      <c r="H129" s="36" t="s">
        <v>127</v>
      </c>
      <c r="I129" s="37">
        <v>2</v>
      </c>
      <c r="J129" s="36"/>
    </row>
    <row r="130" spans="1:10" x14ac:dyDescent="0.35">
      <c r="A130" s="36" t="s">
        <v>322</v>
      </c>
      <c r="B130" s="35">
        <v>45868</v>
      </c>
      <c r="C130" s="36" t="s">
        <v>190</v>
      </c>
      <c r="D130" s="36" t="s">
        <v>191</v>
      </c>
      <c r="E130" s="36" t="s">
        <v>97</v>
      </c>
      <c r="F130" s="36" t="s">
        <v>98</v>
      </c>
      <c r="G130" s="36" t="s">
        <v>93</v>
      </c>
      <c r="H130" s="36" t="s">
        <v>99</v>
      </c>
      <c r="I130" s="37">
        <v>13</v>
      </c>
      <c r="J130" s="36"/>
    </row>
    <row r="131" spans="1:10" x14ac:dyDescent="0.35">
      <c r="A131" s="36" t="s">
        <v>323</v>
      </c>
      <c r="B131" s="35">
        <v>45868</v>
      </c>
      <c r="C131" s="36" t="s">
        <v>190</v>
      </c>
      <c r="D131" s="36" t="s">
        <v>191</v>
      </c>
      <c r="E131" s="36" t="s">
        <v>61</v>
      </c>
      <c r="F131" s="36" t="s">
        <v>62</v>
      </c>
      <c r="G131" s="36" t="s">
        <v>53</v>
      </c>
      <c r="H131" s="36" t="s">
        <v>42</v>
      </c>
      <c r="I131" s="37">
        <v>25</v>
      </c>
      <c r="J131" s="36"/>
    </row>
    <row r="132" spans="1:10" x14ac:dyDescent="0.35">
      <c r="A132" s="36" t="s">
        <v>324</v>
      </c>
      <c r="B132" s="35">
        <v>45868</v>
      </c>
      <c r="C132" s="36" t="s">
        <v>190</v>
      </c>
      <c r="D132" s="36" t="s">
        <v>191</v>
      </c>
      <c r="E132" s="36" t="s">
        <v>94</v>
      </c>
      <c r="F132" s="36" t="s">
        <v>95</v>
      </c>
      <c r="G132" s="36" t="s">
        <v>93</v>
      </c>
      <c r="H132" s="36" t="s">
        <v>96</v>
      </c>
      <c r="I132" s="37">
        <v>7</v>
      </c>
      <c r="J132" s="36"/>
    </row>
    <row r="133" spans="1:10" x14ac:dyDescent="0.35">
      <c r="A133" s="36" t="s">
        <v>325</v>
      </c>
      <c r="B133" s="35">
        <v>45868</v>
      </c>
      <c r="C133" s="36" t="s">
        <v>190</v>
      </c>
      <c r="D133" s="36" t="s">
        <v>191</v>
      </c>
      <c r="E133" s="36" t="s">
        <v>156</v>
      </c>
      <c r="F133" s="36" t="s">
        <v>11</v>
      </c>
      <c r="G133" s="36" t="s">
        <v>12</v>
      </c>
      <c r="H133" s="36" t="s">
        <v>155</v>
      </c>
      <c r="I133" s="37">
        <v>5</v>
      </c>
      <c r="J133" s="36"/>
    </row>
    <row r="134" spans="1:10" x14ac:dyDescent="0.35">
      <c r="A134" s="36" t="s">
        <v>326</v>
      </c>
      <c r="B134" s="35">
        <v>45868</v>
      </c>
      <c r="C134" s="36" t="s">
        <v>238</v>
      </c>
      <c r="D134" s="36" t="s">
        <v>239</v>
      </c>
      <c r="E134" s="36" t="s">
        <v>157</v>
      </c>
      <c r="F134" s="36" t="s">
        <v>158</v>
      </c>
      <c r="G134" s="36" t="s">
        <v>159</v>
      </c>
      <c r="H134" s="36" t="s">
        <v>160</v>
      </c>
      <c r="I134" s="37">
        <v>4</v>
      </c>
      <c r="J134" s="36"/>
    </row>
    <row r="135" spans="1:10" x14ac:dyDescent="0.35">
      <c r="A135" s="36" t="s">
        <v>327</v>
      </c>
      <c r="B135" s="35">
        <v>45868</v>
      </c>
      <c r="C135" s="36" t="s">
        <v>238</v>
      </c>
      <c r="D135" s="36" t="s">
        <v>239</v>
      </c>
      <c r="E135" s="36" t="s">
        <v>132</v>
      </c>
      <c r="F135" s="36" t="s">
        <v>133</v>
      </c>
      <c r="G135" s="36" t="s">
        <v>10</v>
      </c>
      <c r="H135" s="36" t="s">
        <v>134</v>
      </c>
      <c r="I135" s="37">
        <v>2</v>
      </c>
      <c r="J135" s="36"/>
    </row>
    <row r="136" spans="1:10" x14ac:dyDescent="0.35">
      <c r="A136" s="36" t="s">
        <v>328</v>
      </c>
      <c r="B136" s="35">
        <v>45868</v>
      </c>
      <c r="C136" s="36" t="s">
        <v>238</v>
      </c>
      <c r="D136" s="36" t="s">
        <v>239</v>
      </c>
      <c r="E136" s="36" t="s">
        <v>69</v>
      </c>
      <c r="F136" s="36" t="s">
        <v>70</v>
      </c>
      <c r="G136" s="36" t="s">
        <v>66</v>
      </c>
      <c r="H136" s="36" t="s">
        <v>71</v>
      </c>
      <c r="I136" s="37">
        <v>2</v>
      </c>
      <c r="J136" s="36"/>
    </row>
    <row r="137" spans="1:10" x14ac:dyDescent="0.35">
      <c r="A137" s="36" t="s">
        <v>329</v>
      </c>
      <c r="B137" s="35">
        <v>45868</v>
      </c>
      <c r="C137" s="36" t="s">
        <v>238</v>
      </c>
      <c r="D137" s="36" t="s">
        <v>239</v>
      </c>
      <c r="E137" s="36" t="s">
        <v>128</v>
      </c>
      <c r="F137" s="36" t="s">
        <v>9</v>
      </c>
      <c r="G137" s="36" t="s">
        <v>10</v>
      </c>
      <c r="H137" s="36" t="s">
        <v>129</v>
      </c>
      <c r="I137" s="37">
        <v>3</v>
      </c>
      <c r="J137" s="36"/>
    </row>
    <row r="138" spans="1:10" x14ac:dyDescent="0.35">
      <c r="A138" s="36" t="s">
        <v>330</v>
      </c>
      <c r="B138" s="35">
        <v>45868</v>
      </c>
      <c r="C138" s="36" t="s">
        <v>238</v>
      </c>
      <c r="D138" s="36" t="s">
        <v>239</v>
      </c>
      <c r="E138" s="36" t="s">
        <v>40</v>
      </c>
      <c r="F138" s="36" t="s">
        <v>41</v>
      </c>
      <c r="G138" s="36" t="s">
        <v>31</v>
      </c>
      <c r="H138" s="36" t="s">
        <v>42</v>
      </c>
      <c r="I138" s="37">
        <v>9</v>
      </c>
      <c r="J138" s="36"/>
    </row>
    <row r="139" spans="1:10" x14ac:dyDescent="0.35">
      <c r="A139" s="36" t="s">
        <v>331</v>
      </c>
      <c r="B139" s="35">
        <v>45868</v>
      </c>
      <c r="C139" s="36" t="s">
        <v>238</v>
      </c>
      <c r="D139" s="36" t="s">
        <v>239</v>
      </c>
      <c r="E139" s="36" t="s">
        <v>97</v>
      </c>
      <c r="F139" s="36" t="s">
        <v>98</v>
      </c>
      <c r="G139" s="36" t="s">
        <v>93</v>
      </c>
      <c r="H139" s="36" t="s">
        <v>99</v>
      </c>
      <c r="I139" s="37">
        <v>5</v>
      </c>
      <c r="J139" s="36"/>
    </row>
    <row r="140" spans="1:10" x14ac:dyDescent="0.35">
      <c r="A140" s="36" t="s">
        <v>332</v>
      </c>
      <c r="B140" s="35">
        <v>45868</v>
      </c>
      <c r="C140" s="36" t="s">
        <v>238</v>
      </c>
      <c r="D140" s="36" t="s">
        <v>239</v>
      </c>
      <c r="E140" s="36" t="s">
        <v>122</v>
      </c>
      <c r="F140" s="36" t="s">
        <v>123</v>
      </c>
      <c r="G140" s="36" t="s">
        <v>14</v>
      </c>
      <c r="H140" s="36" t="s">
        <v>124</v>
      </c>
      <c r="I140" s="37">
        <v>1</v>
      </c>
      <c r="J140" s="36"/>
    </row>
    <row r="141" spans="1:10" x14ac:dyDescent="0.35">
      <c r="A141" s="36" t="s">
        <v>333</v>
      </c>
      <c r="B141" s="35">
        <v>45868</v>
      </c>
      <c r="C141" s="36" t="s">
        <v>238</v>
      </c>
      <c r="D141" s="36" t="s">
        <v>239</v>
      </c>
      <c r="E141" s="36" t="s">
        <v>104</v>
      </c>
      <c r="F141" s="36" t="s">
        <v>105</v>
      </c>
      <c r="G141" s="36" t="s">
        <v>102</v>
      </c>
      <c r="H141" s="36" t="s">
        <v>103</v>
      </c>
      <c r="I141" s="37">
        <v>9</v>
      </c>
      <c r="J141" s="36"/>
    </row>
    <row r="142" spans="1:10" x14ac:dyDescent="0.35">
      <c r="A142" s="36" t="s">
        <v>334</v>
      </c>
      <c r="B142" s="35">
        <v>45868</v>
      </c>
      <c r="C142" s="36" t="s">
        <v>238</v>
      </c>
      <c r="D142" s="36" t="s">
        <v>239</v>
      </c>
      <c r="E142" s="36" t="s">
        <v>125</v>
      </c>
      <c r="F142" s="36" t="s">
        <v>126</v>
      </c>
      <c r="G142" s="36" t="s">
        <v>14</v>
      </c>
      <c r="H142" s="36" t="s">
        <v>127</v>
      </c>
      <c r="I142" s="37">
        <v>1</v>
      </c>
      <c r="J142" s="36"/>
    </row>
    <row r="143" spans="1:10" x14ac:dyDescent="0.35">
      <c r="A143" s="36" t="s">
        <v>335</v>
      </c>
      <c r="B143" s="35">
        <v>45868</v>
      </c>
      <c r="C143" s="36" t="s">
        <v>238</v>
      </c>
      <c r="D143" s="36" t="s">
        <v>239</v>
      </c>
      <c r="E143" s="36" t="s">
        <v>114</v>
      </c>
      <c r="F143" s="36" t="s">
        <v>13</v>
      </c>
      <c r="G143" s="36" t="s">
        <v>14</v>
      </c>
      <c r="H143" s="36" t="s">
        <v>115</v>
      </c>
      <c r="I143" s="37">
        <v>1</v>
      </c>
      <c r="J143" s="36"/>
    </row>
    <row r="144" spans="1:10" x14ac:dyDescent="0.35">
      <c r="A144" s="36" t="s">
        <v>336</v>
      </c>
      <c r="B144" s="35">
        <v>45868</v>
      </c>
      <c r="C144" s="36" t="s">
        <v>238</v>
      </c>
      <c r="D144" s="36" t="s">
        <v>239</v>
      </c>
      <c r="E144" s="36" t="s">
        <v>130</v>
      </c>
      <c r="F144" s="36" t="s">
        <v>16</v>
      </c>
      <c r="G144" s="36" t="s">
        <v>10</v>
      </c>
      <c r="H144" s="36" t="s">
        <v>131</v>
      </c>
      <c r="I144" s="37">
        <v>1</v>
      </c>
      <c r="J144" s="36"/>
    </row>
    <row r="145" spans="1:10" x14ac:dyDescent="0.35">
      <c r="A145" s="36" t="s">
        <v>337</v>
      </c>
      <c r="B145" s="35">
        <v>45869</v>
      </c>
      <c r="C145" s="36" t="s">
        <v>298</v>
      </c>
      <c r="D145" s="36" t="s">
        <v>299</v>
      </c>
      <c r="E145" s="36" t="s">
        <v>106</v>
      </c>
      <c r="F145" s="36" t="s">
        <v>107</v>
      </c>
      <c r="G145" s="36" t="s">
        <v>102</v>
      </c>
      <c r="H145" s="36" t="s">
        <v>108</v>
      </c>
      <c r="I145" s="37">
        <v>5</v>
      </c>
      <c r="J145" s="36"/>
    </row>
    <row r="146" spans="1:10" x14ac:dyDescent="0.35">
      <c r="A146" s="36" t="s">
        <v>338</v>
      </c>
      <c r="B146" s="35">
        <v>45869</v>
      </c>
      <c r="C146" s="36" t="s">
        <v>298</v>
      </c>
      <c r="D146" s="36" t="s">
        <v>299</v>
      </c>
      <c r="E146" s="36" t="s">
        <v>46</v>
      </c>
      <c r="F146" s="36" t="s">
        <v>47</v>
      </c>
      <c r="G146" s="36" t="s">
        <v>31</v>
      </c>
      <c r="H146" s="36" t="s">
        <v>42</v>
      </c>
      <c r="I146" s="37">
        <v>4</v>
      </c>
      <c r="J146" s="36"/>
    </row>
    <row r="147" spans="1:10" x14ac:dyDescent="0.35">
      <c r="A147" s="36" t="s">
        <v>339</v>
      </c>
      <c r="B147" s="35">
        <v>45869</v>
      </c>
      <c r="C147" s="36" t="s">
        <v>298</v>
      </c>
      <c r="D147" s="36" t="s">
        <v>299</v>
      </c>
      <c r="E147" s="36" t="s">
        <v>81</v>
      </c>
      <c r="F147" s="36" t="s">
        <v>82</v>
      </c>
      <c r="G147" s="36" t="s">
        <v>74</v>
      </c>
      <c r="H147" s="36" t="s">
        <v>80</v>
      </c>
      <c r="I147" s="37">
        <v>2</v>
      </c>
      <c r="J147" s="36"/>
    </row>
    <row r="148" spans="1:10" x14ac:dyDescent="0.35">
      <c r="A148" s="36" t="s">
        <v>340</v>
      </c>
      <c r="B148" s="35">
        <v>45869</v>
      </c>
      <c r="C148" s="36" t="s">
        <v>298</v>
      </c>
      <c r="D148" s="36" t="s">
        <v>299</v>
      </c>
      <c r="E148" s="36" t="s">
        <v>144</v>
      </c>
      <c r="F148" s="36" t="s">
        <v>7</v>
      </c>
      <c r="G148" s="36" t="s">
        <v>8</v>
      </c>
      <c r="H148" s="36" t="s">
        <v>145</v>
      </c>
      <c r="I148" s="37">
        <v>1</v>
      </c>
      <c r="J148" s="36"/>
    </row>
    <row r="149" spans="1:10" x14ac:dyDescent="0.35">
      <c r="A149" s="36" t="s">
        <v>341</v>
      </c>
      <c r="B149" s="35">
        <v>45869</v>
      </c>
      <c r="C149" s="36" t="s">
        <v>298</v>
      </c>
      <c r="D149" s="36" t="s">
        <v>299</v>
      </c>
      <c r="E149" s="36" t="s">
        <v>138</v>
      </c>
      <c r="F149" s="36" t="s">
        <v>139</v>
      </c>
      <c r="G149" s="36" t="s">
        <v>6</v>
      </c>
      <c r="H149" s="36" t="s">
        <v>140</v>
      </c>
      <c r="I149" s="37">
        <v>3</v>
      </c>
      <c r="J149" s="36"/>
    </row>
    <row r="150" spans="1:10" x14ac:dyDescent="0.35">
      <c r="A150" s="36" t="s">
        <v>342</v>
      </c>
      <c r="B150" s="35">
        <v>45874</v>
      </c>
      <c r="C150" s="36" t="s">
        <v>238</v>
      </c>
      <c r="D150" s="36" t="s">
        <v>239</v>
      </c>
      <c r="E150" s="36" t="s">
        <v>64</v>
      </c>
      <c r="F150" s="36" t="s">
        <v>65</v>
      </c>
      <c r="G150" s="36" t="s">
        <v>66</v>
      </c>
      <c r="H150" s="36" t="s">
        <v>42</v>
      </c>
      <c r="I150" s="37">
        <v>6</v>
      </c>
      <c r="J150" s="36"/>
    </row>
    <row r="151" spans="1:10" x14ac:dyDescent="0.35">
      <c r="A151" s="36" t="s">
        <v>343</v>
      </c>
      <c r="B151" s="35">
        <v>45874</v>
      </c>
      <c r="C151" s="36" t="s">
        <v>238</v>
      </c>
      <c r="D151" s="36" t="s">
        <v>239</v>
      </c>
      <c r="E151" s="36" t="s">
        <v>54</v>
      </c>
      <c r="F151" s="36" t="s">
        <v>55</v>
      </c>
      <c r="G151" s="36" t="s">
        <v>53</v>
      </c>
      <c r="H151" s="36" t="s">
        <v>56</v>
      </c>
      <c r="I151" s="37">
        <v>8</v>
      </c>
      <c r="J151" s="36"/>
    </row>
    <row r="152" spans="1:10" x14ac:dyDescent="0.35">
      <c r="A152" s="36" t="s">
        <v>344</v>
      </c>
      <c r="B152" s="35">
        <v>45874</v>
      </c>
      <c r="C152" s="36" t="s">
        <v>238</v>
      </c>
      <c r="D152" s="36" t="s">
        <v>239</v>
      </c>
      <c r="E152" s="36" t="s">
        <v>37</v>
      </c>
      <c r="F152" s="36" t="s">
        <v>38</v>
      </c>
      <c r="G152" s="36" t="s">
        <v>31</v>
      </c>
      <c r="H152" s="36" t="s">
        <v>39</v>
      </c>
      <c r="I152" s="37">
        <v>10</v>
      </c>
      <c r="J152" s="36"/>
    </row>
    <row r="153" spans="1:10" x14ac:dyDescent="0.35">
      <c r="A153" s="36" t="s">
        <v>345</v>
      </c>
      <c r="B153" s="35">
        <v>45874</v>
      </c>
      <c r="C153" s="36" t="s">
        <v>238</v>
      </c>
      <c r="D153" s="36" t="s">
        <v>239</v>
      </c>
      <c r="E153" s="36" t="s">
        <v>106</v>
      </c>
      <c r="F153" s="36" t="s">
        <v>107</v>
      </c>
      <c r="G153" s="36" t="s">
        <v>102</v>
      </c>
      <c r="H153" s="36" t="s">
        <v>108</v>
      </c>
      <c r="I153" s="37">
        <v>6</v>
      </c>
      <c r="J153" s="36"/>
    </row>
    <row r="154" spans="1:10" x14ac:dyDescent="0.35">
      <c r="A154" s="36" t="s">
        <v>346</v>
      </c>
      <c r="B154" s="35">
        <v>45874</v>
      </c>
      <c r="C154" s="36" t="s">
        <v>238</v>
      </c>
      <c r="D154" s="36" t="s">
        <v>239</v>
      </c>
      <c r="E154" s="36" t="s">
        <v>46</v>
      </c>
      <c r="F154" s="36" t="s">
        <v>47</v>
      </c>
      <c r="G154" s="36" t="s">
        <v>31</v>
      </c>
      <c r="H154" s="36" t="s">
        <v>42</v>
      </c>
      <c r="I154" s="37">
        <v>11</v>
      </c>
      <c r="J154" s="36"/>
    </row>
    <row r="155" spans="1:10" x14ac:dyDescent="0.35">
      <c r="A155" s="36" t="s">
        <v>347</v>
      </c>
      <c r="B155" s="35">
        <v>45874</v>
      </c>
      <c r="C155" s="36" t="s">
        <v>238</v>
      </c>
      <c r="D155" s="36" t="s">
        <v>239</v>
      </c>
      <c r="E155" s="36" t="s">
        <v>146</v>
      </c>
      <c r="F155" s="36" t="s">
        <v>147</v>
      </c>
      <c r="G155" s="36" t="s">
        <v>8</v>
      </c>
      <c r="H155" s="36" t="s">
        <v>148</v>
      </c>
      <c r="I155" s="37">
        <v>4</v>
      </c>
      <c r="J155" s="36"/>
    </row>
    <row r="156" spans="1:10" x14ac:dyDescent="0.35">
      <c r="A156" s="36" t="s">
        <v>348</v>
      </c>
      <c r="B156" s="35">
        <v>45874</v>
      </c>
      <c r="C156" s="36" t="s">
        <v>238</v>
      </c>
      <c r="D156" s="36" t="s">
        <v>239</v>
      </c>
      <c r="E156" s="36" t="s">
        <v>153</v>
      </c>
      <c r="F156" s="36" t="s">
        <v>154</v>
      </c>
      <c r="G156" s="36" t="s">
        <v>12</v>
      </c>
      <c r="H156" s="36" t="s">
        <v>155</v>
      </c>
      <c r="I156" s="37">
        <v>2</v>
      </c>
      <c r="J156" s="36"/>
    </row>
    <row r="157" spans="1:10" x14ac:dyDescent="0.35">
      <c r="A157" s="36" t="s">
        <v>349</v>
      </c>
      <c r="B157" s="35">
        <v>45874</v>
      </c>
      <c r="C157" s="36" t="s">
        <v>238</v>
      </c>
      <c r="D157" s="36" t="s">
        <v>239</v>
      </c>
      <c r="E157" s="36" t="s">
        <v>161</v>
      </c>
      <c r="F157" s="36" t="s">
        <v>162</v>
      </c>
      <c r="G157" s="36" t="s">
        <v>159</v>
      </c>
      <c r="H157" s="36" t="s">
        <v>163</v>
      </c>
      <c r="I157" s="37">
        <v>3</v>
      </c>
      <c r="J157" s="36"/>
    </row>
    <row r="158" spans="1:10" x14ac:dyDescent="0.35">
      <c r="A158" s="36" t="s">
        <v>350</v>
      </c>
      <c r="B158" s="35">
        <v>45874</v>
      </c>
      <c r="C158" s="36" t="s">
        <v>190</v>
      </c>
      <c r="D158" s="36" t="s">
        <v>191</v>
      </c>
      <c r="E158" s="36" t="s">
        <v>128</v>
      </c>
      <c r="F158" s="36" t="s">
        <v>9</v>
      </c>
      <c r="G158" s="36" t="s">
        <v>10</v>
      </c>
      <c r="H158" s="36" t="s">
        <v>129</v>
      </c>
      <c r="I158" s="37">
        <v>8</v>
      </c>
      <c r="J158" s="36"/>
    </row>
    <row r="159" spans="1:10" x14ac:dyDescent="0.35">
      <c r="A159" s="36" t="s">
        <v>351</v>
      </c>
      <c r="B159" s="35">
        <v>45874</v>
      </c>
      <c r="C159" s="36" t="s">
        <v>190</v>
      </c>
      <c r="D159" s="36" t="s">
        <v>191</v>
      </c>
      <c r="E159" s="36" t="s">
        <v>86</v>
      </c>
      <c r="F159" s="36" t="s">
        <v>87</v>
      </c>
      <c r="G159" s="36" t="s">
        <v>74</v>
      </c>
      <c r="H159" s="36" t="s">
        <v>75</v>
      </c>
      <c r="I159" s="37">
        <v>10</v>
      </c>
      <c r="J159" s="36"/>
    </row>
    <row r="160" spans="1:10" x14ac:dyDescent="0.35">
      <c r="A160" s="36" t="s">
        <v>352</v>
      </c>
      <c r="B160" s="35">
        <v>45874</v>
      </c>
      <c r="C160" s="36" t="s">
        <v>190</v>
      </c>
      <c r="D160" s="36" t="s">
        <v>191</v>
      </c>
      <c r="E160" s="36" t="s">
        <v>78</v>
      </c>
      <c r="F160" s="36" t="s">
        <v>79</v>
      </c>
      <c r="G160" s="36" t="s">
        <v>74</v>
      </c>
      <c r="H160" s="36" t="s">
        <v>80</v>
      </c>
      <c r="I160" s="37">
        <v>15</v>
      </c>
      <c r="J160" s="36"/>
    </row>
    <row r="161" spans="1:10" x14ac:dyDescent="0.35">
      <c r="A161" s="36" t="s">
        <v>353</v>
      </c>
      <c r="B161" s="35">
        <v>45874</v>
      </c>
      <c r="C161" s="36" t="s">
        <v>190</v>
      </c>
      <c r="D161" s="36" t="s">
        <v>191</v>
      </c>
      <c r="E161" s="36" t="s">
        <v>122</v>
      </c>
      <c r="F161" s="36" t="s">
        <v>123</v>
      </c>
      <c r="G161" s="36" t="s">
        <v>14</v>
      </c>
      <c r="H161" s="36" t="s">
        <v>124</v>
      </c>
      <c r="I161" s="37">
        <v>5</v>
      </c>
      <c r="J161" s="36"/>
    </row>
    <row r="162" spans="1:10" x14ac:dyDescent="0.35">
      <c r="A162" s="36" t="s">
        <v>354</v>
      </c>
      <c r="B162" s="35">
        <v>45874</v>
      </c>
      <c r="C162" s="36" t="s">
        <v>190</v>
      </c>
      <c r="D162" s="36" t="s">
        <v>191</v>
      </c>
      <c r="E162" s="36" t="s">
        <v>111</v>
      </c>
      <c r="F162" s="36" t="s">
        <v>112</v>
      </c>
      <c r="G162" s="36" t="s">
        <v>102</v>
      </c>
      <c r="H162" s="36" t="s">
        <v>113</v>
      </c>
      <c r="I162" s="37">
        <v>22</v>
      </c>
      <c r="J162" s="36"/>
    </row>
    <row r="163" spans="1:10" x14ac:dyDescent="0.35">
      <c r="A163" s="36" t="s">
        <v>355</v>
      </c>
      <c r="B163" s="35">
        <v>45874</v>
      </c>
      <c r="C163" s="36" t="s">
        <v>190</v>
      </c>
      <c r="D163" s="36" t="s">
        <v>191</v>
      </c>
      <c r="E163" s="36" t="s">
        <v>29</v>
      </c>
      <c r="F163" s="36" t="s">
        <v>30</v>
      </c>
      <c r="G163" s="36" t="s">
        <v>31</v>
      </c>
      <c r="H163" s="36" t="s">
        <v>32</v>
      </c>
      <c r="I163" s="37">
        <v>26</v>
      </c>
      <c r="J163" s="36"/>
    </row>
    <row r="164" spans="1:10" x14ac:dyDescent="0.35">
      <c r="A164" s="36" t="s">
        <v>356</v>
      </c>
      <c r="B164" s="35">
        <v>45874</v>
      </c>
      <c r="C164" s="36" t="s">
        <v>190</v>
      </c>
      <c r="D164" s="36" t="s">
        <v>191</v>
      </c>
      <c r="E164" s="36" t="s">
        <v>137</v>
      </c>
      <c r="F164" s="36" t="s">
        <v>15</v>
      </c>
      <c r="G164" s="36" t="s">
        <v>6</v>
      </c>
      <c r="H164" s="36" t="s">
        <v>136</v>
      </c>
      <c r="I164" s="37">
        <v>13</v>
      </c>
      <c r="J164" s="36"/>
    </row>
    <row r="165" spans="1:10" x14ac:dyDescent="0.35">
      <c r="A165" s="36" t="s">
        <v>357</v>
      </c>
      <c r="B165" s="35">
        <v>45874</v>
      </c>
      <c r="C165" s="36" t="s">
        <v>190</v>
      </c>
      <c r="D165" s="36" t="s">
        <v>191</v>
      </c>
      <c r="E165" s="36" t="s">
        <v>132</v>
      </c>
      <c r="F165" s="36" t="s">
        <v>133</v>
      </c>
      <c r="G165" s="36" t="s">
        <v>10</v>
      </c>
      <c r="H165" s="36" t="s">
        <v>134</v>
      </c>
      <c r="I165" s="37">
        <v>6</v>
      </c>
      <c r="J165" s="36"/>
    </row>
    <row r="166" spans="1:10" x14ac:dyDescent="0.35">
      <c r="A166" s="36" t="s">
        <v>358</v>
      </c>
      <c r="B166" s="35">
        <v>45874</v>
      </c>
      <c r="C166" s="36" t="s">
        <v>190</v>
      </c>
      <c r="D166" s="36" t="s">
        <v>191</v>
      </c>
      <c r="E166" s="36" t="s">
        <v>153</v>
      </c>
      <c r="F166" s="36" t="s">
        <v>154</v>
      </c>
      <c r="G166" s="36" t="s">
        <v>12</v>
      </c>
      <c r="H166" s="36" t="s">
        <v>155</v>
      </c>
      <c r="I166" s="37">
        <v>5</v>
      </c>
      <c r="J166" s="36"/>
    </row>
    <row r="167" spans="1:10" x14ac:dyDescent="0.35">
      <c r="A167" s="36" t="s">
        <v>359</v>
      </c>
      <c r="B167" s="35">
        <v>45874</v>
      </c>
      <c r="C167" s="36" t="s">
        <v>190</v>
      </c>
      <c r="D167" s="36" t="s">
        <v>191</v>
      </c>
      <c r="E167" s="36" t="s">
        <v>104</v>
      </c>
      <c r="F167" s="36" t="s">
        <v>105</v>
      </c>
      <c r="G167" s="36" t="s">
        <v>102</v>
      </c>
      <c r="H167" s="36" t="s">
        <v>103</v>
      </c>
      <c r="I167" s="37">
        <v>17</v>
      </c>
      <c r="J167" s="36"/>
    </row>
    <row r="168" spans="1:10" x14ac:dyDescent="0.35">
      <c r="A168" s="36" t="s">
        <v>360</v>
      </c>
      <c r="B168" s="35">
        <v>45874</v>
      </c>
      <c r="C168" s="36" t="s">
        <v>190</v>
      </c>
      <c r="D168" s="36" t="s">
        <v>191</v>
      </c>
      <c r="E168" s="36" t="s">
        <v>51</v>
      </c>
      <c r="F168" s="36" t="s">
        <v>52</v>
      </c>
      <c r="G168" s="36" t="s">
        <v>53</v>
      </c>
      <c r="H168" s="36" t="s">
        <v>42</v>
      </c>
      <c r="I168" s="37">
        <v>19</v>
      </c>
      <c r="J168" s="36"/>
    </row>
    <row r="169" spans="1:10" x14ac:dyDescent="0.35">
      <c r="A169" s="36" t="s">
        <v>361</v>
      </c>
      <c r="B169" s="35">
        <v>45877</v>
      </c>
      <c r="C169" s="36" t="s">
        <v>210</v>
      </c>
      <c r="D169" s="36" t="s">
        <v>211</v>
      </c>
      <c r="E169" s="36" t="s">
        <v>37</v>
      </c>
      <c r="F169" s="36" t="s">
        <v>38</v>
      </c>
      <c r="G169" s="36" t="s">
        <v>31</v>
      </c>
      <c r="H169" s="36" t="s">
        <v>39</v>
      </c>
      <c r="I169" s="37">
        <v>9</v>
      </c>
      <c r="J169" s="36"/>
    </row>
    <row r="170" spans="1:10" x14ac:dyDescent="0.35">
      <c r="A170" s="36" t="s">
        <v>362</v>
      </c>
      <c r="B170" s="35">
        <v>45877</v>
      </c>
      <c r="C170" s="36" t="s">
        <v>210</v>
      </c>
      <c r="D170" s="36" t="s">
        <v>211</v>
      </c>
      <c r="E170" s="36" t="s">
        <v>61</v>
      </c>
      <c r="F170" s="36" t="s">
        <v>62</v>
      </c>
      <c r="G170" s="36" t="s">
        <v>53</v>
      </c>
      <c r="H170" s="36" t="s">
        <v>42</v>
      </c>
      <c r="I170" s="37">
        <v>16</v>
      </c>
      <c r="J170" s="36"/>
    </row>
    <row r="171" spans="1:10" x14ac:dyDescent="0.35">
      <c r="A171" s="36" t="s">
        <v>363</v>
      </c>
      <c r="B171" s="35">
        <v>45877</v>
      </c>
      <c r="C171" s="36" t="s">
        <v>210</v>
      </c>
      <c r="D171" s="36" t="s">
        <v>211</v>
      </c>
      <c r="E171" s="36" t="s">
        <v>78</v>
      </c>
      <c r="F171" s="36" t="s">
        <v>79</v>
      </c>
      <c r="G171" s="36" t="s">
        <v>74</v>
      </c>
      <c r="H171" s="36" t="s">
        <v>80</v>
      </c>
      <c r="I171" s="37">
        <v>9</v>
      </c>
      <c r="J171" s="36"/>
    </row>
    <row r="172" spans="1:10" x14ac:dyDescent="0.35">
      <c r="A172" s="36" t="s">
        <v>364</v>
      </c>
      <c r="B172" s="35">
        <v>45877</v>
      </c>
      <c r="C172" s="36" t="s">
        <v>210</v>
      </c>
      <c r="D172" s="36" t="s">
        <v>211</v>
      </c>
      <c r="E172" s="36" t="s">
        <v>100</v>
      </c>
      <c r="F172" s="36" t="s">
        <v>101</v>
      </c>
      <c r="G172" s="36" t="s">
        <v>102</v>
      </c>
      <c r="H172" s="36" t="s">
        <v>103</v>
      </c>
      <c r="I172" s="37">
        <v>10</v>
      </c>
      <c r="J172" s="36"/>
    </row>
    <row r="173" spans="1:10" x14ac:dyDescent="0.35">
      <c r="A173" s="36" t="s">
        <v>365</v>
      </c>
      <c r="B173" s="35">
        <v>45877</v>
      </c>
      <c r="C173" s="36" t="s">
        <v>210</v>
      </c>
      <c r="D173" s="36" t="s">
        <v>211</v>
      </c>
      <c r="E173" s="36" t="s">
        <v>57</v>
      </c>
      <c r="F173" s="36" t="s">
        <v>58</v>
      </c>
      <c r="G173" s="36" t="s">
        <v>53</v>
      </c>
      <c r="H173" s="36" t="s">
        <v>42</v>
      </c>
      <c r="I173" s="37">
        <v>14</v>
      </c>
      <c r="J173" s="36"/>
    </row>
    <row r="174" spans="1:10" x14ac:dyDescent="0.35">
      <c r="A174" s="36" t="s">
        <v>366</v>
      </c>
      <c r="B174" s="35">
        <v>45877</v>
      </c>
      <c r="C174" s="36" t="s">
        <v>210</v>
      </c>
      <c r="D174" s="36" t="s">
        <v>211</v>
      </c>
      <c r="E174" s="36" t="s">
        <v>137</v>
      </c>
      <c r="F174" s="36" t="s">
        <v>15</v>
      </c>
      <c r="G174" s="36" t="s">
        <v>6</v>
      </c>
      <c r="H174" s="36" t="s">
        <v>136</v>
      </c>
      <c r="I174" s="37">
        <v>11</v>
      </c>
      <c r="J174" s="36"/>
    </row>
    <row r="175" spans="1:10" x14ac:dyDescent="0.35">
      <c r="A175" s="36" t="s">
        <v>367</v>
      </c>
      <c r="B175" s="35">
        <v>45877</v>
      </c>
      <c r="C175" s="36" t="s">
        <v>210</v>
      </c>
      <c r="D175" s="36" t="s">
        <v>211</v>
      </c>
      <c r="E175" s="36" t="s">
        <v>135</v>
      </c>
      <c r="F175" s="36" t="s">
        <v>5</v>
      </c>
      <c r="G175" s="36" t="s">
        <v>6</v>
      </c>
      <c r="H175" s="36" t="s">
        <v>136</v>
      </c>
      <c r="I175" s="37">
        <v>7</v>
      </c>
      <c r="J175" s="36"/>
    </row>
    <row r="176" spans="1:10" x14ac:dyDescent="0.35">
      <c r="A176" s="36" t="s">
        <v>368</v>
      </c>
      <c r="B176" s="35">
        <v>45877</v>
      </c>
      <c r="C176" s="36" t="s">
        <v>210</v>
      </c>
      <c r="D176" s="36" t="s">
        <v>211</v>
      </c>
      <c r="E176" s="36" t="s">
        <v>153</v>
      </c>
      <c r="F176" s="36" t="s">
        <v>154</v>
      </c>
      <c r="G176" s="36" t="s">
        <v>12</v>
      </c>
      <c r="H176" s="36" t="s">
        <v>155</v>
      </c>
      <c r="I176" s="37">
        <v>6</v>
      </c>
      <c r="J176" s="36"/>
    </row>
    <row r="177" spans="1:10" x14ac:dyDescent="0.35">
      <c r="A177" s="36" t="s">
        <v>369</v>
      </c>
      <c r="B177" s="35">
        <v>45877</v>
      </c>
      <c r="C177" s="36" t="s">
        <v>210</v>
      </c>
      <c r="D177" s="36" t="s">
        <v>211</v>
      </c>
      <c r="E177" s="36" t="s">
        <v>161</v>
      </c>
      <c r="F177" s="36" t="s">
        <v>162</v>
      </c>
      <c r="G177" s="36" t="s">
        <v>159</v>
      </c>
      <c r="H177" s="36" t="s">
        <v>163</v>
      </c>
      <c r="I177" s="37">
        <v>7</v>
      </c>
      <c r="J177" s="36"/>
    </row>
    <row r="178" spans="1:10" x14ac:dyDescent="0.35">
      <c r="A178" s="36" t="s">
        <v>370</v>
      </c>
      <c r="B178" s="35">
        <v>45877</v>
      </c>
      <c r="C178" s="36" t="s">
        <v>210</v>
      </c>
      <c r="D178" s="36" t="s">
        <v>211</v>
      </c>
      <c r="E178" s="36" t="s">
        <v>144</v>
      </c>
      <c r="F178" s="36" t="s">
        <v>7</v>
      </c>
      <c r="G178" s="36" t="s">
        <v>8</v>
      </c>
      <c r="H178" s="36" t="s">
        <v>145</v>
      </c>
      <c r="I178" s="37">
        <v>7</v>
      </c>
      <c r="J178" s="36"/>
    </row>
    <row r="179" spans="1:10" x14ac:dyDescent="0.35">
      <c r="A179" s="36" t="s">
        <v>371</v>
      </c>
      <c r="B179" s="35">
        <v>45877</v>
      </c>
      <c r="C179" s="36" t="s">
        <v>210</v>
      </c>
      <c r="D179" s="36" t="s">
        <v>211</v>
      </c>
      <c r="E179" s="36" t="s">
        <v>88</v>
      </c>
      <c r="F179" s="36" t="s">
        <v>89</v>
      </c>
      <c r="G179" s="36" t="s">
        <v>74</v>
      </c>
      <c r="H179" s="36" t="s">
        <v>90</v>
      </c>
      <c r="I179" s="37">
        <v>14</v>
      </c>
      <c r="J179" s="36"/>
    </row>
    <row r="180" spans="1:10" x14ac:dyDescent="0.35">
      <c r="A180" s="36" t="s">
        <v>372</v>
      </c>
      <c r="B180" s="35">
        <v>45877</v>
      </c>
      <c r="C180" s="36" t="s">
        <v>210</v>
      </c>
      <c r="D180" s="36" t="s">
        <v>211</v>
      </c>
      <c r="E180" s="36" t="s">
        <v>72</v>
      </c>
      <c r="F180" s="36" t="s">
        <v>73</v>
      </c>
      <c r="G180" s="36" t="s">
        <v>74</v>
      </c>
      <c r="H180" s="36" t="s">
        <v>75</v>
      </c>
      <c r="I180" s="37">
        <v>7</v>
      </c>
      <c r="J180" s="36"/>
    </row>
    <row r="181" spans="1:10" x14ac:dyDescent="0.35">
      <c r="A181" s="36" t="s">
        <v>373</v>
      </c>
      <c r="B181" s="35">
        <v>45877</v>
      </c>
      <c r="C181" s="36" t="s">
        <v>298</v>
      </c>
      <c r="D181" s="36" t="s">
        <v>299</v>
      </c>
      <c r="E181" s="36" t="s">
        <v>156</v>
      </c>
      <c r="F181" s="36" t="s">
        <v>11</v>
      </c>
      <c r="G181" s="36" t="s">
        <v>12</v>
      </c>
      <c r="H181" s="36" t="s">
        <v>155</v>
      </c>
      <c r="I181" s="37">
        <v>2</v>
      </c>
      <c r="J181" s="36"/>
    </row>
    <row r="182" spans="1:10" x14ac:dyDescent="0.35">
      <c r="A182" s="36" t="s">
        <v>374</v>
      </c>
      <c r="B182" s="35">
        <v>45877</v>
      </c>
      <c r="C182" s="36" t="s">
        <v>298</v>
      </c>
      <c r="D182" s="36" t="s">
        <v>299</v>
      </c>
      <c r="E182" s="36" t="s">
        <v>109</v>
      </c>
      <c r="F182" s="36" t="s">
        <v>110</v>
      </c>
      <c r="G182" s="36" t="s">
        <v>102</v>
      </c>
      <c r="H182" s="36" t="s">
        <v>42</v>
      </c>
      <c r="I182" s="37">
        <v>7</v>
      </c>
      <c r="J182" s="36"/>
    </row>
    <row r="183" spans="1:10" x14ac:dyDescent="0.35">
      <c r="A183" s="36" t="s">
        <v>375</v>
      </c>
      <c r="B183" s="35">
        <v>45877</v>
      </c>
      <c r="C183" s="36" t="s">
        <v>298</v>
      </c>
      <c r="D183" s="36" t="s">
        <v>299</v>
      </c>
      <c r="E183" s="36" t="s">
        <v>86</v>
      </c>
      <c r="F183" s="36" t="s">
        <v>87</v>
      </c>
      <c r="G183" s="36" t="s">
        <v>74</v>
      </c>
      <c r="H183" s="36" t="s">
        <v>75</v>
      </c>
      <c r="I183" s="37">
        <v>3</v>
      </c>
      <c r="J183" s="36"/>
    </row>
    <row r="184" spans="1:10" x14ac:dyDescent="0.35">
      <c r="A184" s="36" t="s">
        <v>376</v>
      </c>
      <c r="B184" s="35">
        <v>45877</v>
      </c>
      <c r="C184" s="36" t="s">
        <v>298</v>
      </c>
      <c r="D184" s="36" t="s">
        <v>299</v>
      </c>
      <c r="E184" s="36" t="s">
        <v>78</v>
      </c>
      <c r="F184" s="36" t="s">
        <v>79</v>
      </c>
      <c r="G184" s="36" t="s">
        <v>74</v>
      </c>
      <c r="H184" s="36" t="s">
        <v>80</v>
      </c>
      <c r="I184" s="37">
        <v>3</v>
      </c>
      <c r="J184" s="36"/>
    </row>
    <row r="185" spans="1:10" x14ac:dyDescent="0.35">
      <c r="A185" s="36" t="s">
        <v>377</v>
      </c>
      <c r="B185" s="35">
        <v>45877</v>
      </c>
      <c r="C185" s="36" t="s">
        <v>298</v>
      </c>
      <c r="D185" s="36" t="s">
        <v>299</v>
      </c>
      <c r="E185" s="36" t="s">
        <v>104</v>
      </c>
      <c r="F185" s="36" t="s">
        <v>105</v>
      </c>
      <c r="G185" s="36" t="s">
        <v>102</v>
      </c>
      <c r="H185" s="36" t="s">
        <v>103</v>
      </c>
      <c r="I185" s="37">
        <v>5</v>
      </c>
      <c r="J185" s="36"/>
    </row>
    <row r="186" spans="1:10" x14ac:dyDescent="0.35">
      <c r="A186" s="36" t="s">
        <v>378</v>
      </c>
      <c r="B186" s="35">
        <v>45877</v>
      </c>
      <c r="C186" s="36" t="s">
        <v>298</v>
      </c>
      <c r="D186" s="36" t="s">
        <v>299</v>
      </c>
      <c r="E186" s="36" t="s">
        <v>135</v>
      </c>
      <c r="F186" s="36" t="s">
        <v>5</v>
      </c>
      <c r="G186" s="36" t="s">
        <v>6</v>
      </c>
      <c r="H186" s="36" t="s">
        <v>136</v>
      </c>
      <c r="I186" s="37">
        <v>3</v>
      </c>
      <c r="J186" s="36"/>
    </row>
    <row r="187" spans="1:10" x14ac:dyDescent="0.35">
      <c r="A187" s="36" t="s">
        <v>379</v>
      </c>
      <c r="B187" s="35">
        <v>45877</v>
      </c>
      <c r="C187" s="36" t="s">
        <v>298</v>
      </c>
      <c r="D187" s="36" t="s">
        <v>299</v>
      </c>
      <c r="E187" s="36" t="s">
        <v>141</v>
      </c>
      <c r="F187" s="36" t="s">
        <v>142</v>
      </c>
      <c r="G187" s="36" t="s">
        <v>8</v>
      </c>
      <c r="H187" s="36" t="s">
        <v>143</v>
      </c>
      <c r="I187" s="37">
        <v>1</v>
      </c>
      <c r="J187" s="36"/>
    </row>
    <row r="188" spans="1:10" x14ac:dyDescent="0.35">
      <c r="A188" s="36" t="s">
        <v>380</v>
      </c>
      <c r="B188" s="35">
        <v>45877</v>
      </c>
      <c r="C188" s="36" t="s">
        <v>298</v>
      </c>
      <c r="D188" s="36" t="s">
        <v>299</v>
      </c>
      <c r="E188" s="36" t="s">
        <v>46</v>
      </c>
      <c r="F188" s="36" t="s">
        <v>47</v>
      </c>
      <c r="G188" s="36" t="s">
        <v>31</v>
      </c>
      <c r="H188" s="36" t="s">
        <v>42</v>
      </c>
      <c r="I188" s="37">
        <v>6</v>
      </c>
      <c r="J188" s="36"/>
    </row>
    <row r="189" spans="1:10" x14ac:dyDescent="0.35">
      <c r="A189" s="36" t="s">
        <v>381</v>
      </c>
      <c r="B189" s="35">
        <v>45877</v>
      </c>
      <c r="C189" s="36" t="s">
        <v>298</v>
      </c>
      <c r="D189" s="36" t="s">
        <v>299</v>
      </c>
      <c r="E189" s="36" t="s">
        <v>64</v>
      </c>
      <c r="F189" s="36" t="s">
        <v>65</v>
      </c>
      <c r="G189" s="36" t="s">
        <v>66</v>
      </c>
      <c r="H189" s="36" t="s">
        <v>42</v>
      </c>
      <c r="I189" s="37">
        <v>2</v>
      </c>
      <c r="J189" s="36"/>
    </row>
    <row r="190" spans="1:10" x14ac:dyDescent="0.35">
      <c r="A190" s="36" t="s">
        <v>382</v>
      </c>
      <c r="B190" s="35">
        <v>45879</v>
      </c>
      <c r="C190" s="36" t="s">
        <v>238</v>
      </c>
      <c r="D190" s="36" t="s">
        <v>239</v>
      </c>
      <c r="E190" s="36" t="s">
        <v>146</v>
      </c>
      <c r="F190" s="36" t="s">
        <v>147</v>
      </c>
      <c r="G190" s="36" t="s">
        <v>8</v>
      </c>
      <c r="H190" s="36" t="s">
        <v>148</v>
      </c>
      <c r="I190" s="37">
        <v>3</v>
      </c>
      <c r="J190" s="36"/>
    </row>
    <row r="191" spans="1:10" x14ac:dyDescent="0.35">
      <c r="A191" s="36" t="s">
        <v>383</v>
      </c>
      <c r="B191" s="35">
        <v>45879</v>
      </c>
      <c r="C191" s="36" t="s">
        <v>238</v>
      </c>
      <c r="D191" s="36" t="s">
        <v>239</v>
      </c>
      <c r="E191" s="36" t="s">
        <v>67</v>
      </c>
      <c r="F191" s="36" t="s">
        <v>68</v>
      </c>
      <c r="G191" s="36" t="s">
        <v>66</v>
      </c>
      <c r="H191" s="36" t="s">
        <v>42</v>
      </c>
      <c r="I191" s="37">
        <v>3</v>
      </c>
      <c r="J191" s="36"/>
    </row>
    <row r="192" spans="1:10" x14ac:dyDescent="0.35">
      <c r="A192" s="36" t="s">
        <v>384</v>
      </c>
      <c r="B192" s="35">
        <v>45879</v>
      </c>
      <c r="C192" s="36" t="s">
        <v>238</v>
      </c>
      <c r="D192" s="36" t="s">
        <v>239</v>
      </c>
      <c r="E192" s="36" t="s">
        <v>78</v>
      </c>
      <c r="F192" s="36" t="s">
        <v>79</v>
      </c>
      <c r="G192" s="36" t="s">
        <v>74</v>
      </c>
      <c r="H192" s="36" t="s">
        <v>80</v>
      </c>
      <c r="I192" s="37">
        <v>4</v>
      </c>
      <c r="J192" s="36"/>
    </row>
    <row r="193" spans="1:10" x14ac:dyDescent="0.35">
      <c r="A193" s="36" t="s">
        <v>385</v>
      </c>
      <c r="B193" s="35">
        <v>45879</v>
      </c>
      <c r="C193" s="36" t="s">
        <v>238</v>
      </c>
      <c r="D193" s="36" t="s">
        <v>239</v>
      </c>
      <c r="E193" s="36" t="s">
        <v>141</v>
      </c>
      <c r="F193" s="36" t="s">
        <v>142</v>
      </c>
      <c r="G193" s="36" t="s">
        <v>8</v>
      </c>
      <c r="H193" s="36" t="s">
        <v>143</v>
      </c>
      <c r="I193" s="37">
        <v>3</v>
      </c>
      <c r="J193" s="36"/>
    </row>
    <row r="194" spans="1:10" x14ac:dyDescent="0.35">
      <c r="A194" s="36" t="s">
        <v>386</v>
      </c>
      <c r="B194" s="35">
        <v>45879</v>
      </c>
      <c r="C194" s="36" t="s">
        <v>238</v>
      </c>
      <c r="D194" s="36" t="s">
        <v>239</v>
      </c>
      <c r="E194" s="36" t="s">
        <v>104</v>
      </c>
      <c r="F194" s="36" t="s">
        <v>105</v>
      </c>
      <c r="G194" s="36" t="s">
        <v>102</v>
      </c>
      <c r="H194" s="36" t="s">
        <v>103</v>
      </c>
      <c r="I194" s="37">
        <v>5</v>
      </c>
      <c r="J194" s="36"/>
    </row>
    <row r="195" spans="1:10" x14ac:dyDescent="0.35">
      <c r="A195" s="36" t="s">
        <v>387</v>
      </c>
      <c r="B195" s="35">
        <v>45879</v>
      </c>
      <c r="C195" s="36" t="s">
        <v>238</v>
      </c>
      <c r="D195" s="36" t="s">
        <v>239</v>
      </c>
      <c r="E195" s="36" t="s">
        <v>120</v>
      </c>
      <c r="F195" s="36" t="s">
        <v>121</v>
      </c>
      <c r="G195" s="36" t="s">
        <v>14</v>
      </c>
      <c r="H195" s="36" t="s">
        <v>119</v>
      </c>
      <c r="I195" s="37">
        <v>1</v>
      </c>
      <c r="J195" s="36"/>
    </row>
    <row r="196" spans="1:10" x14ac:dyDescent="0.35">
      <c r="A196" s="36" t="s">
        <v>388</v>
      </c>
      <c r="B196" s="35">
        <v>45879</v>
      </c>
      <c r="C196" s="36" t="s">
        <v>238</v>
      </c>
      <c r="D196" s="36" t="s">
        <v>239</v>
      </c>
      <c r="E196" s="36" t="s">
        <v>34</v>
      </c>
      <c r="F196" s="36" t="s">
        <v>35</v>
      </c>
      <c r="G196" s="36" t="s">
        <v>31</v>
      </c>
      <c r="H196" s="36" t="s">
        <v>36</v>
      </c>
      <c r="I196" s="37">
        <v>11</v>
      </c>
      <c r="J196" s="36"/>
    </row>
    <row r="197" spans="1:10" x14ac:dyDescent="0.35">
      <c r="A197" s="36" t="s">
        <v>389</v>
      </c>
      <c r="B197" s="35">
        <v>45879</v>
      </c>
      <c r="C197" s="36" t="s">
        <v>238</v>
      </c>
      <c r="D197" s="36" t="s">
        <v>239</v>
      </c>
      <c r="E197" s="36" t="s">
        <v>29</v>
      </c>
      <c r="F197" s="36" t="s">
        <v>30</v>
      </c>
      <c r="G197" s="36" t="s">
        <v>31</v>
      </c>
      <c r="H197" s="36" t="s">
        <v>32</v>
      </c>
      <c r="I197" s="37">
        <v>9</v>
      </c>
      <c r="J197" s="36"/>
    </row>
    <row r="198" spans="1:10" x14ac:dyDescent="0.35">
      <c r="A198" s="36" t="s">
        <v>390</v>
      </c>
      <c r="B198" s="35">
        <v>45880</v>
      </c>
      <c r="C198" s="36" t="s">
        <v>238</v>
      </c>
      <c r="D198" s="36" t="s">
        <v>239</v>
      </c>
      <c r="E198" s="36" t="s">
        <v>61</v>
      </c>
      <c r="F198" s="36" t="s">
        <v>62</v>
      </c>
      <c r="G198" s="36" t="s">
        <v>53</v>
      </c>
      <c r="H198" s="36" t="s">
        <v>42</v>
      </c>
      <c r="I198" s="37">
        <v>7</v>
      </c>
      <c r="J198" s="36"/>
    </row>
    <row r="199" spans="1:10" x14ac:dyDescent="0.35">
      <c r="A199" s="36" t="s">
        <v>391</v>
      </c>
      <c r="B199" s="35">
        <v>45880</v>
      </c>
      <c r="C199" s="36" t="s">
        <v>238</v>
      </c>
      <c r="D199" s="36" t="s">
        <v>239</v>
      </c>
      <c r="E199" s="36" t="s">
        <v>64</v>
      </c>
      <c r="F199" s="36" t="s">
        <v>65</v>
      </c>
      <c r="G199" s="36" t="s">
        <v>66</v>
      </c>
      <c r="H199" s="36" t="s">
        <v>42</v>
      </c>
      <c r="I199" s="37">
        <v>5</v>
      </c>
      <c r="J199" s="36"/>
    </row>
    <row r="200" spans="1:10" x14ac:dyDescent="0.35">
      <c r="A200" s="36" t="s">
        <v>392</v>
      </c>
      <c r="B200" s="35">
        <v>45880</v>
      </c>
      <c r="C200" s="36" t="s">
        <v>238</v>
      </c>
      <c r="D200" s="36" t="s">
        <v>239</v>
      </c>
      <c r="E200" s="36" t="s">
        <v>40</v>
      </c>
      <c r="F200" s="36" t="s">
        <v>41</v>
      </c>
      <c r="G200" s="36" t="s">
        <v>31</v>
      </c>
      <c r="H200" s="36" t="s">
        <v>42</v>
      </c>
      <c r="I200" s="37">
        <v>9</v>
      </c>
      <c r="J200" s="36"/>
    </row>
    <row r="201" spans="1:10" x14ac:dyDescent="0.35">
      <c r="A201" s="36" t="s">
        <v>393</v>
      </c>
      <c r="B201" s="35">
        <v>45880</v>
      </c>
      <c r="C201" s="36" t="s">
        <v>238</v>
      </c>
      <c r="D201" s="36" t="s">
        <v>239</v>
      </c>
      <c r="E201" s="36" t="s">
        <v>72</v>
      </c>
      <c r="F201" s="36" t="s">
        <v>73</v>
      </c>
      <c r="G201" s="36" t="s">
        <v>74</v>
      </c>
      <c r="H201" s="36" t="s">
        <v>75</v>
      </c>
      <c r="I201" s="37">
        <v>4</v>
      </c>
      <c r="J201" s="36"/>
    </row>
    <row r="202" spans="1:10" x14ac:dyDescent="0.35">
      <c r="A202" s="36" t="s">
        <v>394</v>
      </c>
      <c r="B202" s="35">
        <v>45880</v>
      </c>
      <c r="C202" s="36" t="s">
        <v>238</v>
      </c>
      <c r="D202" s="36" t="s">
        <v>239</v>
      </c>
      <c r="E202" s="36" t="s">
        <v>37</v>
      </c>
      <c r="F202" s="36" t="s">
        <v>38</v>
      </c>
      <c r="G202" s="36" t="s">
        <v>31</v>
      </c>
      <c r="H202" s="36" t="s">
        <v>39</v>
      </c>
      <c r="I202" s="37">
        <v>10</v>
      </c>
      <c r="J202" s="36"/>
    </row>
    <row r="203" spans="1:10" x14ac:dyDescent="0.35">
      <c r="A203" s="36" t="s">
        <v>395</v>
      </c>
      <c r="B203" s="35">
        <v>45880</v>
      </c>
      <c r="C203" s="36" t="s">
        <v>298</v>
      </c>
      <c r="D203" s="36" t="s">
        <v>299</v>
      </c>
      <c r="E203" s="36" t="s">
        <v>138</v>
      </c>
      <c r="F203" s="36" t="s">
        <v>139</v>
      </c>
      <c r="G203" s="36" t="s">
        <v>6</v>
      </c>
      <c r="H203" s="36" t="s">
        <v>140</v>
      </c>
      <c r="I203" s="37">
        <v>4</v>
      </c>
      <c r="J203" s="36"/>
    </row>
    <row r="204" spans="1:10" x14ac:dyDescent="0.35">
      <c r="A204" s="36" t="s">
        <v>396</v>
      </c>
      <c r="B204" s="35">
        <v>45880</v>
      </c>
      <c r="C204" s="36" t="s">
        <v>298</v>
      </c>
      <c r="D204" s="36" t="s">
        <v>299</v>
      </c>
      <c r="E204" s="36" t="s">
        <v>51</v>
      </c>
      <c r="F204" s="36" t="s">
        <v>52</v>
      </c>
      <c r="G204" s="36" t="s">
        <v>53</v>
      </c>
      <c r="H204" s="36" t="s">
        <v>42</v>
      </c>
      <c r="I204" s="37">
        <v>6</v>
      </c>
      <c r="J204" s="36"/>
    </row>
    <row r="205" spans="1:10" x14ac:dyDescent="0.35">
      <c r="A205" s="36" t="s">
        <v>397</v>
      </c>
      <c r="B205" s="35">
        <v>45880</v>
      </c>
      <c r="C205" s="36" t="s">
        <v>298</v>
      </c>
      <c r="D205" s="36" t="s">
        <v>299</v>
      </c>
      <c r="E205" s="36" t="s">
        <v>146</v>
      </c>
      <c r="F205" s="36" t="s">
        <v>147</v>
      </c>
      <c r="G205" s="36" t="s">
        <v>8</v>
      </c>
      <c r="H205" s="36" t="s">
        <v>148</v>
      </c>
      <c r="I205" s="37">
        <v>1</v>
      </c>
      <c r="J205" s="36"/>
    </row>
    <row r="206" spans="1:10" x14ac:dyDescent="0.35">
      <c r="A206" s="36" t="s">
        <v>398</v>
      </c>
      <c r="B206" s="35">
        <v>45880</v>
      </c>
      <c r="C206" s="36" t="s">
        <v>298</v>
      </c>
      <c r="D206" s="36" t="s">
        <v>299</v>
      </c>
      <c r="E206" s="36" t="s">
        <v>34</v>
      </c>
      <c r="F206" s="36" t="s">
        <v>35</v>
      </c>
      <c r="G206" s="36" t="s">
        <v>31</v>
      </c>
      <c r="H206" s="36" t="s">
        <v>36</v>
      </c>
      <c r="I206" s="37">
        <v>6</v>
      </c>
      <c r="J206" s="36"/>
    </row>
    <row r="207" spans="1:10" x14ac:dyDescent="0.35">
      <c r="A207" s="36" t="s">
        <v>399</v>
      </c>
      <c r="B207" s="35">
        <v>45880</v>
      </c>
      <c r="C207" s="36" t="s">
        <v>298</v>
      </c>
      <c r="D207" s="36" t="s">
        <v>299</v>
      </c>
      <c r="E207" s="36" t="s">
        <v>72</v>
      </c>
      <c r="F207" s="36" t="s">
        <v>73</v>
      </c>
      <c r="G207" s="36" t="s">
        <v>74</v>
      </c>
      <c r="H207" s="36" t="s">
        <v>75</v>
      </c>
      <c r="I207" s="37">
        <v>4</v>
      </c>
      <c r="J207" s="36"/>
    </row>
    <row r="208" spans="1:10" x14ac:dyDescent="0.35">
      <c r="A208" s="36" t="s">
        <v>400</v>
      </c>
      <c r="B208" s="35">
        <v>45880</v>
      </c>
      <c r="C208" s="36" t="s">
        <v>298</v>
      </c>
      <c r="D208" s="36" t="s">
        <v>299</v>
      </c>
      <c r="E208" s="36" t="s">
        <v>94</v>
      </c>
      <c r="F208" s="36" t="s">
        <v>95</v>
      </c>
      <c r="G208" s="36" t="s">
        <v>93</v>
      </c>
      <c r="H208" s="36" t="s">
        <v>96</v>
      </c>
      <c r="I208" s="37">
        <v>4</v>
      </c>
      <c r="J208" s="36"/>
    </row>
    <row r="209" spans="1:10" x14ac:dyDescent="0.35">
      <c r="A209" s="36" t="s">
        <v>401</v>
      </c>
      <c r="B209" s="35">
        <v>45880</v>
      </c>
      <c r="C209" s="36" t="s">
        <v>298</v>
      </c>
      <c r="D209" s="36" t="s">
        <v>299</v>
      </c>
      <c r="E209" s="36" t="s">
        <v>135</v>
      </c>
      <c r="F209" s="36" t="s">
        <v>5</v>
      </c>
      <c r="G209" s="36" t="s">
        <v>6</v>
      </c>
      <c r="H209" s="36" t="s">
        <v>136</v>
      </c>
      <c r="I209" s="37">
        <v>3</v>
      </c>
      <c r="J209" s="36"/>
    </row>
    <row r="210" spans="1:10" x14ac:dyDescent="0.35">
      <c r="A210" s="36" t="s">
        <v>402</v>
      </c>
      <c r="B210" s="35">
        <v>45880</v>
      </c>
      <c r="C210" s="36" t="s">
        <v>298</v>
      </c>
      <c r="D210" s="36" t="s">
        <v>299</v>
      </c>
      <c r="E210" s="36" t="s">
        <v>109</v>
      </c>
      <c r="F210" s="36" t="s">
        <v>110</v>
      </c>
      <c r="G210" s="36" t="s">
        <v>102</v>
      </c>
      <c r="H210" s="36" t="s">
        <v>42</v>
      </c>
      <c r="I210" s="37">
        <v>4</v>
      </c>
      <c r="J210" s="36"/>
    </row>
    <row r="211" spans="1:10" x14ac:dyDescent="0.35">
      <c r="A211" s="36" t="s">
        <v>403</v>
      </c>
      <c r="B211" s="35">
        <v>45880</v>
      </c>
      <c r="C211" s="36" t="s">
        <v>298</v>
      </c>
      <c r="D211" s="36" t="s">
        <v>299</v>
      </c>
      <c r="E211" s="36" t="s">
        <v>61</v>
      </c>
      <c r="F211" s="36" t="s">
        <v>62</v>
      </c>
      <c r="G211" s="36" t="s">
        <v>53</v>
      </c>
      <c r="H211" s="36" t="s">
        <v>42</v>
      </c>
      <c r="I211" s="37">
        <v>5</v>
      </c>
      <c r="J211" s="36"/>
    </row>
    <row r="212" spans="1:10" x14ac:dyDescent="0.35">
      <c r="A212" s="36" t="s">
        <v>404</v>
      </c>
      <c r="B212" s="35">
        <v>45885</v>
      </c>
      <c r="C212" s="36" t="s">
        <v>298</v>
      </c>
      <c r="D212" s="36" t="s">
        <v>299</v>
      </c>
      <c r="E212" s="36" t="s">
        <v>67</v>
      </c>
      <c r="F212" s="36" t="s">
        <v>68</v>
      </c>
      <c r="G212" s="36" t="s">
        <v>66</v>
      </c>
      <c r="H212" s="36" t="s">
        <v>42</v>
      </c>
      <c r="I212" s="37">
        <v>2</v>
      </c>
      <c r="J212" s="36"/>
    </row>
    <row r="213" spans="1:10" x14ac:dyDescent="0.35">
      <c r="A213" s="36" t="s">
        <v>405</v>
      </c>
      <c r="B213" s="35">
        <v>45885</v>
      </c>
      <c r="C213" s="36" t="s">
        <v>298</v>
      </c>
      <c r="D213" s="36" t="s">
        <v>299</v>
      </c>
      <c r="E213" s="36" t="s">
        <v>111</v>
      </c>
      <c r="F213" s="36" t="s">
        <v>112</v>
      </c>
      <c r="G213" s="36" t="s">
        <v>102</v>
      </c>
      <c r="H213" s="36" t="s">
        <v>113</v>
      </c>
      <c r="I213" s="37">
        <v>7</v>
      </c>
      <c r="J213" s="36"/>
    </row>
    <row r="214" spans="1:10" x14ac:dyDescent="0.35">
      <c r="A214" s="36" t="s">
        <v>406</v>
      </c>
      <c r="B214" s="35">
        <v>45885</v>
      </c>
      <c r="C214" s="36" t="s">
        <v>298</v>
      </c>
      <c r="D214" s="36" t="s">
        <v>299</v>
      </c>
      <c r="E214" s="36" t="s">
        <v>83</v>
      </c>
      <c r="F214" s="36" t="s">
        <v>84</v>
      </c>
      <c r="G214" s="36" t="s">
        <v>74</v>
      </c>
      <c r="H214" s="36" t="s">
        <v>85</v>
      </c>
      <c r="I214" s="37">
        <v>4</v>
      </c>
      <c r="J214" s="36"/>
    </row>
    <row r="215" spans="1:10" x14ac:dyDescent="0.35">
      <c r="A215" s="36" t="s">
        <v>407</v>
      </c>
      <c r="B215" s="35">
        <v>45885</v>
      </c>
      <c r="C215" s="36" t="s">
        <v>298</v>
      </c>
      <c r="D215" s="36" t="s">
        <v>299</v>
      </c>
      <c r="E215" s="36" t="s">
        <v>146</v>
      </c>
      <c r="F215" s="36" t="s">
        <v>147</v>
      </c>
      <c r="G215" s="36" t="s">
        <v>8</v>
      </c>
      <c r="H215" s="36" t="s">
        <v>148</v>
      </c>
      <c r="I215" s="37">
        <v>3</v>
      </c>
      <c r="J215" s="36"/>
    </row>
    <row r="216" spans="1:10" x14ac:dyDescent="0.35">
      <c r="A216" s="36" t="s">
        <v>408</v>
      </c>
      <c r="B216" s="35">
        <v>45885</v>
      </c>
      <c r="C216" s="36" t="s">
        <v>298</v>
      </c>
      <c r="D216" s="36" t="s">
        <v>299</v>
      </c>
      <c r="E216" s="36" t="s">
        <v>137</v>
      </c>
      <c r="F216" s="36" t="s">
        <v>15</v>
      </c>
      <c r="G216" s="36" t="s">
        <v>6</v>
      </c>
      <c r="H216" s="36" t="s">
        <v>136</v>
      </c>
      <c r="I216" s="37">
        <v>3</v>
      </c>
      <c r="J216" s="36"/>
    </row>
    <row r="217" spans="1:10" x14ac:dyDescent="0.35">
      <c r="A217" s="36" t="s">
        <v>409</v>
      </c>
      <c r="B217" s="35">
        <v>45885</v>
      </c>
      <c r="C217" s="36" t="s">
        <v>298</v>
      </c>
      <c r="D217" s="36" t="s">
        <v>299</v>
      </c>
      <c r="E217" s="36" t="s">
        <v>100</v>
      </c>
      <c r="F217" s="36" t="s">
        <v>101</v>
      </c>
      <c r="G217" s="36" t="s">
        <v>102</v>
      </c>
      <c r="H217" s="36" t="s">
        <v>103</v>
      </c>
      <c r="I217" s="37">
        <v>5</v>
      </c>
      <c r="J217" s="36"/>
    </row>
    <row r="218" spans="1:10" x14ac:dyDescent="0.35">
      <c r="A218" s="36" t="s">
        <v>410</v>
      </c>
      <c r="B218" s="35">
        <v>45885</v>
      </c>
      <c r="C218" s="36" t="s">
        <v>298</v>
      </c>
      <c r="D218" s="36" t="s">
        <v>299</v>
      </c>
      <c r="E218" s="36" t="s">
        <v>132</v>
      </c>
      <c r="F218" s="36" t="s">
        <v>133</v>
      </c>
      <c r="G218" s="36" t="s">
        <v>10</v>
      </c>
      <c r="H218" s="36" t="s">
        <v>134</v>
      </c>
      <c r="I218" s="37">
        <v>2</v>
      </c>
      <c r="J218" s="36"/>
    </row>
    <row r="219" spans="1:10" x14ac:dyDescent="0.35">
      <c r="A219" s="36" t="s">
        <v>411</v>
      </c>
      <c r="B219" s="35">
        <v>45885</v>
      </c>
      <c r="C219" s="36" t="s">
        <v>298</v>
      </c>
      <c r="D219" s="36" t="s">
        <v>299</v>
      </c>
      <c r="E219" s="36" t="s">
        <v>48</v>
      </c>
      <c r="F219" s="36" t="s">
        <v>49</v>
      </c>
      <c r="G219" s="36" t="s">
        <v>31</v>
      </c>
      <c r="H219" s="36" t="s">
        <v>50</v>
      </c>
      <c r="I219" s="37">
        <v>6</v>
      </c>
      <c r="J219" s="36"/>
    </row>
    <row r="220" spans="1:10" x14ac:dyDescent="0.35">
      <c r="A220" s="36" t="s">
        <v>412</v>
      </c>
      <c r="B220" s="35">
        <v>45885</v>
      </c>
      <c r="C220" s="36" t="s">
        <v>238</v>
      </c>
      <c r="D220" s="36" t="s">
        <v>239</v>
      </c>
      <c r="E220" s="36" t="s">
        <v>43</v>
      </c>
      <c r="F220" s="36" t="s">
        <v>44</v>
      </c>
      <c r="G220" s="36" t="s">
        <v>31</v>
      </c>
      <c r="H220" s="36" t="s">
        <v>42</v>
      </c>
      <c r="I220" s="37">
        <v>8</v>
      </c>
      <c r="J220" s="36"/>
    </row>
    <row r="221" spans="1:10" x14ac:dyDescent="0.35">
      <c r="A221" s="36" t="s">
        <v>413</v>
      </c>
      <c r="B221" s="35">
        <v>45885</v>
      </c>
      <c r="C221" s="36" t="s">
        <v>238</v>
      </c>
      <c r="D221" s="36" t="s">
        <v>239</v>
      </c>
      <c r="E221" s="36" t="s">
        <v>88</v>
      </c>
      <c r="F221" s="36" t="s">
        <v>89</v>
      </c>
      <c r="G221" s="36" t="s">
        <v>74</v>
      </c>
      <c r="H221" s="36" t="s">
        <v>90</v>
      </c>
      <c r="I221" s="37">
        <v>4</v>
      </c>
      <c r="J221" s="36"/>
    </row>
    <row r="222" spans="1:10" x14ac:dyDescent="0.35">
      <c r="A222" s="36" t="s">
        <v>414</v>
      </c>
      <c r="B222" s="35">
        <v>45885</v>
      </c>
      <c r="C222" s="36" t="s">
        <v>238</v>
      </c>
      <c r="D222" s="36" t="s">
        <v>239</v>
      </c>
      <c r="E222" s="36" t="s">
        <v>78</v>
      </c>
      <c r="F222" s="36" t="s">
        <v>79</v>
      </c>
      <c r="G222" s="36" t="s">
        <v>74</v>
      </c>
      <c r="H222" s="36" t="s">
        <v>80</v>
      </c>
      <c r="I222" s="37">
        <v>3</v>
      </c>
      <c r="J222" s="36"/>
    </row>
    <row r="223" spans="1:10" x14ac:dyDescent="0.35">
      <c r="A223" s="36" t="s">
        <v>415</v>
      </c>
      <c r="B223" s="35">
        <v>45885</v>
      </c>
      <c r="C223" s="36" t="s">
        <v>238</v>
      </c>
      <c r="D223" s="36" t="s">
        <v>239</v>
      </c>
      <c r="E223" s="36" t="s">
        <v>138</v>
      </c>
      <c r="F223" s="36" t="s">
        <v>139</v>
      </c>
      <c r="G223" s="36" t="s">
        <v>6</v>
      </c>
      <c r="H223" s="36" t="s">
        <v>140</v>
      </c>
      <c r="I223" s="37">
        <v>7</v>
      </c>
      <c r="J223" s="36"/>
    </row>
    <row r="224" spans="1:10" x14ac:dyDescent="0.35">
      <c r="A224" s="36" t="s">
        <v>416</v>
      </c>
      <c r="B224" s="35">
        <v>45885</v>
      </c>
      <c r="C224" s="36" t="s">
        <v>238</v>
      </c>
      <c r="D224" s="36" t="s">
        <v>239</v>
      </c>
      <c r="E224" s="36" t="s">
        <v>86</v>
      </c>
      <c r="F224" s="36" t="s">
        <v>87</v>
      </c>
      <c r="G224" s="36" t="s">
        <v>74</v>
      </c>
      <c r="H224" s="36" t="s">
        <v>75</v>
      </c>
      <c r="I224" s="37">
        <v>6</v>
      </c>
      <c r="J224" s="36"/>
    </row>
    <row r="225" spans="1:10" x14ac:dyDescent="0.35">
      <c r="A225" s="36" t="s">
        <v>417</v>
      </c>
      <c r="B225" s="35">
        <v>45885</v>
      </c>
      <c r="C225" s="36" t="s">
        <v>238</v>
      </c>
      <c r="D225" s="36" t="s">
        <v>239</v>
      </c>
      <c r="E225" s="36" t="s">
        <v>156</v>
      </c>
      <c r="F225" s="36" t="s">
        <v>11</v>
      </c>
      <c r="G225" s="36" t="s">
        <v>12</v>
      </c>
      <c r="H225" s="36" t="s">
        <v>155</v>
      </c>
      <c r="I225" s="37">
        <v>2</v>
      </c>
      <c r="J225" s="36"/>
    </row>
    <row r="226" spans="1:10" x14ac:dyDescent="0.35">
      <c r="A226" s="36" t="s">
        <v>418</v>
      </c>
      <c r="B226" s="35">
        <v>45885</v>
      </c>
      <c r="C226" s="36" t="s">
        <v>238</v>
      </c>
      <c r="D226" s="36" t="s">
        <v>239</v>
      </c>
      <c r="E226" s="36" t="s">
        <v>76</v>
      </c>
      <c r="F226" s="36" t="s">
        <v>77</v>
      </c>
      <c r="G226" s="36" t="s">
        <v>74</v>
      </c>
      <c r="H226" s="36" t="s">
        <v>75</v>
      </c>
      <c r="I226" s="37">
        <v>4</v>
      </c>
      <c r="J226" s="36"/>
    </row>
    <row r="227" spans="1:10" x14ac:dyDescent="0.35">
      <c r="A227" s="36" t="s">
        <v>419</v>
      </c>
      <c r="B227" s="35">
        <v>45885</v>
      </c>
      <c r="C227" s="36" t="s">
        <v>238</v>
      </c>
      <c r="D227" s="36" t="s">
        <v>239</v>
      </c>
      <c r="E227" s="36" t="s">
        <v>141</v>
      </c>
      <c r="F227" s="36" t="s">
        <v>142</v>
      </c>
      <c r="G227" s="36" t="s">
        <v>8</v>
      </c>
      <c r="H227" s="36" t="s">
        <v>143</v>
      </c>
      <c r="I227" s="37">
        <v>2</v>
      </c>
      <c r="J227" s="36"/>
    </row>
    <row r="228" spans="1:10" x14ac:dyDescent="0.35">
      <c r="A228" s="36" t="s">
        <v>420</v>
      </c>
      <c r="B228" s="35">
        <v>45885</v>
      </c>
      <c r="C228" s="36" t="s">
        <v>238</v>
      </c>
      <c r="D228" s="36" t="s">
        <v>239</v>
      </c>
      <c r="E228" s="36" t="s">
        <v>144</v>
      </c>
      <c r="F228" s="36" t="s">
        <v>7</v>
      </c>
      <c r="G228" s="36" t="s">
        <v>8</v>
      </c>
      <c r="H228" s="36" t="s">
        <v>145</v>
      </c>
      <c r="I228" s="37">
        <v>1</v>
      </c>
      <c r="J228" s="36"/>
    </row>
    <row r="229" spans="1:10" x14ac:dyDescent="0.35">
      <c r="A229" s="36" t="s">
        <v>421</v>
      </c>
      <c r="B229" s="35">
        <v>45885</v>
      </c>
      <c r="C229" s="36" t="s">
        <v>238</v>
      </c>
      <c r="D229" s="36" t="s">
        <v>239</v>
      </c>
      <c r="E229" s="36" t="s">
        <v>83</v>
      </c>
      <c r="F229" s="36" t="s">
        <v>84</v>
      </c>
      <c r="G229" s="36" t="s">
        <v>74</v>
      </c>
      <c r="H229" s="36" t="s">
        <v>85</v>
      </c>
      <c r="I229" s="37">
        <v>5</v>
      </c>
      <c r="J229" s="36"/>
    </row>
    <row r="230" spans="1:10" x14ac:dyDescent="0.35">
      <c r="A230" s="36" t="s">
        <v>422</v>
      </c>
      <c r="B230" s="35">
        <v>45885</v>
      </c>
      <c r="C230" s="36" t="s">
        <v>238</v>
      </c>
      <c r="D230" s="36" t="s">
        <v>239</v>
      </c>
      <c r="E230" s="36" t="s">
        <v>64</v>
      </c>
      <c r="F230" s="36" t="s">
        <v>65</v>
      </c>
      <c r="G230" s="36" t="s">
        <v>66</v>
      </c>
      <c r="H230" s="36" t="s">
        <v>42</v>
      </c>
      <c r="I230" s="37">
        <v>3</v>
      </c>
      <c r="J230" s="36"/>
    </row>
    <row r="231" spans="1:10" x14ac:dyDescent="0.35">
      <c r="A231" s="36" t="s">
        <v>423</v>
      </c>
      <c r="B231" s="35">
        <v>45885</v>
      </c>
      <c r="C231" s="36" t="s">
        <v>238</v>
      </c>
      <c r="D231" s="36" t="s">
        <v>239</v>
      </c>
      <c r="E231" s="36" t="s">
        <v>57</v>
      </c>
      <c r="F231" s="36" t="s">
        <v>58</v>
      </c>
      <c r="G231" s="36" t="s">
        <v>53</v>
      </c>
      <c r="H231" s="36" t="s">
        <v>42</v>
      </c>
      <c r="I231" s="37">
        <v>10</v>
      </c>
      <c r="J231" s="36"/>
    </row>
    <row r="232" spans="1:10" x14ac:dyDescent="0.35">
      <c r="A232" s="36" t="s">
        <v>424</v>
      </c>
      <c r="B232" s="35">
        <v>45885</v>
      </c>
      <c r="C232" s="36" t="s">
        <v>190</v>
      </c>
      <c r="D232" s="36" t="s">
        <v>191</v>
      </c>
      <c r="E232" s="36" t="s">
        <v>88</v>
      </c>
      <c r="F232" s="36" t="s">
        <v>89</v>
      </c>
      <c r="G232" s="36" t="s">
        <v>74</v>
      </c>
      <c r="H232" s="36" t="s">
        <v>90</v>
      </c>
      <c r="I232" s="37">
        <v>19</v>
      </c>
      <c r="J232" s="36"/>
    </row>
    <row r="233" spans="1:10" x14ac:dyDescent="0.35">
      <c r="A233" s="36" t="s">
        <v>425</v>
      </c>
      <c r="B233" s="35">
        <v>45885</v>
      </c>
      <c r="C233" s="36" t="s">
        <v>190</v>
      </c>
      <c r="D233" s="36" t="s">
        <v>191</v>
      </c>
      <c r="E233" s="36" t="s">
        <v>153</v>
      </c>
      <c r="F233" s="36" t="s">
        <v>154</v>
      </c>
      <c r="G233" s="36" t="s">
        <v>12</v>
      </c>
      <c r="H233" s="36" t="s">
        <v>155</v>
      </c>
      <c r="I233" s="37">
        <v>7</v>
      </c>
      <c r="J233" s="36"/>
    </row>
    <row r="234" spans="1:10" x14ac:dyDescent="0.35">
      <c r="A234" s="36" t="s">
        <v>426</v>
      </c>
      <c r="B234" s="35">
        <v>45885</v>
      </c>
      <c r="C234" s="36" t="s">
        <v>190</v>
      </c>
      <c r="D234" s="36" t="s">
        <v>191</v>
      </c>
      <c r="E234" s="36" t="s">
        <v>151</v>
      </c>
      <c r="F234" s="36" t="s">
        <v>152</v>
      </c>
      <c r="G234" s="36" t="s">
        <v>8</v>
      </c>
      <c r="H234" s="36" t="s">
        <v>143</v>
      </c>
      <c r="I234" s="37">
        <v>9</v>
      </c>
      <c r="J234" s="36"/>
    </row>
    <row r="235" spans="1:10" x14ac:dyDescent="0.35">
      <c r="A235" s="36" t="s">
        <v>427</v>
      </c>
      <c r="B235" s="35">
        <v>45885</v>
      </c>
      <c r="C235" s="36" t="s">
        <v>190</v>
      </c>
      <c r="D235" s="36" t="s">
        <v>191</v>
      </c>
      <c r="E235" s="36" t="s">
        <v>69</v>
      </c>
      <c r="F235" s="36" t="s">
        <v>70</v>
      </c>
      <c r="G235" s="36" t="s">
        <v>66</v>
      </c>
      <c r="H235" s="36" t="s">
        <v>71</v>
      </c>
      <c r="I235" s="37">
        <v>16</v>
      </c>
      <c r="J235" s="36"/>
    </row>
    <row r="236" spans="1:10" x14ac:dyDescent="0.35">
      <c r="A236" s="36" t="s">
        <v>428</v>
      </c>
      <c r="B236" s="35">
        <v>45885</v>
      </c>
      <c r="C236" s="36" t="s">
        <v>190</v>
      </c>
      <c r="D236" s="36" t="s">
        <v>191</v>
      </c>
      <c r="E236" s="36" t="s">
        <v>146</v>
      </c>
      <c r="F236" s="36" t="s">
        <v>147</v>
      </c>
      <c r="G236" s="36" t="s">
        <v>8</v>
      </c>
      <c r="H236" s="36" t="s">
        <v>148</v>
      </c>
      <c r="I236" s="37">
        <v>11</v>
      </c>
      <c r="J236" s="36"/>
    </row>
    <row r="237" spans="1:10" x14ac:dyDescent="0.35">
      <c r="A237" s="36" t="s">
        <v>429</v>
      </c>
      <c r="B237" s="35">
        <v>45885</v>
      </c>
      <c r="C237" s="36" t="s">
        <v>190</v>
      </c>
      <c r="D237" s="36" t="s">
        <v>191</v>
      </c>
      <c r="E237" s="36" t="s">
        <v>125</v>
      </c>
      <c r="F237" s="36" t="s">
        <v>126</v>
      </c>
      <c r="G237" s="36" t="s">
        <v>14</v>
      </c>
      <c r="H237" s="36" t="s">
        <v>127</v>
      </c>
      <c r="I237" s="37">
        <v>5</v>
      </c>
      <c r="J237" s="36"/>
    </row>
    <row r="238" spans="1:10" x14ac:dyDescent="0.35">
      <c r="A238" s="36" t="s">
        <v>430</v>
      </c>
      <c r="B238" s="35">
        <v>45885</v>
      </c>
      <c r="C238" s="36" t="s">
        <v>190</v>
      </c>
      <c r="D238" s="36" t="s">
        <v>191</v>
      </c>
      <c r="E238" s="36" t="s">
        <v>138</v>
      </c>
      <c r="F238" s="36" t="s">
        <v>139</v>
      </c>
      <c r="G238" s="36" t="s">
        <v>6</v>
      </c>
      <c r="H238" s="36" t="s">
        <v>140</v>
      </c>
      <c r="I238" s="37">
        <v>9</v>
      </c>
      <c r="J238" s="36"/>
    </row>
    <row r="239" spans="1:10" x14ac:dyDescent="0.35">
      <c r="A239" s="36" t="s">
        <v>431</v>
      </c>
      <c r="B239" s="35">
        <v>45885</v>
      </c>
      <c r="C239" s="36" t="s">
        <v>190</v>
      </c>
      <c r="D239" s="36" t="s">
        <v>191</v>
      </c>
      <c r="E239" s="36" t="s">
        <v>114</v>
      </c>
      <c r="F239" s="36" t="s">
        <v>13</v>
      </c>
      <c r="G239" s="36" t="s">
        <v>14</v>
      </c>
      <c r="H239" s="36" t="s">
        <v>115</v>
      </c>
      <c r="I239" s="37">
        <v>2</v>
      </c>
      <c r="J239" s="36"/>
    </row>
    <row r="240" spans="1:10" x14ac:dyDescent="0.35">
      <c r="A240" s="36" t="s">
        <v>432</v>
      </c>
      <c r="B240" s="35">
        <v>45885</v>
      </c>
      <c r="C240" s="36" t="s">
        <v>298</v>
      </c>
      <c r="D240" s="36" t="s">
        <v>299</v>
      </c>
      <c r="E240" s="36" t="s">
        <v>156</v>
      </c>
      <c r="F240" s="36" t="s">
        <v>11</v>
      </c>
      <c r="G240" s="36" t="s">
        <v>12</v>
      </c>
      <c r="H240" s="36" t="s">
        <v>155</v>
      </c>
      <c r="I240" s="37">
        <v>2</v>
      </c>
      <c r="J240" s="36"/>
    </row>
    <row r="241" spans="1:10" x14ac:dyDescent="0.35">
      <c r="A241" s="36" t="s">
        <v>433</v>
      </c>
      <c r="B241" s="35">
        <v>45885</v>
      </c>
      <c r="C241" s="36" t="s">
        <v>298</v>
      </c>
      <c r="D241" s="36" t="s">
        <v>299</v>
      </c>
      <c r="E241" s="36" t="s">
        <v>76</v>
      </c>
      <c r="F241" s="36" t="s">
        <v>77</v>
      </c>
      <c r="G241" s="36" t="s">
        <v>74</v>
      </c>
      <c r="H241" s="36" t="s">
        <v>75</v>
      </c>
      <c r="I241" s="37">
        <v>2</v>
      </c>
      <c r="J241" s="36"/>
    </row>
    <row r="242" spans="1:10" x14ac:dyDescent="0.35">
      <c r="A242" s="36" t="s">
        <v>434</v>
      </c>
      <c r="B242" s="35">
        <v>45885</v>
      </c>
      <c r="C242" s="36" t="s">
        <v>298</v>
      </c>
      <c r="D242" s="36" t="s">
        <v>299</v>
      </c>
      <c r="E242" s="36" t="s">
        <v>153</v>
      </c>
      <c r="F242" s="36" t="s">
        <v>154</v>
      </c>
      <c r="G242" s="36" t="s">
        <v>12</v>
      </c>
      <c r="H242" s="36" t="s">
        <v>155</v>
      </c>
      <c r="I242" s="37">
        <v>1</v>
      </c>
      <c r="J242" s="36"/>
    </row>
    <row r="243" spans="1:10" x14ac:dyDescent="0.35">
      <c r="A243" s="36" t="s">
        <v>435</v>
      </c>
      <c r="B243" s="35">
        <v>45885</v>
      </c>
      <c r="C243" s="36" t="s">
        <v>298</v>
      </c>
      <c r="D243" s="36" t="s">
        <v>299</v>
      </c>
      <c r="E243" s="36" t="s">
        <v>128</v>
      </c>
      <c r="F243" s="36" t="s">
        <v>9</v>
      </c>
      <c r="G243" s="36" t="s">
        <v>10</v>
      </c>
      <c r="H243" s="36" t="s">
        <v>129</v>
      </c>
      <c r="I243" s="37">
        <v>3</v>
      </c>
      <c r="J243" s="36"/>
    </row>
    <row r="244" spans="1:10" x14ac:dyDescent="0.35">
      <c r="A244" s="36" t="s">
        <v>436</v>
      </c>
      <c r="B244" s="35">
        <v>45885</v>
      </c>
      <c r="C244" s="36" t="s">
        <v>298</v>
      </c>
      <c r="D244" s="36" t="s">
        <v>299</v>
      </c>
      <c r="E244" s="36" t="s">
        <v>61</v>
      </c>
      <c r="F244" s="36" t="s">
        <v>62</v>
      </c>
      <c r="G244" s="36" t="s">
        <v>53</v>
      </c>
      <c r="H244" s="36" t="s">
        <v>42</v>
      </c>
      <c r="I244" s="37">
        <v>7</v>
      </c>
      <c r="J244" s="36"/>
    </row>
    <row r="245" spans="1:10" x14ac:dyDescent="0.35">
      <c r="A245" s="36" t="s">
        <v>437</v>
      </c>
      <c r="B245" s="35">
        <v>45885</v>
      </c>
      <c r="C245" s="36" t="s">
        <v>298</v>
      </c>
      <c r="D245" s="36" t="s">
        <v>299</v>
      </c>
      <c r="E245" s="36" t="s">
        <v>146</v>
      </c>
      <c r="F245" s="36" t="s">
        <v>147</v>
      </c>
      <c r="G245" s="36" t="s">
        <v>8</v>
      </c>
      <c r="H245" s="36" t="s">
        <v>148</v>
      </c>
      <c r="I245" s="37">
        <v>3</v>
      </c>
      <c r="J245" s="36"/>
    </row>
    <row r="246" spans="1:10" x14ac:dyDescent="0.35">
      <c r="A246" s="36" t="s">
        <v>438</v>
      </c>
      <c r="B246" s="35">
        <v>45885</v>
      </c>
      <c r="C246" s="36" t="s">
        <v>298</v>
      </c>
      <c r="D246" s="36" t="s">
        <v>299</v>
      </c>
      <c r="E246" s="36" t="s">
        <v>88</v>
      </c>
      <c r="F246" s="36" t="s">
        <v>89</v>
      </c>
      <c r="G246" s="36" t="s">
        <v>74</v>
      </c>
      <c r="H246" s="36" t="s">
        <v>90</v>
      </c>
      <c r="I246" s="37">
        <v>3</v>
      </c>
      <c r="J246" s="36"/>
    </row>
    <row r="247" spans="1:10" x14ac:dyDescent="0.35">
      <c r="A247" s="36" t="s">
        <v>439</v>
      </c>
      <c r="B247" s="35">
        <v>45886</v>
      </c>
      <c r="C247" s="36" t="s">
        <v>210</v>
      </c>
      <c r="D247" s="36" t="s">
        <v>211</v>
      </c>
      <c r="E247" s="36" t="s">
        <v>40</v>
      </c>
      <c r="F247" s="36" t="s">
        <v>41</v>
      </c>
      <c r="G247" s="36" t="s">
        <v>31</v>
      </c>
      <c r="H247" s="36" t="s">
        <v>42</v>
      </c>
      <c r="I247" s="37">
        <v>11</v>
      </c>
      <c r="J247" s="36"/>
    </row>
    <row r="248" spans="1:10" x14ac:dyDescent="0.35">
      <c r="A248" s="36" t="s">
        <v>440</v>
      </c>
      <c r="B248" s="35">
        <v>45886</v>
      </c>
      <c r="C248" s="36" t="s">
        <v>210</v>
      </c>
      <c r="D248" s="36" t="s">
        <v>211</v>
      </c>
      <c r="E248" s="36" t="s">
        <v>138</v>
      </c>
      <c r="F248" s="36" t="s">
        <v>139</v>
      </c>
      <c r="G248" s="36" t="s">
        <v>6</v>
      </c>
      <c r="H248" s="36" t="s">
        <v>140</v>
      </c>
      <c r="I248" s="37">
        <v>5</v>
      </c>
      <c r="J248" s="36"/>
    </row>
    <row r="249" spans="1:10" x14ac:dyDescent="0.35">
      <c r="A249" s="36" t="s">
        <v>441</v>
      </c>
      <c r="B249" s="35">
        <v>45886</v>
      </c>
      <c r="C249" s="36" t="s">
        <v>210</v>
      </c>
      <c r="D249" s="36" t="s">
        <v>211</v>
      </c>
      <c r="E249" s="36" t="s">
        <v>132</v>
      </c>
      <c r="F249" s="36" t="s">
        <v>133</v>
      </c>
      <c r="G249" s="36" t="s">
        <v>10</v>
      </c>
      <c r="H249" s="36" t="s">
        <v>134</v>
      </c>
      <c r="I249" s="37">
        <v>9</v>
      </c>
      <c r="J249" s="36"/>
    </row>
    <row r="250" spans="1:10" x14ac:dyDescent="0.35">
      <c r="A250" s="36" t="s">
        <v>442</v>
      </c>
      <c r="B250" s="35">
        <v>45886</v>
      </c>
      <c r="C250" s="36" t="s">
        <v>210</v>
      </c>
      <c r="D250" s="36" t="s">
        <v>211</v>
      </c>
      <c r="E250" s="36" t="s">
        <v>156</v>
      </c>
      <c r="F250" s="36" t="s">
        <v>11</v>
      </c>
      <c r="G250" s="36" t="s">
        <v>12</v>
      </c>
      <c r="H250" s="36" t="s">
        <v>155</v>
      </c>
      <c r="I250" s="37">
        <v>3</v>
      </c>
      <c r="J250" s="36"/>
    </row>
    <row r="251" spans="1:10" x14ac:dyDescent="0.35">
      <c r="A251" s="36" t="s">
        <v>443</v>
      </c>
      <c r="B251" s="35">
        <v>45886</v>
      </c>
      <c r="C251" s="36" t="s">
        <v>210</v>
      </c>
      <c r="D251" s="36" t="s">
        <v>211</v>
      </c>
      <c r="E251" s="36" t="s">
        <v>137</v>
      </c>
      <c r="F251" s="36" t="s">
        <v>15</v>
      </c>
      <c r="G251" s="36" t="s">
        <v>6</v>
      </c>
      <c r="H251" s="36" t="s">
        <v>136</v>
      </c>
      <c r="I251" s="37">
        <v>6</v>
      </c>
      <c r="J251" s="36"/>
    </row>
    <row r="252" spans="1:10" x14ac:dyDescent="0.35">
      <c r="A252" s="36" t="s">
        <v>444</v>
      </c>
      <c r="B252" s="35">
        <v>45886</v>
      </c>
      <c r="C252" s="36" t="s">
        <v>210</v>
      </c>
      <c r="D252" s="36" t="s">
        <v>211</v>
      </c>
      <c r="E252" s="36" t="s">
        <v>43</v>
      </c>
      <c r="F252" s="36" t="s">
        <v>44</v>
      </c>
      <c r="G252" s="36" t="s">
        <v>31</v>
      </c>
      <c r="H252" s="36" t="s">
        <v>42</v>
      </c>
      <c r="I252" s="37">
        <v>13</v>
      </c>
      <c r="J252" s="36"/>
    </row>
    <row r="253" spans="1:10" x14ac:dyDescent="0.35">
      <c r="A253" s="36" t="s">
        <v>445</v>
      </c>
      <c r="B253" s="35">
        <v>45886</v>
      </c>
      <c r="C253" s="36" t="s">
        <v>210</v>
      </c>
      <c r="D253" s="36" t="s">
        <v>211</v>
      </c>
      <c r="E253" s="36" t="s">
        <v>114</v>
      </c>
      <c r="F253" s="36" t="s">
        <v>13</v>
      </c>
      <c r="G253" s="36" t="s">
        <v>14</v>
      </c>
      <c r="H253" s="36" t="s">
        <v>115</v>
      </c>
      <c r="I253" s="37">
        <v>3</v>
      </c>
      <c r="J253" s="36"/>
    </row>
    <row r="254" spans="1:10" x14ac:dyDescent="0.35">
      <c r="A254" s="36" t="s">
        <v>446</v>
      </c>
      <c r="B254" s="35">
        <v>45886</v>
      </c>
      <c r="C254" s="36" t="s">
        <v>210</v>
      </c>
      <c r="D254" s="36" t="s">
        <v>211</v>
      </c>
      <c r="E254" s="36" t="s">
        <v>64</v>
      </c>
      <c r="F254" s="36" t="s">
        <v>65</v>
      </c>
      <c r="G254" s="36" t="s">
        <v>66</v>
      </c>
      <c r="H254" s="36" t="s">
        <v>42</v>
      </c>
      <c r="I254" s="37">
        <v>15</v>
      </c>
      <c r="J254" s="36"/>
    </row>
    <row r="255" spans="1:10" x14ac:dyDescent="0.35">
      <c r="A255" s="36" t="s">
        <v>447</v>
      </c>
      <c r="B255" s="35">
        <v>45886</v>
      </c>
      <c r="C255" s="36" t="s">
        <v>210</v>
      </c>
      <c r="D255" s="36" t="s">
        <v>211</v>
      </c>
      <c r="E255" s="36" t="s">
        <v>120</v>
      </c>
      <c r="F255" s="36" t="s">
        <v>121</v>
      </c>
      <c r="G255" s="36" t="s">
        <v>14</v>
      </c>
      <c r="H255" s="36" t="s">
        <v>119</v>
      </c>
      <c r="I255" s="37">
        <v>3</v>
      </c>
      <c r="J255" s="36"/>
    </row>
    <row r="256" spans="1:10" x14ac:dyDescent="0.35">
      <c r="A256" s="36" t="s">
        <v>448</v>
      </c>
      <c r="B256" s="35">
        <v>45886</v>
      </c>
      <c r="C256" s="36" t="s">
        <v>210</v>
      </c>
      <c r="D256" s="36" t="s">
        <v>211</v>
      </c>
      <c r="E256" s="36" t="s">
        <v>51</v>
      </c>
      <c r="F256" s="36" t="s">
        <v>52</v>
      </c>
      <c r="G256" s="36" t="s">
        <v>53</v>
      </c>
      <c r="H256" s="36" t="s">
        <v>42</v>
      </c>
      <c r="I256" s="37">
        <v>14</v>
      </c>
      <c r="J256" s="36"/>
    </row>
    <row r="257" spans="1:10" x14ac:dyDescent="0.35">
      <c r="A257" s="36" t="s">
        <v>449</v>
      </c>
      <c r="B257" s="35">
        <v>45886</v>
      </c>
      <c r="C257" s="36" t="s">
        <v>210</v>
      </c>
      <c r="D257" s="36" t="s">
        <v>211</v>
      </c>
      <c r="E257" s="36" t="s">
        <v>97</v>
      </c>
      <c r="F257" s="36" t="s">
        <v>98</v>
      </c>
      <c r="G257" s="36" t="s">
        <v>93</v>
      </c>
      <c r="H257" s="36" t="s">
        <v>99</v>
      </c>
      <c r="I257" s="37">
        <v>11</v>
      </c>
      <c r="J257" s="36"/>
    </row>
    <row r="258" spans="1:10" x14ac:dyDescent="0.35">
      <c r="A258" s="36" t="s">
        <v>450</v>
      </c>
      <c r="B258" s="35">
        <v>45886</v>
      </c>
      <c r="C258" s="36" t="s">
        <v>210</v>
      </c>
      <c r="D258" s="36" t="s">
        <v>211</v>
      </c>
      <c r="E258" s="36" t="s">
        <v>122</v>
      </c>
      <c r="F258" s="36" t="s">
        <v>123</v>
      </c>
      <c r="G258" s="36" t="s">
        <v>14</v>
      </c>
      <c r="H258" s="36" t="s">
        <v>124</v>
      </c>
      <c r="I258" s="37">
        <v>5</v>
      </c>
      <c r="J258" s="36"/>
    </row>
    <row r="259" spans="1:10" x14ac:dyDescent="0.35">
      <c r="A259" s="36" t="s">
        <v>451</v>
      </c>
      <c r="B259" s="35">
        <v>45886</v>
      </c>
      <c r="C259" s="36" t="s">
        <v>190</v>
      </c>
      <c r="D259" s="36" t="s">
        <v>191</v>
      </c>
      <c r="E259" s="36" t="s">
        <v>88</v>
      </c>
      <c r="F259" s="36" t="s">
        <v>89</v>
      </c>
      <c r="G259" s="36" t="s">
        <v>74</v>
      </c>
      <c r="H259" s="36" t="s">
        <v>90</v>
      </c>
      <c r="I259" s="37">
        <v>17</v>
      </c>
      <c r="J259" s="36"/>
    </row>
    <row r="260" spans="1:10" x14ac:dyDescent="0.35">
      <c r="A260" s="36" t="s">
        <v>452</v>
      </c>
      <c r="B260" s="35">
        <v>45886</v>
      </c>
      <c r="C260" s="36" t="s">
        <v>190</v>
      </c>
      <c r="D260" s="36" t="s">
        <v>191</v>
      </c>
      <c r="E260" s="36" t="s">
        <v>138</v>
      </c>
      <c r="F260" s="36" t="s">
        <v>139</v>
      </c>
      <c r="G260" s="36" t="s">
        <v>6</v>
      </c>
      <c r="H260" s="36" t="s">
        <v>140</v>
      </c>
      <c r="I260" s="37">
        <v>13</v>
      </c>
      <c r="J260" s="36"/>
    </row>
    <row r="261" spans="1:10" x14ac:dyDescent="0.35">
      <c r="A261" s="36" t="s">
        <v>453</v>
      </c>
      <c r="B261" s="35">
        <v>45886</v>
      </c>
      <c r="C261" s="36" t="s">
        <v>190</v>
      </c>
      <c r="D261" s="36" t="s">
        <v>191</v>
      </c>
      <c r="E261" s="36" t="s">
        <v>61</v>
      </c>
      <c r="F261" s="36" t="s">
        <v>62</v>
      </c>
      <c r="G261" s="36" t="s">
        <v>53</v>
      </c>
      <c r="H261" s="36" t="s">
        <v>42</v>
      </c>
      <c r="I261" s="37">
        <v>27</v>
      </c>
      <c r="J261" s="36"/>
    </row>
    <row r="262" spans="1:10" x14ac:dyDescent="0.35">
      <c r="A262" s="36" t="s">
        <v>454</v>
      </c>
      <c r="B262" s="35">
        <v>45886</v>
      </c>
      <c r="C262" s="36" t="s">
        <v>190</v>
      </c>
      <c r="D262" s="36" t="s">
        <v>191</v>
      </c>
      <c r="E262" s="36" t="s">
        <v>86</v>
      </c>
      <c r="F262" s="36" t="s">
        <v>87</v>
      </c>
      <c r="G262" s="36" t="s">
        <v>74</v>
      </c>
      <c r="H262" s="36" t="s">
        <v>75</v>
      </c>
      <c r="I262" s="37">
        <v>9</v>
      </c>
      <c r="J262" s="36"/>
    </row>
    <row r="263" spans="1:10" x14ac:dyDescent="0.35">
      <c r="A263" s="36" t="s">
        <v>455</v>
      </c>
      <c r="B263" s="35">
        <v>45886</v>
      </c>
      <c r="C263" s="36" t="s">
        <v>190</v>
      </c>
      <c r="D263" s="36" t="s">
        <v>191</v>
      </c>
      <c r="E263" s="36" t="s">
        <v>157</v>
      </c>
      <c r="F263" s="36" t="s">
        <v>158</v>
      </c>
      <c r="G263" s="36" t="s">
        <v>159</v>
      </c>
      <c r="H263" s="36" t="s">
        <v>160</v>
      </c>
      <c r="I263" s="37">
        <v>9</v>
      </c>
      <c r="J263" s="36"/>
    </row>
    <row r="264" spans="1:10" x14ac:dyDescent="0.35">
      <c r="A264" s="36" t="s">
        <v>456</v>
      </c>
      <c r="B264" s="35">
        <v>45886</v>
      </c>
      <c r="C264" s="36" t="s">
        <v>190</v>
      </c>
      <c r="D264" s="36" t="s">
        <v>191</v>
      </c>
      <c r="E264" s="36" t="s">
        <v>40</v>
      </c>
      <c r="F264" s="36" t="s">
        <v>41</v>
      </c>
      <c r="G264" s="36" t="s">
        <v>31</v>
      </c>
      <c r="H264" s="36" t="s">
        <v>42</v>
      </c>
      <c r="I264" s="37">
        <v>21</v>
      </c>
      <c r="J264" s="36"/>
    </row>
    <row r="265" spans="1:10" x14ac:dyDescent="0.35">
      <c r="A265" s="36" t="s">
        <v>457</v>
      </c>
      <c r="B265" s="35">
        <v>45886</v>
      </c>
      <c r="C265" s="36" t="s">
        <v>190</v>
      </c>
      <c r="D265" s="36" t="s">
        <v>191</v>
      </c>
      <c r="E265" s="36" t="s">
        <v>29</v>
      </c>
      <c r="F265" s="36" t="s">
        <v>30</v>
      </c>
      <c r="G265" s="36" t="s">
        <v>31</v>
      </c>
      <c r="H265" s="36" t="s">
        <v>32</v>
      </c>
      <c r="I265" s="37">
        <v>18</v>
      </c>
      <c r="J265" s="36"/>
    </row>
    <row r="266" spans="1:10" x14ac:dyDescent="0.35">
      <c r="A266" s="36" t="s">
        <v>458</v>
      </c>
      <c r="B266" s="35">
        <v>45886</v>
      </c>
      <c r="C266" s="36" t="s">
        <v>190</v>
      </c>
      <c r="D266" s="36" t="s">
        <v>191</v>
      </c>
      <c r="E266" s="36" t="s">
        <v>109</v>
      </c>
      <c r="F266" s="36" t="s">
        <v>110</v>
      </c>
      <c r="G266" s="36" t="s">
        <v>102</v>
      </c>
      <c r="H266" s="36" t="s">
        <v>42</v>
      </c>
      <c r="I266" s="37">
        <v>23</v>
      </c>
      <c r="J266" s="36"/>
    </row>
    <row r="267" spans="1:10" x14ac:dyDescent="0.35">
      <c r="A267" s="36" t="s">
        <v>459</v>
      </c>
      <c r="B267" s="35">
        <v>45886</v>
      </c>
      <c r="C267" s="36" t="s">
        <v>190</v>
      </c>
      <c r="D267" s="36" t="s">
        <v>191</v>
      </c>
      <c r="E267" s="36" t="s">
        <v>78</v>
      </c>
      <c r="F267" s="36" t="s">
        <v>79</v>
      </c>
      <c r="G267" s="36" t="s">
        <v>74</v>
      </c>
      <c r="H267" s="36" t="s">
        <v>80</v>
      </c>
      <c r="I267" s="37">
        <v>13</v>
      </c>
      <c r="J267" s="36"/>
    </row>
    <row r="268" spans="1:10" x14ac:dyDescent="0.35">
      <c r="A268" s="36" t="s">
        <v>460</v>
      </c>
      <c r="B268" s="35">
        <v>45886</v>
      </c>
      <c r="C268" s="36" t="s">
        <v>190</v>
      </c>
      <c r="D268" s="36" t="s">
        <v>191</v>
      </c>
      <c r="E268" s="36" t="s">
        <v>67</v>
      </c>
      <c r="F268" s="36" t="s">
        <v>68</v>
      </c>
      <c r="G268" s="36" t="s">
        <v>66</v>
      </c>
      <c r="H268" s="36" t="s">
        <v>42</v>
      </c>
      <c r="I268" s="37">
        <v>7</v>
      </c>
      <c r="J268" s="36"/>
    </row>
    <row r="269" spans="1:10" x14ac:dyDescent="0.35">
      <c r="A269" s="36" t="s">
        <v>461</v>
      </c>
      <c r="B269" s="35">
        <v>45886</v>
      </c>
      <c r="C269" s="36" t="s">
        <v>190</v>
      </c>
      <c r="D269" s="36" t="s">
        <v>191</v>
      </c>
      <c r="E269" s="36" t="s">
        <v>59</v>
      </c>
      <c r="F269" s="36" t="s">
        <v>60</v>
      </c>
      <c r="G269" s="36" t="s">
        <v>53</v>
      </c>
      <c r="H269" s="36" t="s">
        <v>56</v>
      </c>
      <c r="I269" s="37">
        <v>17</v>
      </c>
      <c r="J269" s="36"/>
    </row>
    <row r="270" spans="1:10" x14ac:dyDescent="0.35">
      <c r="A270" s="36" t="s">
        <v>462</v>
      </c>
      <c r="B270" s="35">
        <v>45886</v>
      </c>
      <c r="C270" s="36" t="s">
        <v>190</v>
      </c>
      <c r="D270" s="36" t="s">
        <v>191</v>
      </c>
      <c r="E270" s="36" t="s">
        <v>130</v>
      </c>
      <c r="F270" s="36" t="s">
        <v>16</v>
      </c>
      <c r="G270" s="36" t="s">
        <v>10</v>
      </c>
      <c r="H270" s="36" t="s">
        <v>131</v>
      </c>
      <c r="I270" s="37">
        <v>8</v>
      </c>
      <c r="J270" s="36"/>
    </row>
    <row r="271" spans="1:10" x14ac:dyDescent="0.35">
      <c r="A271" s="36" t="s">
        <v>463</v>
      </c>
      <c r="B271" s="35">
        <v>45889</v>
      </c>
      <c r="C271" s="36" t="s">
        <v>298</v>
      </c>
      <c r="D271" s="36" t="s">
        <v>299</v>
      </c>
      <c r="E271" s="36" t="s">
        <v>111</v>
      </c>
      <c r="F271" s="36" t="s">
        <v>112</v>
      </c>
      <c r="G271" s="36" t="s">
        <v>102</v>
      </c>
      <c r="H271" s="36" t="s">
        <v>113</v>
      </c>
      <c r="I271" s="37">
        <v>7</v>
      </c>
      <c r="J271" s="36"/>
    </row>
    <row r="272" spans="1:10" x14ac:dyDescent="0.35">
      <c r="A272" s="36" t="s">
        <v>464</v>
      </c>
      <c r="B272" s="35">
        <v>45889</v>
      </c>
      <c r="C272" s="36" t="s">
        <v>298</v>
      </c>
      <c r="D272" s="36" t="s">
        <v>299</v>
      </c>
      <c r="E272" s="36" t="s">
        <v>153</v>
      </c>
      <c r="F272" s="36" t="s">
        <v>154</v>
      </c>
      <c r="G272" s="36" t="s">
        <v>12</v>
      </c>
      <c r="H272" s="36" t="s">
        <v>155</v>
      </c>
      <c r="I272" s="37">
        <v>2</v>
      </c>
      <c r="J272" s="36"/>
    </row>
    <row r="273" spans="1:10" x14ac:dyDescent="0.35">
      <c r="A273" s="36" t="s">
        <v>465</v>
      </c>
      <c r="B273" s="35">
        <v>45889</v>
      </c>
      <c r="C273" s="36" t="s">
        <v>298</v>
      </c>
      <c r="D273" s="36" t="s">
        <v>299</v>
      </c>
      <c r="E273" s="36" t="s">
        <v>135</v>
      </c>
      <c r="F273" s="36" t="s">
        <v>5</v>
      </c>
      <c r="G273" s="36" t="s">
        <v>6</v>
      </c>
      <c r="H273" s="36" t="s">
        <v>136</v>
      </c>
      <c r="I273" s="37">
        <v>4</v>
      </c>
      <c r="J273" s="36"/>
    </row>
    <row r="274" spans="1:10" x14ac:dyDescent="0.35">
      <c r="A274" s="36" t="s">
        <v>466</v>
      </c>
      <c r="B274" s="35">
        <v>45889</v>
      </c>
      <c r="C274" s="36" t="s">
        <v>298</v>
      </c>
      <c r="D274" s="36" t="s">
        <v>299</v>
      </c>
      <c r="E274" s="36" t="s">
        <v>156</v>
      </c>
      <c r="F274" s="36" t="s">
        <v>11</v>
      </c>
      <c r="G274" s="36" t="s">
        <v>12</v>
      </c>
      <c r="H274" s="36" t="s">
        <v>155</v>
      </c>
      <c r="I274" s="37">
        <v>1</v>
      </c>
      <c r="J274" s="36"/>
    </row>
    <row r="275" spans="1:10" x14ac:dyDescent="0.35">
      <c r="A275" s="36" t="s">
        <v>467</v>
      </c>
      <c r="B275" s="35">
        <v>45889</v>
      </c>
      <c r="C275" s="36" t="s">
        <v>298</v>
      </c>
      <c r="D275" s="36" t="s">
        <v>299</v>
      </c>
      <c r="E275" s="36" t="s">
        <v>88</v>
      </c>
      <c r="F275" s="36" t="s">
        <v>89</v>
      </c>
      <c r="G275" s="36" t="s">
        <v>74</v>
      </c>
      <c r="H275" s="36" t="s">
        <v>90</v>
      </c>
      <c r="I275" s="37">
        <v>4</v>
      </c>
      <c r="J275" s="36"/>
    </row>
    <row r="276" spans="1:10" x14ac:dyDescent="0.35">
      <c r="A276" s="36" t="s">
        <v>468</v>
      </c>
      <c r="B276" s="35">
        <v>45889</v>
      </c>
      <c r="C276" s="36" t="s">
        <v>298</v>
      </c>
      <c r="D276" s="36" t="s">
        <v>299</v>
      </c>
      <c r="E276" s="36" t="s">
        <v>106</v>
      </c>
      <c r="F276" s="36" t="s">
        <v>107</v>
      </c>
      <c r="G276" s="36" t="s">
        <v>102</v>
      </c>
      <c r="H276" s="36" t="s">
        <v>108</v>
      </c>
      <c r="I276" s="37">
        <v>6</v>
      </c>
      <c r="J276" s="36"/>
    </row>
    <row r="277" spans="1:10" x14ac:dyDescent="0.35">
      <c r="A277" s="36" t="s">
        <v>469</v>
      </c>
      <c r="B277" s="35">
        <v>45889</v>
      </c>
      <c r="C277" s="36" t="s">
        <v>298</v>
      </c>
      <c r="D277" s="36" t="s">
        <v>299</v>
      </c>
      <c r="E277" s="36" t="s">
        <v>54</v>
      </c>
      <c r="F277" s="36" t="s">
        <v>55</v>
      </c>
      <c r="G277" s="36" t="s">
        <v>53</v>
      </c>
      <c r="H277" s="36" t="s">
        <v>56</v>
      </c>
      <c r="I277" s="37">
        <v>4</v>
      </c>
      <c r="J277" s="36"/>
    </row>
    <row r="278" spans="1:10" x14ac:dyDescent="0.35">
      <c r="A278" s="36" t="s">
        <v>470</v>
      </c>
      <c r="B278" s="35">
        <v>45889</v>
      </c>
      <c r="C278" s="36" t="s">
        <v>298</v>
      </c>
      <c r="D278" s="36" t="s">
        <v>299</v>
      </c>
      <c r="E278" s="36" t="s">
        <v>149</v>
      </c>
      <c r="F278" s="36" t="s">
        <v>150</v>
      </c>
      <c r="G278" s="36" t="s">
        <v>8</v>
      </c>
      <c r="H278" s="36" t="s">
        <v>75</v>
      </c>
      <c r="I278" s="37">
        <v>2</v>
      </c>
      <c r="J278" s="36"/>
    </row>
    <row r="279" spans="1:10" x14ac:dyDescent="0.35">
      <c r="A279" s="36" t="s">
        <v>471</v>
      </c>
      <c r="B279" s="35">
        <v>45891</v>
      </c>
      <c r="C279" s="36" t="s">
        <v>190</v>
      </c>
      <c r="D279" s="36" t="s">
        <v>191</v>
      </c>
      <c r="E279" s="36" t="s">
        <v>138</v>
      </c>
      <c r="F279" s="36" t="s">
        <v>139</v>
      </c>
      <c r="G279" s="36" t="s">
        <v>6</v>
      </c>
      <c r="H279" s="36" t="s">
        <v>140</v>
      </c>
      <c r="I279" s="37">
        <v>17</v>
      </c>
      <c r="J279" s="36"/>
    </row>
    <row r="280" spans="1:10" x14ac:dyDescent="0.35">
      <c r="A280" s="36" t="s">
        <v>472</v>
      </c>
      <c r="B280" s="35">
        <v>45891</v>
      </c>
      <c r="C280" s="36" t="s">
        <v>190</v>
      </c>
      <c r="D280" s="36" t="s">
        <v>191</v>
      </c>
      <c r="E280" s="36" t="s">
        <v>153</v>
      </c>
      <c r="F280" s="36" t="s">
        <v>154</v>
      </c>
      <c r="G280" s="36" t="s">
        <v>12</v>
      </c>
      <c r="H280" s="36" t="s">
        <v>155</v>
      </c>
      <c r="I280" s="37">
        <v>5</v>
      </c>
      <c r="J280" s="36"/>
    </row>
    <row r="281" spans="1:10" x14ac:dyDescent="0.35">
      <c r="A281" s="36" t="s">
        <v>473</v>
      </c>
      <c r="B281" s="35">
        <v>45891</v>
      </c>
      <c r="C281" s="36" t="s">
        <v>190</v>
      </c>
      <c r="D281" s="36" t="s">
        <v>191</v>
      </c>
      <c r="E281" s="36" t="s">
        <v>72</v>
      </c>
      <c r="F281" s="36" t="s">
        <v>73</v>
      </c>
      <c r="G281" s="36" t="s">
        <v>74</v>
      </c>
      <c r="H281" s="36" t="s">
        <v>75</v>
      </c>
      <c r="I281" s="37">
        <v>9</v>
      </c>
      <c r="J281" s="36"/>
    </row>
    <row r="282" spans="1:10" x14ac:dyDescent="0.35">
      <c r="A282" s="36" t="s">
        <v>474</v>
      </c>
      <c r="B282" s="35">
        <v>45891</v>
      </c>
      <c r="C282" s="36" t="s">
        <v>190</v>
      </c>
      <c r="D282" s="36" t="s">
        <v>191</v>
      </c>
      <c r="E282" s="36" t="s">
        <v>69</v>
      </c>
      <c r="F282" s="36" t="s">
        <v>70</v>
      </c>
      <c r="G282" s="36" t="s">
        <v>66</v>
      </c>
      <c r="H282" s="36" t="s">
        <v>71</v>
      </c>
      <c r="I282" s="37">
        <v>12</v>
      </c>
      <c r="J282" s="36"/>
    </row>
    <row r="283" spans="1:10" x14ac:dyDescent="0.35">
      <c r="A283" s="36" t="s">
        <v>475</v>
      </c>
      <c r="B283" s="35">
        <v>45891</v>
      </c>
      <c r="C283" s="36" t="s">
        <v>190</v>
      </c>
      <c r="D283" s="36" t="s">
        <v>191</v>
      </c>
      <c r="E283" s="36" t="s">
        <v>149</v>
      </c>
      <c r="F283" s="36" t="s">
        <v>150</v>
      </c>
      <c r="G283" s="36" t="s">
        <v>8</v>
      </c>
      <c r="H283" s="36" t="s">
        <v>75</v>
      </c>
      <c r="I283" s="37">
        <v>7</v>
      </c>
      <c r="J283" s="36"/>
    </row>
    <row r="284" spans="1:10" x14ac:dyDescent="0.35">
      <c r="A284" s="36" t="s">
        <v>476</v>
      </c>
      <c r="B284" s="35">
        <v>45896</v>
      </c>
      <c r="C284" s="36" t="s">
        <v>190</v>
      </c>
      <c r="D284" s="36" t="s">
        <v>191</v>
      </c>
      <c r="E284" s="36" t="s">
        <v>109</v>
      </c>
      <c r="F284" s="36" t="s">
        <v>110</v>
      </c>
      <c r="G284" s="36" t="s">
        <v>102</v>
      </c>
      <c r="H284" s="36" t="s">
        <v>42</v>
      </c>
      <c r="I284" s="37">
        <v>15</v>
      </c>
      <c r="J284" s="36"/>
    </row>
    <row r="285" spans="1:10" x14ac:dyDescent="0.35">
      <c r="A285" s="36" t="s">
        <v>477</v>
      </c>
      <c r="B285" s="35">
        <v>45896</v>
      </c>
      <c r="C285" s="36" t="s">
        <v>190</v>
      </c>
      <c r="D285" s="36" t="s">
        <v>191</v>
      </c>
      <c r="E285" s="36" t="s">
        <v>97</v>
      </c>
      <c r="F285" s="36" t="s">
        <v>98</v>
      </c>
      <c r="G285" s="36" t="s">
        <v>93</v>
      </c>
      <c r="H285" s="36" t="s">
        <v>99</v>
      </c>
      <c r="I285" s="37">
        <v>7</v>
      </c>
      <c r="J285" s="36"/>
    </row>
    <row r="286" spans="1:10" x14ac:dyDescent="0.35">
      <c r="A286" s="36" t="s">
        <v>478</v>
      </c>
      <c r="B286" s="35">
        <v>45896</v>
      </c>
      <c r="C286" s="36" t="s">
        <v>190</v>
      </c>
      <c r="D286" s="36" t="s">
        <v>191</v>
      </c>
      <c r="E286" s="36" t="s">
        <v>51</v>
      </c>
      <c r="F286" s="36" t="s">
        <v>52</v>
      </c>
      <c r="G286" s="36" t="s">
        <v>53</v>
      </c>
      <c r="H286" s="36" t="s">
        <v>42</v>
      </c>
      <c r="I286" s="37">
        <v>22</v>
      </c>
      <c r="J286" s="36"/>
    </row>
    <row r="287" spans="1:10" x14ac:dyDescent="0.35">
      <c r="A287" s="36" t="s">
        <v>479</v>
      </c>
      <c r="B287" s="35">
        <v>45896</v>
      </c>
      <c r="C287" s="36" t="s">
        <v>190</v>
      </c>
      <c r="D287" s="36" t="s">
        <v>191</v>
      </c>
      <c r="E287" s="36" t="s">
        <v>128</v>
      </c>
      <c r="F287" s="36" t="s">
        <v>9</v>
      </c>
      <c r="G287" s="36" t="s">
        <v>10</v>
      </c>
      <c r="H287" s="36" t="s">
        <v>129</v>
      </c>
      <c r="I287" s="37">
        <v>9</v>
      </c>
      <c r="J287" s="36"/>
    </row>
    <row r="288" spans="1:10" x14ac:dyDescent="0.35">
      <c r="A288" s="36" t="s">
        <v>480</v>
      </c>
      <c r="B288" s="35">
        <v>45896</v>
      </c>
      <c r="C288" s="36" t="s">
        <v>190</v>
      </c>
      <c r="D288" s="36" t="s">
        <v>191</v>
      </c>
      <c r="E288" s="36" t="s">
        <v>76</v>
      </c>
      <c r="F288" s="36" t="s">
        <v>77</v>
      </c>
      <c r="G288" s="36" t="s">
        <v>74</v>
      </c>
      <c r="H288" s="36" t="s">
        <v>75</v>
      </c>
      <c r="I288" s="37">
        <v>16</v>
      </c>
      <c r="J288" s="36"/>
    </row>
    <row r="289" spans="1:10" x14ac:dyDescent="0.35">
      <c r="A289" s="36" t="s">
        <v>481</v>
      </c>
      <c r="B289" s="35">
        <v>45896</v>
      </c>
      <c r="C289" s="36" t="s">
        <v>190</v>
      </c>
      <c r="D289" s="36" t="s">
        <v>191</v>
      </c>
      <c r="E289" s="36" t="s">
        <v>114</v>
      </c>
      <c r="F289" s="36" t="s">
        <v>13</v>
      </c>
      <c r="G289" s="36" t="s">
        <v>14</v>
      </c>
      <c r="H289" s="36" t="s">
        <v>115</v>
      </c>
      <c r="I289" s="37">
        <v>3</v>
      </c>
      <c r="J289" s="36"/>
    </row>
    <row r="290" spans="1:10" x14ac:dyDescent="0.35">
      <c r="A290" s="36" t="s">
        <v>482</v>
      </c>
      <c r="B290" s="35">
        <v>45896</v>
      </c>
      <c r="C290" s="36" t="s">
        <v>190</v>
      </c>
      <c r="D290" s="36" t="s">
        <v>191</v>
      </c>
      <c r="E290" s="36" t="s">
        <v>57</v>
      </c>
      <c r="F290" s="36" t="s">
        <v>58</v>
      </c>
      <c r="G290" s="36" t="s">
        <v>53</v>
      </c>
      <c r="H290" s="36" t="s">
        <v>42</v>
      </c>
      <c r="I290" s="37">
        <v>29</v>
      </c>
      <c r="J290" s="36"/>
    </row>
    <row r="291" spans="1:10" x14ac:dyDescent="0.35">
      <c r="A291" s="36" t="s">
        <v>483</v>
      </c>
      <c r="B291" s="35">
        <v>45896</v>
      </c>
      <c r="C291" s="36" t="s">
        <v>190</v>
      </c>
      <c r="D291" s="36" t="s">
        <v>191</v>
      </c>
      <c r="E291" s="36" t="s">
        <v>67</v>
      </c>
      <c r="F291" s="36" t="s">
        <v>68</v>
      </c>
      <c r="G291" s="36" t="s">
        <v>66</v>
      </c>
      <c r="H291" s="36" t="s">
        <v>42</v>
      </c>
      <c r="I291" s="37">
        <v>12</v>
      </c>
      <c r="J291" s="36"/>
    </row>
    <row r="292" spans="1:10" x14ac:dyDescent="0.35">
      <c r="A292" s="36" t="s">
        <v>484</v>
      </c>
      <c r="B292" s="35">
        <v>45896</v>
      </c>
      <c r="C292" s="36" t="s">
        <v>190</v>
      </c>
      <c r="D292" s="36" t="s">
        <v>191</v>
      </c>
      <c r="E292" s="36" t="s">
        <v>138</v>
      </c>
      <c r="F292" s="36" t="s">
        <v>139</v>
      </c>
      <c r="G292" s="36" t="s">
        <v>6</v>
      </c>
      <c r="H292" s="36" t="s">
        <v>140</v>
      </c>
      <c r="I292" s="37">
        <v>14</v>
      </c>
      <c r="J292" s="36"/>
    </row>
    <row r="293" spans="1:10" x14ac:dyDescent="0.35">
      <c r="A293" s="36" t="s">
        <v>485</v>
      </c>
      <c r="B293" s="35">
        <v>45896</v>
      </c>
      <c r="C293" s="36" t="s">
        <v>190</v>
      </c>
      <c r="D293" s="36" t="s">
        <v>191</v>
      </c>
      <c r="E293" s="36" t="s">
        <v>29</v>
      </c>
      <c r="F293" s="36" t="s">
        <v>30</v>
      </c>
      <c r="G293" s="36" t="s">
        <v>31</v>
      </c>
      <c r="H293" s="36" t="s">
        <v>32</v>
      </c>
      <c r="I293" s="37">
        <v>16</v>
      </c>
      <c r="J293" s="36"/>
    </row>
    <row r="294" spans="1:10" x14ac:dyDescent="0.35">
      <c r="A294" s="36" t="s">
        <v>486</v>
      </c>
      <c r="B294" s="35">
        <v>45896</v>
      </c>
      <c r="C294" s="36" t="s">
        <v>190</v>
      </c>
      <c r="D294" s="36" t="s">
        <v>191</v>
      </c>
      <c r="E294" s="36" t="s">
        <v>83</v>
      </c>
      <c r="F294" s="36" t="s">
        <v>84</v>
      </c>
      <c r="G294" s="36" t="s">
        <v>74</v>
      </c>
      <c r="H294" s="36" t="s">
        <v>85</v>
      </c>
      <c r="I294" s="37">
        <v>17</v>
      </c>
      <c r="J294" s="36"/>
    </row>
    <row r="295" spans="1:10" x14ac:dyDescent="0.35">
      <c r="A295" s="36" t="s">
        <v>487</v>
      </c>
      <c r="B295" s="35">
        <v>45897</v>
      </c>
      <c r="C295" s="36" t="s">
        <v>238</v>
      </c>
      <c r="D295" s="36" t="s">
        <v>239</v>
      </c>
      <c r="E295" s="36" t="s">
        <v>94</v>
      </c>
      <c r="F295" s="36" t="s">
        <v>95</v>
      </c>
      <c r="G295" s="36" t="s">
        <v>93</v>
      </c>
      <c r="H295" s="36" t="s">
        <v>96</v>
      </c>
      <c r="I295" s="37">
        <v>4</v>
      </c>
      <c r="J295" s="36"/>
    </row>
    <row r="296" spans="1:10" x14ac:dyDescent="0.35">
      <c r="A296" s="36" t="s">
        <v>488</v>
      </c>
      <c r="B296" s="35">
        <v>45897</v>
      </c>
      <c r="C296" s="36" t="s">
        <v>238</v>
      </c>
      <c r="D296" s="36" t="s">
        <v>239</v>
      </c>
      <c r="E296" s="36" t="s">
        <v>151</v>
      </c>
      <c r="F296" s="36" t="s">
        <v>152</v>
      </c>
      <c r="G296" s="36" t="s">
        <v>8</v>
      </c>
      <c r="H296" s="36" t="s">
        <v>143</v>
      </c>
      <c r="I296" s="37">
        <v>3</v>
      </c>
      <c r="J296" s="36"/>
    </row>
    <row r="297" spans="1:10" x14ac:dyDescent="0.35">
      <c r="A297" s="36" t="s">
        <v>489</v>
      </c>
      <c r="B297" s="35">
        <v>45897</v>
      </c>
      <c r="C297" s="36" t="s">
        <v>238</v>
      </c>
      <c r="D297" s="36" t="s">
        <v>239</v>
      </c>
      <c r="E297" s="36" t="s">
        <v>141</v>
      </c>
      <c r="F297" s="36" t="s">
        <v>142</v>
      </c>
      <c r="G297" s="36" t="s">
        <v>8</v>
      </c>
      <c r="H297" s="36" t="s">
        <v>143</v>
      </c>
      <c r="I297" s="37">
        <v>1</v>
      </c>
      <c r="J297" s="36"/>
    </row>
    <row r="298" spans="1:10" x14ac:dyDescent="0.35">
      <c r="A298" s="36" t="s">
        <v>490</v>
      </c>
      <c r="B298" s="35">
        <v>45897</v>
      </c>
      <c r="C298" s="36" t="s">
        <v>238</v>
      </c>
      <c r="D298" s="36" t="s">
        <v>239</v>
      </c>
      <c r="E298" s="36" t="s">
        <v>37</v>
      </c>
      <c r="F298" s="36" t="s">
        <v>38</v>
      </c>
      <c r="G298" s="36" t="s">
        <v>31</v>
      </c>
      <c r="H298" s="36" t="s">
        <v>39</v>
      </c>
      <c r="I298" s="37">
        <v>11</v>
      </c>
      <c r="J298" s="36"/>
    </row>
    <row r="299" spans="1:10" x14ac:dyDescent="0.35">
      <c r="A299" s="36" t="s">
        <v>491</v>
      </c>
      <c r="B299" s="35">
        <v>45897</v>
      </c>
      <c r="C299" s="36" t="s">
        <v>238</v>
      </c>
      <c r="D299" s="36" t="s">
        <v>239</v>
      </c>
      <c r="E299" s="36" t="s">
        <v>97</v>
      </c>
      <c r="F299" s="36" t="s">
        <v>98</v>
      </c>
      <c r="G299" s="36" t="s">
        <v>93</v>
      </c>
      <c r="H299" s="36" t="s">
        <v>99</v>
      </c>
      <c r="I299" s="37">
        <v>5</v>
      </c>
      <c r="J299" s="36"/>
    </row>
    <row r="300" spans="1:10" x14ac:dyDescent="0.35">
      <c r="A300" s="36" t="s">
        <v>492</v>
      </c>
      <c r="B300" s="35">
        <v>45897</v>
      </c>
      <c r="C300" s="36" t="s">
        <v>238</v>
      </c>
      <c r="D300" s="36" t="s">
        <v>239</v>
      </c>
      <c r="E300" s="36" t="s">
        <v>138</v>
      </c>
      <c r="F300" s="36" t="s">
        <v>139</v>
      </c>
      <c r="G300" s="36" t="s">
        <v>6</v>
      </c>
      <c r="H300" s="36" t="s">
        <v>140</v>
      </c>
      <c r="I300" s="37">
        <v>6</v>
      </c>
      <c r="J300" s="36"/>
    </row>
    <row r="301" spans="1:10" x14ac:dyDescent="0.35">
      <c r="A301" s="36" t="s">
        <v>493</v>
      </c>
      <c r="B301" s="35">
        <v>45904</v>
      </c>
      <c r="C301" s="36" t="s">
        <v>298</v>
      </c>
      <c r="D301" s="36" t="s">
        <v>299</v>
      </c>
      <c r="E301" s="36" t="s">
        <v>91</v>
      </c>
      <c r="F301" s="36" t="s">
        <v>92</v>
      </c>
      <c r="G301" s="36" t="s">
        <v>93</v>
      </c>
      <c r="H301" s="36" t="s">
        <v>85</v>
      </c>
      <c r="I301" s="37">
        <v>4</v>
      </c>
      <c r="J301" s="36"/>
    </row>
    <row r="302" spans="1:10" x14ac:dyDescent="0.35">
      <c r="A302" s="36" t="s">
        <v>494</v>
      </c>
      <c r="B302" s="35">
        <v>45904</v>
      </c>
      <c r="C302" s="36" t="s">
        <v>298</v>
      </c>
      <c r="D302" s="36" t="s">
        <v>299</v>
      </c>
      <c r="E302" s="36" t="s">
        <v>151</v>
      </c>
      <c r="F302" s="36" t="s">
        <v>152</v>
      </c>
      <c r="G302" s="36" t="s">
        <v>8</v>
      </c>
      <c r="H302" s="36" t="s">
        <v>143</v>
      </c>
      <c r="I302" s="37">
        <v>3</v>
      </c>
      <c r="J302" s="36"/>
    </row>
    <row r="303" spans="1:10" x14ac:dyDescent="0.35">
      <c r="A303" s="36" t="s">
        <v>495</v>
      </c>
      <c r="B303" s="35">
        <v>45904</v>
      </c>
      <c r="C303" s="36" t="s">
        <v>298</v>
      </c>
      <c r="D303" s="36" t="s">
        <v>299</v>
      </c>
      <c r="E303" s="36" t="s">
        <v>104</v>
      </c>
      <c r="F303" s="36" t="s">
        <v>105</v>
      </c>
      <c r="G303" s="36" t="s">
        <v>102</v>
      </c>
      <c r="H303" s="36" t="s">
        <v>103</v>
      </c>
      <c r="I303" s="37">
        <v>5</v>
      </c>
      <c r="J303" s="36"/>
    </row>
    <row r="304" spans="1:10" x14ac:dyDescent="0.35">
      <c r="A304" s="36" t="s">
        <v>496</v>
      </c>
      <c r="B304" s="35">
        <v>45904</v>
      </c>
      <c r="C304" s="36" t="s">
        <v>298</v>
      </c>
      <c r="D304" s="36" t="s">
        <v>299</v>
      </c>
      <c r="E304" s="36" t="s">
        <v>81</v>
      </c>
      <c r="F304" s="36" t="s">
        <v>82</v>
      </c>
      <c r="G304" s="36" t="s">
        <v>74</v>
      </c>
      <c r="H304" s="36" t="s">
        <v>80</v>
      </c>
      <c r="I304" s="37">
        <v>2</v>
      </c>
      <c r="J304" s="36"/>
    </row>
    <row r="305" spans="1:10" x14ac:dyDescent="0.35">
      <c r="A305" s="36" t="s">
        <v>497</v>
      </c>
      <c r="B305" s="35">
        <v>45904</v>
      </c>
      <c r="C305" s="36" t="s">
        <v>298</v>
      </c>
      <c r="D305" s="36" t="s">
        <v>299</v>
      </c>
      <c r="E305" s="36" t="s">
        <v>59</v>
      </c>
      <c r="F305" s="36" t="s">
        <v>60</v>
      </c>
      <c r="G305" s="36" t="s">
        <v>53</v>
      </c>
      <c r="H305" s="36" t="s">
        <v>56</v>
      </c>
      <c r="I305" s="37">
        <v>4</v>
      </c>
      <c r="J305" s="36"/>
    </row>
    <row r="306" spans="1:10" x14ac:dyDescent="0.35">
      <c r="A306" s="36" t="s">
        <v>498</v>
      </c>
      <c r="B306" s="35">
        <v>45904</v>
      </c>
      <c r="C306" s="36" t="s">
        <v>298</v>
      </c>
      <c r="D306" s="36" t="s">
        <v>299</v>
      </c>
      <c r="E306" s="36" t="s">
        <v>37</v>
      </c>
      <c r="F306" s="36" t="s">
        <v>38</v>
      </c>
      <c r="G306" s="36" t="s">
        <v>31</v>
      </c>
      <c r="H306" s="36" t="s">
        <v>39</v>
      </c>
      <c r="I306" s="37">
        <v>3</v>
      </c>
      <c r="J306" s="36"/>
    </row>
    <row r="307" spans="1:10" x14ac:dyDescent="0.35">
      <c r="A307" s="36" t="s">
        <v>499</v>
      </c>
      <c r="B307" s="35">
        <v>45904</v>
      </c>
      <c r="C307" s="36" t="s">
        <v>298</v>
      </c>
      <c r="D307" s="36" t="s">
        <v>299</v>
      </c>
      <c r="E307" s="36" t="s">
        <v>128</v>
      </c>
      <c r="F307" s="36" t="s">
        <v>9</v>
      </c>
      <c r="G307" s="36" t="s">
        <v>10</v>
      </c>
      <c r="H307" s="36" t="s">
        <v>129</v>
      </c>
      <c r="I307" s="37">
        <v>1</v>
      </c>
      <c r="J307" s="36"/>
    </row>
    <row r="308" spans="1:10" x14ac:dyDescent="0.35">
      <c r="A308" s="36" t="s">
        <v>500</v>
      </c>
      <c r="B308" s="35">
        <v>45906</v>
      </c>
      <c r="C308" s="36" t="s">
        <v>210</v>
      </c>
      <c r="D308" s="36" t="s">
        <v>211</v>
      </c>
      <c r="E308" s="36" t="s">
        <v>149</v>
      </c>
      <c r="F308" s="36" t="s">
        <v>150</v>
      </c>
      <c r="G308" s="36" t="s">
        <v>8</v>
      </c>
      <c r="H308" s="36" t="s">
        <v>75</v>
      </c>
      <c r="I308" s="37">
        <v>7</v>
      </c>
      <c r="J308" s="36"/>
    </row>
    <row r="309" spans="1:10" x14ac:dyDescent="0.35">
      <c r="A309" s="36" t="s">
        <v>501</v>
      </c>
      <c r="B309" s="35">
        <v>45906</v>
      </c>
      <c r="C309" s="36" t="s">
        <v>210</v>
      </c>
      <c r="D309" s="36" t="s">
        <v>211</v>
      </c>
      <c r="E309" s="36" t="s">
        <v>114</v>
      </c>
      <c r="F309" s="36" t="s">
        <v>13</v>
      </c>
      <c r="G309" s="36" t="s">
        <v>14</v>
      </c>
      <c r="H309" s="36" t="s">
        <v>115</v>
      </c>
      <c r="I309" s="37">
        <v>3</v>
      </c>
      <c r="J309" s="36"/>
    </row>
    <row r="310" spans="1:10" x14ac:dyDescent="0.35">
      <c r="A310" s="36" t="s">
        <v>502</v>
      </c>
      <c r="B310" s="35">
        <v>45906</v>
      </c>
      <c r="C310" s="36" t="s">
        <v>210</v>
      </c>
      <c r="D310" s="36" t="s">
        <v>211</v>
      </c>
      <c r="E310" s="36" t="s">
        <v>104</v>
      </c>
      <c r="F310" s="36" t="s">
        <v>105</v>
      </c>
      <c r="G310" s="36" t="s">
        <v>102</v>
      </c>
      <c r="H310" s="36" t="s">
        <v>103</v>
      </c>
      <c r="I310" s="37">
        <v>9</v>
      </c>
      <c r="J310" s="36"/>
    </row>
    <row r="311" spans="1:10" x14ac:dyDescent="0.35">
      <c r="A311" s="36" t="s">
        <v>503</v>
      </c>
      <c r="B311" s="35">
        <v>45906</v>
      </c>
      <c r="C311" s="36" t="s">
        <v>210</v>
      </c>
      <c r="D311" s="36" t="s">
        <v>211</v>
      </c>
      <c r="E311" s="36" t="s">
        <v>141</v>
      </c>
      <c r="F311" s="36" t="s">
        <v>142</v>
      </c>
      <c r="G311" s="36" t="s">
        <v>8</v>
      </c>
      <c r="H311" s="36" t="s">
        <v>143</v>
      </c>
      <c r="I311" s="37">
        <v>5</v>
      </c>
      <c r="J311" s="36"/>
    </row>
    <row r="312" spans="1:10" x14ac:dyDescent="0.35">
      <c r="A312" s="36" t="s">
        <v>504</v>
      </c>
      <c r="B312" s="35">
        <v>45906</v>
      </c>
      <c r="C312" s="36" t="s">
        <v>210</v>
      </c>
      <c r="D312" s="36" t="s">
        <v>211</v>
      </c>
      <c r="E312" s="36" t="s">
        <v>59</v>
      </c>
      <c r="F312" s="36" t="s">
        <v>60</v>
      </c>
      <c r="G312" s="36" t="s">
        <v>53</v>
      </c>
      <c r="H312" s="36" t="s">
        <v>56</v>
      </c>
      <c r="I312" s="37">
        <v>14</v>
      </c>
      <c r="J312" s="36"/>
    </row>
    <row r="313" spans="1:10" x14ac:dyDescent="0.35">
      <c r="A313" s="36" t="s">
        <v>505</v>
      </c>
      <c r="B313" s="35">
        <v>45906</v>
      </c>
      <c r="C313" s="36" t="s">
        <v>210</v>
      </c>
      <c r="D313" s="36" t="s">
        <v>211</v>
      </c>
      <c r="E313" s="36" t="s">
        <v>51</v>
      </c>
      <c r="F313" s="36" t="s">
        <v>52</v>
      </c>
      <c r="G313" s="36" t="s">
        <v>53</v>
      </c>
      <c r="H313" s="36" t="s">
        <v>42</v>
      </c>
      <c r="I313" s="37">
        <v>16</v>
      </c>
      <c r="J313" s="36"/>
    </row>
    <row r="314" spans="1:10" x14ac:dyDescent="0.35">
      <c r="A314" s="36" t="s">
        <v>506</v>
      </c>
      <c r="B314" s="35">
        <v>45906</v>
      </c>
      <c r="C314" s="36" t="s">
        <v>210</v>
      </c>
      <c r="D314" s="36" t="s">
        <v>211</v>
      </c>
      <c r="E314" s="36" t="s">
        <v>54</v>
      </c>
      <c r="F314" s="36" t="s">
        <v>55</v>
      </c>
      <c r="G314" s="36" t="s">
        <v>53</v>
      </c>
      <c r="H314" s="36" t="s">
        <v>56</v>
      </c>
      <c r="I314" s="37">
        <v>14</v>
      </c>
      <c r="J314" s="36"/>
    </row>
    <row r="315" spans="1:10" x14ac:dyDescent="0.35">
      <c r="A315" s="36" t="s">
        <v>507</v>
      </c>
      <c r="B315" s="35">
        <v>45906</v>
      </c>
      <c r="C315" s="36" t="s">
        <v>210</v>
      </c>
      <c r="D315" s="36" t="s">
        <v>211</v>
      </c>
      <c r="E315" s="36" t="s">
        <v>40</v>
      </c>
      <c r="F315" s="36" t="s">
        <v>41</v>
      </c>
      <c r="G315" s="36" t="s">
        <v>31</v>
      </c>
      <c r="H315" s="36" t="s">
        <v>42</v>
      </c>
      <c r="I315" s="37">
        <v>14</v>
      </c>
      <c r="J315" s="36"/>
    </row>
    <row r="316" spans="1:10" x14ac:dyDescent="0.35">
      <c r="A316" s="36" t="s">
        <v>508</v>
      </c>
      <c r="B316" s="35">
        <v>45906</v>
      </c>
      <c r="C316" s="36" t="s">
        <v>210</v>
      </c>
      <c r="D316" s="36" t="s">
        <v>211</v>
      </c>
      <c r="E316" s="36" t="s">
        <v>151</v>
      </c>
      <c r="F316" s="36" t="s">
        <v>152</v>
      </c>
      <c r="G316" s="36" t="s">
        <v>8</v>
      </c>
      <c r="H316" s="36" t="s">
        <v>143</v>
      </c>
      <c r="I316" s="37">
        <v>7</v>
      </c>
      <c r="J316" s="36"/>
    </row>
    <row r="317" spans="1:10" x14ac:dyDescent="0.35">
      <c r="A317" s="36" t="s">
        <v>509</v>
      </c>
      <c r="B317" s="35">
        <v>45906</v>
      </c>
      <c r="C317" s="36" t="s">
        <v>210</v>
      </c>
      <c r="D317" s="36" t="s">
        <v>211</v>
      </c>
      <c r="E317" s="36" t="s">
        <v>48</v>
      </c>
      <c r="F317" s="36" t="s">
        <v>49</v>
      </c>
      <c r="G317" s="36" t="s">
        <v>31</v>
      </c>
      <c r="H317" s="36" t="s">
        <v>50</v>
      </c>
      <c r="I317" s="37">
        <v>13</v>
      </c>
      <c r="J317" s="36"/>
    </row>
    <row r="318" spans="1:10" x14ac:dyDescent="0.35">
      <c r="A318" s="36" t="s">
        <v>510</v>
      </c>
      <c r="B318" s="35">
        <v>45906</v>
      </c>
      <c r="C318" s="36" t="s">
        <v>210</v>
      </c>
      <c r="D318" s="36" t="s">
        <v>211</v>
      </c>
      <c r="E318" s="36" t="s">
        <v>156</v>
      </c>
      <c r="F318" s="36" t="s">
        <v>11</v>
      </c>
      <c r="G318" s="36" t="s">
        <v>12</v>
      </c>
      <c r="H318" s="36" t="s">
        <v>155</v>
      </c>
      <c r="I318" s="37">
        <v>6</v>
      </c>
      <c r="J318" s="36"/>
    </row>
    <row r="319" spans="1:10" x14ac:dyDescent="0.35">
      <c r="A319" s="36" t="s">
        <v>511</v>
      </c>
      <c r="B319" s="35">
        <v>45906</v>
      </c>
      <c r="C319" s="36" t="s">
        <v>238</v>
      </c>
      <c r="D319" s="36" t="s">
        <v>239</v>
      </c>
      <c r="E319" s="36" t="s">
        <v>117</v>
      </c>
      <c r="F319" s="36" t="s">
        <v>118</v>
      </c>
      <c r="G319" s="36" t="s">
        <v>14</v>
      </c>
      <c r="H319" s="36" t="s">
        <v>119</v>
      </c>
      <c r="I319" s="37">
        <v>1</v>
      </c>
      <c r="J319" s="36"/>
    </row>
    <row r="320" spans="1:10" x14ac:dyDescent="0.35">
      <c r="A320" s="36" t="s">
        <v>512</v>
      </c>
      <c r="B320" s="35">
        <v>45906</v>
      </c>
      <c r="C320" s="36" t="s">
        <v>238</v>
      </c>
      <c r="D320" s="36" t="s">
        <v>239</v>
      </c>
      <c r="E320" s="36" t="s">
        <v>51</v>
      </c>
      <c r="F320" s="36" t="s">
        <v>52</v>
      </c>
      <c r="G320" s="36" t="s">
        <v>53</v>
      </c>
      <c r="H320" s="36" t="s">
        <v>42</v>
      </c>
      <c r="I320" s="37">
        <v>6</v>
      </c>
      <c r="J320" s="36"/>
    </row>
    <row r="321" spans="1:10" x14ac:dyDescent="0.35">
      <c r="A321" s="36" t="s">
        <v>513</v>
      </c>
      <c r="B321" s="35">
        <v>45906</v>
      </c>
      <c r="C321" s="36" t="s">
        <v>238</v>
      </c>
      <c r="D321" s="36" t="s">
        <v>239</v>
      </c>
      <c r="E321" s="36" t="s">
        <v>104</v>
      </c>
      <c r="F321" s="36" t="s">
        <v>105</v>
      </c>
      <c r="G321" s="36" t="s">
        <v>102</v>
      </c>
      <c r="H321" s="36" t="s">
        <v>103</v>
      </c>
      <c r="I321" s="37">
        <v>10</v>
      </c>
      <c r="J321" s="36"/>
    </row>
    <row r="322" spans="1:10" x14ac:dyDescent="0.35">
      <c r="A322" s="36" t="s">
        <v>514</v>
      </c>
      <c r="B322" s="35">
        <v>45906</v>
      </c>
      <c r="C322" s="36" t="s">
        <v>238</v>
      </c>
      <c r="D322" s="36" t="s">
        <v>239</v>
      </c>
      <c r="E322" s="36" t="s">
        <v>109</v>
      </c>
      <c r="F322" s="36" t="s">
        <v>110</v>
      </c>
      <c r="G322" s="36" t="s">
        <v>102</v>
      </c>
      <c r="H322" s="36" t="s">
        <v>42</v>
      </c>
      <c r="I322" s="37">
        <v>9</v>
      </c>
      <c r="J322" s="36"/>
    </row>
    <row r="323" spans="1:10" x14ac:dyDescent="0.35">
      <c r="A323" s="36" t="s">
        <v>515</v>
      </c>
      <c r="B323" s="35">
        <v>45906</v>
      </c>
      <c r="C323" s="36" t="s">
        <v>238</v>
      </c>
      <c r="D323" s="36" t="s">
        <v>239</v>
      </c>
      <c r="E323" s="36" t="s">
        <v>37</v>
      </c>
      <c r="F323" s="36" t="s">
        <v>38</v>
      </c>
      <c r="G323" s="36" t="s">
        <v>31</v>
      </c>
      <c r="H323" s="36" t="s">
        <v>39</v>
      </c>
      <c r="I323" s="37">
        <v>8</v>
      </c>
      <c r="J323" s="36"/>
    </row>
    <row r="324" spans="1:10" x14ac:dyDescent="0.35">
      <c r="A324" s="36" t="s">
        <v>516</v>
      </c>
      <c r="B324" s="35">
        <v>45906</v>
      </c>
      <c r="C324" s="36" t="s">
        <v>238</v>
      </c>
      <c r="D324" s="36" t="s">
        <v>239</v>
      </c>
      <c r="E324" s="36" t="s">
        <v>43</v>
      </c>
      <c r="F324" s="36" t="s">
        <v>44</v>
      </c>
      <c r="G324" s="36" t="s">
        <v>31</v>
      </c>
      <c r="H324" s="36" t="s">
        <v>42</v>
      </c>
      <c r="I324" s="37">
        <v>9</v>
      </c>
      <c r="J324" s="36"/>
    </row>
    <row r="325" spans="1:10" x14ac:dyDescent="0.35">
      <c r="A325" s="36" t="s">
        <v>517</v>
      </c>
      <c r="B325" s="35">
        <v>45906</v>
      </c>
      <c r="C325" s="36" t="s">
        <v>238</v>
      </c>
      <c r="D325" s="36" t="s">
        <v>239</v>
      </c>
      <c r="E325" s="36" t="s">
        <v>76</v>
      </c>
      <c r="F325" s="36" t="s">
        <v>77</v>
      </c>
      <c r="G325" s="36" t="s">
        <v>74</v>
      </c>
      <c r="H325" s="36" t="s">
        <v>75</v>
      </c>
      <c r="I325" s="37">
        <v>5</v>
      </c>
      <c r="J325" s="36"/>
    </row>
    <row r="326" spans="1:10" x14ac:dyDescent="0.35">
      <c r="A326" s="36" t="s">
        <v>518</v>
      </c>
      <c r="B326" s="35">
        <v>45906</v>
      </c>
      <c r="C326" s="36" t="s">
        <v>238</v>
      </c>
      <c r="D326" s="36" t="s">
        <v>239</v>
      </c>
      <c r="E326" s="36" t="s">
        <v>141</v>
      </c>
      <c r="F326" s="36" t="s">
        <v>142</v>
      </c>
      <c r="G326" s="36" t="s">
        <v>8</v>
      </c>
      <c r="H326" s="36" t="s">
        <v>143</v>
      </c>
      <c r="I326" s="37">
        <v>2</v>
      </c>
      <c r="J326" s="36"/>
    </row>
    <row r="327" spans="1:10" x14ac:dyDescent="0.35">
      <c r="A327" s="36" t="s">
        <v>519</v>
      </c>
      <c r="B327" s="35">
        <v>45906</v>
      </c>
      <c r="C327" s="36" t="s">
        <v>238</v>
      </c>
      <c r="D327" s="36" t="s">
        <v>239</v>
      </c>
      <c r="E327" s="36" t="s">
        <v>86</v>
      </c>
      <c r="F327" s="36" t="s">
        <v>87</v>
      </c>
      <c r="G327" s="36" t="s">
        <v>74</v>
      </c>
      <c r="H327" s="36" t="s">
        <v>75</v>
      </c>
      <c r="I327" s="37">
        <v>6</v>
      </c>
      <c r="J327" s="36"/>
    </row>
    <row r="328" spans="1:10" x14ac:dyDescent="0.35">
      <c r="A328" s="36" t="s">
        <v>520</v>
      </c>
      <c r="B328" s="35">
        <v>45906</v>
      </c>
      <c r="C328" s="36" t="s">
        <v>238</v>
      </c>
      <c r="D328" s="36" t="s">
        <v>239</v>
      </c>
      <c r="E328" s="36" t="s">
        <v>29</v>
      </c>
      <c r="F328" s="36" t="s">
        <v>30</v>
      </c>
      <c r="G328" s="36" t="s">
        <v>31</v>
      </c>
      <c r="H328" s="36" t="s">
        <v>32</v>
      </c>
      <c r="I328" s="37">
        <v>8</v>
      </c>
      <c r="J328" s="36"/>
    </row>
    <row r="329" spans="1:10" x14ac:dyDescent="0.35">
      <c r="A329" s="36" t="s">
        <v>521</v>
      </c>
      <c r="B329" s="35">
        <v>45906</v>
      </c>
      <c r="C329" s="36" t="s">
        <v>238</v>
      </c>
      <c r="D329" s="36" t="s">
        <v>239</v>
      </c>
      <c r="E329" s="36" t="s">
        <v>122</v>
      </c>
      <c r="F329" s="36" t="s">
        <v>123</v>
      </c>
      <c r="G329" s="36" t="s">
        <v>14</v>
      </c>
      <c r="H329" s="36" t="s">
        <v>124</v>
      </c>
      <c r="I329" s="37">
        <v>1</v>
      </c>
      <c r="J329" s="36"/>
    </row>
    <row r="330" spans="1:10" x14ac:dyDescent="0.35">
      <c r="A330" s="36" t="s">
        <v>522</v>
      </c>
      <c r="B330" s="35">
        <v>45906</v>
      </c>
      <c r="C330" s="36" t="s">
        <v>238</v>
      </c>
      <c r="D330" s="36" t="s">
        <v>239</v>
      </c>
      <c r="E330" s="36" t="s">
        <v>130</v>
      </c>
      <c r="F330" s="36" t="s">
        <v>16</v>
      </c>
      <c r="G330" s="36" t="s">
        <v>10</v>
      </c>
      <c r="H330" s="36" t="s">
        <v>131</v>
      </c>
      <c r="I330" s="37">
        <v>3</v>
      </c>
      <c r="J330" s="36"/>
    </row>
    <row r="331" spans="1:10" x14ac:dyDescent="0.35">
      <c r="A331" s="36" t="s">
        <v>523</v>
      </c>
      <c r="B331" s="35">
        <v>45907</v>
      </c>
      <c r="C331" s="36" t="s">
        <v>238</v>
      </c>
      <c r="D331" s="36" t="s">
        <v>239</v>
      </c>
      <c r="E331" s="36" t="s">
        <v>153</v>
      </c>
      <c r="F331" s="36" t="s">
        <v>154</v>
      </c>
      <c r="G331" s="36" t="s">
        <v>12</v>
      </c>
      <c r="H331" s="36" t="s">
        <v>155</v>
      </c>
      <c r="I331" s="37">
        <v>3</v>
      </c>
      <c r="J331" s="36"/>
    </row>
    <row r="332" spans="1:10" x14ac:dyDescent="0.35">
      <c r="A332" s="36" t="s">
        <v>524</v>
      </c>
      <c r="B332" s="35">
        <v>45907</v>
      </c>
      <c r="C332" s="36" t="s">
        <v>238</v>
      </c>
      <c r="D332" s="36" t="s">
        <v>239</v>
      </c>
      <c r="E332" s="36" t="s">
        <v>161</v>
      </c>
      <c r="F332" s="36" t="s">
        <v>162</v>
      </c>
      <c r="G332" s="36" t="s">
        <v>159</v>
      </c>
      <c r="H332" s="36" t="s">
        <v>163</v>
      </c>
      <c r="I332" s="37">
        <v>4</v>
      </c>
      <c r="J332" s="36"/>
    </row>
    <row r="333" spans="1:10" x14ac:dyDescent="0.35">
      <c r="A333" s="36" t="s">
        <v>525</v>
      </c>
      <c r="B333" s="35">
        <v>45907</v>
      </c>
      <c r="C333" s="36" t="s">
        <v>238</v>
      </c>
      <c r="D333" s="36" t="s">
        <v>239</v>
      </c>
      <c r="E333" s="36" t="s">
        <v>48</v>
      </c>
      <c r="F333" s="36" t="s">
        <v>49</v>
      </c>
      <c r="G333" s="36" t="s">
        <v>31</v>
      </c>
      <c r="H333" s="36" t="s">
        <v>50</v>
      </c>
      <c r="I333" s="37">
        <v>6</v>
      </c>
      <c r="J333" s="36"/>
    </row>
    <row r="334" spans="1:10" x14ac:dyDescent="0.35">
      <c r="A334" s="36" t="s">
        <v>526</v>
      </c>
      <c r="B334" s="35">
        <v>45907</v>
      </c>
      <c r="C334" s="36" t="s">
        <v>238</v>
      </c>
      <c r="D334" s="36" t="s">
        <v>239</v>
      </c>
      <c r="E334" s="36" t="s">
        <v>76</v>
      </c>
      <c r="F334" s="36" t="s">
        <v>77</v>
      </c>
      <c r="G334" s="36" t="s">
        <v>74</v>
      </c>
      <c r="H334" s="36" t="s">
        <v>75</v>
      </c>
      <c r="I334" s="37">
        <v>3</v>
      </c>
      <c r="J334" s="36"/>
    </row>
    <row r="335" spans="1:10" x14ac:dyDescent="0.35">
      <c r="A335" s="36" t="s">
        <v>527</v>
      </c>
      <c r="B335" s="35">
        <v>45907</v>
      </c>
      <c r="C335" s="36" t="s">
        <v>238</v>
      </c>
      <c r="D335" s="36" t="s">
        <v>239</v>
      </c>
      <c r="E335" s="36" t="s">
        <v>141</v>
      </c>
      <c r="F335" s="36" t="s">
        <v>142</v>
      </c>
      <c r="G335" s="36" t="s">
        <v>8</v>
      </c>
      <c r="H335" s="36" t="s">
        <v>143</v>
      </c>
      <c r="I335" s="37">
        <v>3</v>
      </c>
      <c r="J335" s="36"/>
    </row>
    <row r="336" spans="1:10" x14ac:dyDescent="0.35">
      <c r="A336" s="36" t="s">
        <v>528</v>
      </c>
      <c r="B336" s="35">
        <v>45907</v>
      </c>
      <c r="C336" s="36" t="s">
        <v>238</v>
      </c>
      <c r="D336" s="36" t="s">
        <v>239</v>
      </c>
      <c r="E336" s="36" t="s">
        <v>69</v>
      </c>
      <c r="F336" s="36" t="s">
        <v>70</v>
      </c>
      <c r="G336" s="36" t="s">
        <v>66</v>
      </c>
      <c r="H336" s="36" t="s">
        <v>71</v>
      </c>
      <c r="I336" s="37">
        <v>5</v>
      </c>
      <c r="J336" s="36"/>
    </row>
    <row r="337" spans="1:10" x14ac:dyDescent="0.35">
      <c r="A337" s="36" t="s">
        <v>529</v>
      </c>
      <c r="B337" s="35">
        <v>45907</v>
      </c>
      <c r="C337" s="36" t="s">
        <v>190</v>
      </c>
      <c r="D337" s="36" t="s">
        <v>191</v>
      </c>
      <c r="E337" s="36" t="s">
        <v>94</v>
      </c>
      <c r="F337" s="36" t="s">
        <v>95</v>
      </c>
      <c r="G337" s="36" t="s">
        <v>93</v>
      </c>
      <c r="H337" s="36" t="s">
        <v>96</v>
      </c>
      <c r="I337" s="37">
        <v>12</v>
      </c>
      <c r="J337" s="36"/>
    </row>
    <row r="338" spans="1:10" x14ac:dyDescent="0.35">
      <c r="A338" s="36" t="s">
        <v>530</v>
      </c>
      <c r="B338" s="35">
        <v>45907</v>
      </c>
      <c r="C338" s="36" t="s">
        <v>190</v>
      </c>
      <c r="D338" s="36" t="s">
        <v>191</v>
      </c>
      <c r="E338" s="36" t="s">
        <v>146</v>
      </c>
      <c r="F338" s="36" t="s">
        <v>147</v>
      </c>
      <c r="G338" s="36" t="s">
        <v>8</v>
      </c>
      <c r="H338" s="36" t="s">
        <v>148</v>
      </c>
      <c r="I338" s="37">
        <v>6</v>
      </c>
      <c r="J338" s="36"/>
    </row>
    <row r="339" spans="1:10" x14ac:dyDescent="0.35">
      <c r="A339" s="36" t="s">
        <v>531</v>
      </c>
      <c r="B339" s="35">
        <v>45907</v>
      </c>
      <c r="C339" s="36" t="s">
        <v>190</v>
      </c>
      <c r="D339" s="36" t="s">
        <v>191</v>
      </c>
      <c r="E339" s="36" t="s">
        <v>86</v>
      </c>
      <c r="F339" s="36" t="s">
        <v>87</v>
      </c>
      <c r="G339" s="36" t="s">
        <v>74</v>
      </c>
      <c r="H339" s="36" t="s">
        <v>75</v>
      </c>
      <c r="I339" s="37">
        <v>12</v>
      </c>
      <c r="J339" s="36"/>
    </row>
    <row r="340" spans="1:10" x14ac:dyDescent="0.35">
      <c r="A340" s="36" t="s">
        <v>532</v>
      </c>
      <c r="B340" s="35">
        <v>45907</v>
      </c>
      <c r="C340" s="36" t="s">
        <v>190</v>
      </c>
      <c r="D340" s="36" t="s">
        <v>191</v>
      </c>
      <c r="E340" s="36" t="s">
        <v>106</v>
      </c>
      <c r="F340" s="36" t="s">
        <v>107</v>
      </c>
      <c r="G340" s="36" t="s">
        <v>102</v>
      </c>
      <c r="H340" s="36" t="s">
        <v>108</v>
      </c>
      <c r="I340" s="37">
        <v>16</v>
      </c>
      <c r="J340" s="36"/>
    </row>
    <row r="341" spans="1:10" x14ac:dyDescent="0.35">
      <c r="A341" s="36" t="s">
        <v>533</v>
      </c>
      <c r="B341" s="35">
        <v>45907</v>
      </c>
      <c r="C341" s="36" t="s">
        <v>190</v>
      </c>
      <c r="D341" s="36" t="s">
        <v>191</v>
      </c>
      <c r="E341" s="36" t="s">
        <v>51</v>
      </c>
      <c r="F341" s="36" t="s">
        <v>52</v>
      </c>
      <c r="G341" s="36" t="s">
        <v>53</v>
      </c>
      <c r="H341" s="36" t="s">
        <v>42</v>
      </c>
      <c r="I341" s="37">
        <v>24</v>
      </c>
      <c r="J341" s="36"/>
    </row>
    <row r="342" spans="1:10" x14ac:dyDescent="0.35">
      <c r="A342" s="36" t="s">
        <v>534</v>
      </c>
      <c r="B342" s="35">
        <v>45907</v>
      </c>
      <c r="C342" s="36" t="s">
        <v>190</v>
      </c>
      <c r="D342" s="36" t="s">
        <v>191</v>
      </c>
      <c r="E342" s="36" t="s">
        <v>48</v>
      </c>
      <c r="F342" s="36" t="s">
        <v>49</v>
      </c>
      <c r="G342" s="36" t="s">
        <v>31</v>
      </c>
      <c r="H342" s="36" t="s">
        <v>50</v>
      </c>
      <c r="I342" s="37">
        <v>25</v>
      </c>
      <c r="J342" s="36"/>
    </row>
    <row r="343" spans="1:10" x14ac:dyDescent="0.35">
      <c r="A343" s="36" t="s">
        <v>535</v>
      </c>
      <c r="B343" s="35">
        <v>45907</v>
      </c>
      <c r="C343" s="36" t="s">
        <v>190</v>
      </c>
      <c r="D343" s="36" t="s">
        <v>191</v>
      </c>
      <c r="E343" s="36" t="s">
        <v>37</v>
      </c>
      <c r="F343" s="36" t="s">
        <v>38</v>
      </c>
      <c r="G343" s="36" t="s">
        <v>31</v>
      </c>
      <c r="H343" s="36" t="s">
        <v>39</v>
      </c>
      <c r="I343" s="37">
        <v>13</v>
      </c>
      <c r="J343" s="36"/>
    </row>
    <row r="344" spans="1:10" x14ac:dyDescent="0.35">
      <c r="A344" s="36" t="s">
        <v>536</v>
      </c>
      <c r="B344" s="35">
        <v>45907</v>
      </c>
      <c r="C344" s="36" t="s">
        <v>190</v>
      </c>
      <c r="D344" s="36" t="s">
        <v>191</v>
      </c>
      <c r="E344" s="36" t="s">
        <v>29</v>
      </c>
      <c r="F344" s="36" t="s">
        <v>30</v>
      </c>
      <c r="G344" s="36" t="s">
        <v>31</v>
      </c>
      <c r="H344" s="36" t="s">
        <v>32</v>
      </c>
      <c r="I344" s="37">
        <v>24</v>
      </c>
      <c r="J344" s="36"/>
    </row>
    <row r="345" spans="1:10" x14ac:dyDescent="0.35">
      <c r="A345" s="36" t="s">
        <v>537</v>
      </c>
      <c r="B345" s="35">
        <v>45907</v>
      </c>
      <c r="C345" s="36" t="s">
        <v>190</v>
      </c>
      <c r="D345" s="36" t="s">
        <v>191</v>
      </c>
      <c r="E345" s="36" t="s">
        <v>54</v>
      </c>
      <c r="F345" s="36" t="s">
        <v>55</v>
      </c>
      <c r="G345" s="36" t="s">
        <v>53</v>
      </c>
      <c r="H345" s="36" t="s">
        <v>56</v>
      </c>
      <c r="I345" s="37">
        <v>16</v>
      </c>
      <c r="J345" s="36"/>
    </row>
    <row r="346" spans="1:10" x14ac:dyDescent="0.35">
      <c r="A346" s="36" t="s">
        <v>538</v>
      </c>
      <c r="B346" s="35">
        <v>45913</v>
      </c>
      <c r="C346" s="36" t="s">
        <v>210</v>
      </c>
      <c r="D346" s="36" t="s">
        <v>211</v>
      </c>
      <c r="E346" s="36" t="s">
        <v>109</v>
      </c>
      <c r="F346" s="36" t="s">
        <v>110</v>
      </c>
      <c r="G346" s="36" t="s">
        <v>102</v>
      </c>
      <c r="H346" s="36" t="s">
        <v>42</v>
      </c>
      <c r="I346" s="37">
        <v>5</v>
      </c>
      <c r="J346" s="36"/>
    </row>
    <row r="347" spans="1:10" x14ac:dyDescent="0.35">
      <c r="A347" s="36" t="s">
        <v>539</v>
      </c>
      <c r="B347" s="35">
        <v>45913</v>
      </c>
      <c r="C347" s="36" t="s">
        <v>210</v>
      </c>
      <c r="D347" s="36" t="s">
        <v>211</v>
      </c>
      <c r="E347" s="36" t="s">
        <v>86</v>
      </c>
      <c r="F347" s="36" t="s">
        <v>87</v>
      </c>
      <c r="G347" s="36" t="s">
        <v>74</v>
      </c>
      <c r="H347" s="36" t="s">
        <v>75</v>
      </c>
      <c r="I347" s="37">
        <v>5</v>
      </c>
      <c r="J347" s="36"/>
    </row>
    <row r="348" spans="1:10" x14ac:dyDescent="0.35">
      <c r="A348" s="36" t="s">
        <v>540</v>
      </c>
      <c r="B348" s="35">
        <v>45913</v>
      </c>
      <c r="C348" s="36" t="s">
        <v>210</v>
      </c>
      <c r="D348" s="36" t="s">
        <v>211</v>
      </c>
      <c r="E348" s="36" t="s">
        <v>51</v>
      </c>
      <c r="F348" s="36" t="s">
        <v>52</v>
      </c>
      <c r="G348" s="36" t="s">
        <v>53</v>
      </c>
      <c r="H348" s="36" t="s">
        <v>42</v>
      </c>
      <c r="I348" s="37">
        <v>14</v>
      </c>
      <c r="J348" s="36"/>
    </row>
    <row r="349" spans="1:10" x14ac:dyDescent="0.35">
      <c r="A349" s="36" t="s">
        <v>541</v>
      </c>
      <c r="B349" s="35">
        <v>45913</v>
      </c>
      <c r="C349" s="36" t="s">
        <v>210</v>
      </c>
      <c r="D349" s="36" t="s">
        <v>211</v>
      </c>
      <c r="E349" s="36" t="s">
        <v>117</v>
      </c>
      <c r="F349" s="36" t="s">
        <v>118</v>
      </c>
      <c r="G349" s="36" t="s">
        <v>14</v>
      </c>
      <c r="H349" s="36" t="s">
        <v>119</v>
      </c>
      <c r="I349" s="37">
        <v>3</v>
      </c>
      <c r="J349" s="36"/>
    </row>
    <row r="350" spans="1:10" x14ac:dyDescent="0.35">
      <c r="A350" s="36" t="s">
        <v>542</v>
      </c>
      <c r="B350" s="35">
        <v>45913</v>
      </c>
      <c r="C350" s="36" t="s">
        <v>210</v>
      </c>
      <c r="D350" s="36" t="s">
        <v>211</v>
      </c>
      <c r="E350" s="36" t="s">
        <v>141</v>
      </c>
      <c r="F350" s="36" t="s">
        <v>142</v>
      </c>
      <c r="G350" s="36" t="s">
        <v>8</v>
      </c>
      <c r="H350" s="36" t="s">
        <v>143</v>
      </c>
      <c r="I350" s="37">
        <v>5</v>
      </c>
      <c r="J350" s="36"/>
    </row>
    <row r="351" spans="1:10" x14ac:dyDescent="0.35">
      <c r="A351" s="36" t="s">
        <v>543</v>
      </c>
      <c r="B351" s="35">
        <v>45913</v>
      </c>
      <c r="C351" s="36" t="s">
        <v>210</v>
      </c>
      <c r="D351" s="36" t="s">
        <v>211</v>
      </c>
      <c r="E351" s="36" t="s">
        <v>34</v>
      </c>
      <c r="F351" s="36" t="s">
        <v>35</v>
      </c>
      <c r="G351" s="36" t="s">
        <v>31</v>
      </c>
      <c r="H351" s="36" t="s">
        <v>36</v>
      </c>
      <c r="I351" s="37">
        <v>11</v>
      </c>
      <c r="J351" s="36"/>
    </row>
    <row r="352" spans="1:10" x14ac:dyDescent="0.35">
      <c r="A352" s="36" t="s">
        <v>544</v>
      </c>
      <c r="B352" s="35">
        <v>45913</v>
      </c>
      <c r="C352" s="36" t="s">
        <v>210</v>
      </c>
      <c r="D352" s="36" t="s">
        <v>211</v>
      </c>
      <c r="E352" s="36" t="s">
        <v>48</v>
      </c>
      <c r="F352" s="36" t="s">
        <v>49</v>
      </c>
      <c r="G352" s="36" t="s">
        <v>31</v>
      </c>
      <c r="H352" s="36" t="s">
        <v>50</v>
      </c>
      <c r="I352" s="37">
        <v>8</v>
      </c>
      <c r="J352" s="36"/>
    </row>
    <row r="353" spans="1:10" x14ac:dyDescent="0.35">
      <c r="A353" s="36" t="s">
        <v>545</v>
      </c>
      <c r="B353" s="35">
        <v>45913</v>
      </c>
      <c r="C353" s="36" t="s">
        <v>210</v>
      </c>
      <c r="D353" s="36" t="s">
        <v>211</v>
      </c>
      <c r="E353" s="36" t="s">
        <v>100</v>
      </c>
      <c r="F353" s="36" t="s">
        <v>101</v>
      </c>
      <c r="G353" s="36" t="s">
        <v>102</v>
      </c>
      <c r="H353" s="36" t="s">
        <v>103</v>
      </c>
      <c r="I353" s="37">
        <v>10</v>
      </c>
      <c r="J353" s="36"/>
    </row>
    <row r="354" spans="1:10" x14ac:dyDescent="0.35">
      <c r="A354" s="36" t="s">
        <v>546</v>
      </c>
      <c r="B354" s="35">
        <v>45913</v>
      </c>
      <c r="C354" s="36" t="s">
        <v>210</v>
      </c>
      <c r="D354" s="36" t="s">
        <v>211</v>
      </c>
      <c r="E354" s="36" t="s">
        <v>104</v>
      </c>
      <c r="F354" s="36" t="s">
        <v>105</v>
      </c>
      <c r="G354" s="36" t="s">
        <v>102</v>
      </c>
      <c r="H354" s="36" t="s">
        <v>103</v>
      </c>
      <c r="I354" s="37">
        <v>12</v>
      </c>
      <c r="J354" s="36"/>
    </row>
    <row r="355" spans="1:10" x14ac:dyDescent="0.35">
      <c r="A355" s="36" t="s">
        <v>547</v>
      </c>
      <c r="B355" s="35">
        <v>45913</v>
      </c>
      <c r="C355" s="36" t="s">
        <v>210</v>
      </c>
      <c r="D355" s="36" t="s">
        <v>211</v>
      </c>
      <c r="E355" s="36" t="s">
        <v>37</v>
      </c>
      <c r="F355" s="36" t="s">
        <v>38</v>
      </c>
      <c r="G355" s="36" t="s">
        <v>31</v>
      </c>
      <c r="H355" s="36" t="s">
        <v>39</v>
      </c>
      <c r="I355" s="37">
        <v>9</v>
      </c>
      <c r="J355" s="36"/>
    </row>
    <row r="356" spans="1:10" x14ac:dyDescent="0.35">
      <c r="A356" s="36" t="s">
        <v>548</v>
      </c>
      <c r="B356" s="35">
        <v>45913</v>
      </c>
      <c r="C356" s="36" t="s">
        <v>210</v>
      </c>
      <c r="D356" s="36" t="s">
        <v>211</v>
      </c>
      <c r="E356" s="36" t="s">
        <v>128</v>
      </c>
      <c r="F356" s="36" t="s">
        <v>9</v>
      </c>
      <c r="G356" s="36" t="s">
        <v>10</v>
      </c>
      <c r="H356" s="36" t="s">
        <v>129</v>
      </c>
      <c r="I356" s="37">
        <v>3</v>
      </c>
      <c r="J356" s="36"/>
    </row>
    <row r="357" spans="1:10" x14ac:dyDescent="0.35">
      <c r="A357" s="36" t="s">
        <v>549</v>
      </c>
      <c r="B357" s="35">
        <v>45913</v>
      </c>
      <c r="C357" s="36" t="s">
        <v>210</v>
      </c>
      <c r="D357" s="36" t="s">
        <v>211</v>
      </c>
      <c r="E357" s="36" t="s">
        <v>137</v>
      </c>
      <c r="F357" s="36" t="s">
        <v>15</v>
      </c>
      <c r="G357" s="36" t="s">
        <v>6</v>
      </c>
      <c r="H357" s="36" t="s">
        <v>136</v>
      </c>
      <c r="I357" s="37">
        <v>5</v>
      </c>
      <c r="J357" s="36"/>
    </row>
    <row r="358" spans="1:10" x14ac:dyDescent="0.35">
      <c r="A358" s="36" t="s">
        <v>550</v>
      </c>
      <c r="B358" s="35">
        <v>45913</v>
      </c>
      <c r="C358" s="36" t="s">
        <v>190</v>
      </c>
      <c r="D358" s="36" t="s">
        <v>191</v>
      </c>
      <c r="E358" s="36" t="s">
        <v>88</v>
      </c>
      <c r="F358" s="36" t="s">
        <v>89</v>
      </c>
      <c r="G358" s="36" t="s">
        <v>74</v>
      </c>
      <c r="H358" s="36" t="s">
        <v>90</v>
      </c>
      <c r="I358" s="37">
        <v>12</v>
      </c>
      <c r="J358" s="36"/>
    </row>
    <row r="359" spans="1:10" x14ac:dyDescent="0.35">
      <c r="A359" s="36" t="s">
        <v>551</v>
      </c>
      <c r="B359" s="35">
        <v>45913</v>
      </c>
      <c r="C359" s="36" t="s">
        <v>190</v>
      </c>
      <c r="D359" s="36" t="s">
        <v>191</v>
      </c>
      <c r="E359" s="36" t="s">
        <v>128</v>
      </c>
      <c r="F359" s="36" t="s">
        <v>9</v>
      </c>
      <c r="G359" s="36" t="s">
        <v>10</v>
      </c>
      <c r="H359" s="36" t="s">
        <v>129</v>
      </c>
      <c r="I359" s="37">
        <v>11</v>
      </c>
      <c r="J359" s="36"/>
    </row>
    <row r="360" spans="1:10" x14ac:dyDescent="0.35">
      <c r="A360" s="36" t="s">
        <v>552</v>
      </c>
      <c r="B360" s="35">
        <v>45913</v>
      </c>
      <c r="C360" s="36" t="s">
        <v>190</v>
      </c>
      <c r="D360" s="36" t="s">
        <v>191</v>
      </c>
      <c r="E360" s="36" t="s">
        <v>137</v>
      </c>
      <c r="F360" s="36" t="s">
        <v>15</v>
      </c>
      <c r="G360" s="36" t="s">
        <v>6</v>
      </c>
      <c r="H360" s="36" t="s">
        <v>136</v>
      </c>
      <c r="I360" s="37">
        <v>18</v>
      </c>
      <c r="J360" s="36"/>
    </row>
    <row r="361" spans="1:10" x14ac:dyDescent="0.35">
      <c r="A361" s="36" t="s">
        <v>553</v>
      </c>
      <c r="B361" s="35">
        <v>45913</v>
      </c>
      <c r="C361" s="36" t="s">
        <v>190</v>
      </c>
      <c r="D361" s="36" t="s">
        <v>191</v>
      </c>
      <c r="E361" s="36" t="s">
        <v>135</v>
      </c>
      <c r="F361" s="36" t="s">
        <v>5</v>
      </c>
      <c r="G361" s="36" t="s">
        <v>6</v>
      </c>
      <c r="H361" s="36" t="s">
        <v>136</v>
      </c>
      <c r="I361" s="37">
        <v>11</v>
      </c>
      <c r="J361" s="36"/>
    </row>
    <row r="362" spans="1:10" x14ac:dyDescent="0.35">
      <c r="A362" s="36" t="s">
        <v>554</v>
      </c>
      <c r="B362" s="35">
        <v>45913</v>
      </c>
      <c r="C362" s="36" t="s">
        <v>190</v>
      </c>
      <c r="D362" s="36" t="s">
        <v>191</v>
      </c>
      <c r="E362" s="36" t="s">
        <v>114</v>
      </c>
      <c r="F362" s="36" t="s">
        <v>13</v>
      </c>
      <c r="G362" s="36" t="s">
        <v>14</v>
      </c>
      <c r="H362" s="36" t="s">
        <v>115</v>
      </c>
      <c r="I362" s="37">
        <v>4</v>
      </c>
      <c r="J362" s="36"/>
    </row>
    <row r="363" spans="1:10" x14ac:dyDescent="0.35">
      <c r="A363" s="36" t="s">
        <v>555</v>
      </c>
      <c r="B363" s="35">
        <v>45913</v>
      </c>
      <c r="C363" s="36" t="s">
        <v>190</v>
      </c>
      <c r="D363" s="36" t="s">
        <v>191</v>
      </c>
      <c r="E363" s="36" t="s">
        <v>144</v>
      </c>
      <c r="F363" s="36" t="s">
        <v>7</v>
      </c>
      <c r="G363" s="36" t="s">
        <v>8</v>
      </c>
      <c r="H363" s="36" t="s">
        <v>145</v>
      </c>
      <c r="I363" s="37">
        <v>10</v>
      </c>
      <c r="J363" s="36"/>
    </row>
    <row r="364" spans="1:10" x14ac:dyDescent="0.35">
      <c r="A364" s="36" t="s">
        <v>556</v>
      </c>
      <c r="B364" s="35">
        <v>45913</v>
      </c>
      <c r="C364" s="36" t="s">
        <v>190</v>
      </c>
      <c r="D364" s="36" t="s">
        <v>191</v>
      </c>
      <c r="E364" s="36" t="s">
        <v>94</v>
      </c>
      <c r="F364" s="36" t="s">
        <v>95</v>
      </c>
      <c r="G364" s="36" t="s">
        <v>93</v>
      </c>
      <c r="H364" s="36" t="s">
        <v>96</v>
      </c>
      <c r="I364" s="37">
        <v>7</v>
      </c>
      <c r="J364" s="36"/>
    </row>
    <row r="365" spans="1:10" x14ac:dyDescent="0.35">
      <c r="A365" s="36" t="s">
        <v>557</v>
      </c>
      <c r="B365" s="35">
        <v>45913</v>
      </c>
      <c r="C365" s="36" t="s">
        <v>190</v>
      </c>
      <c r="D365" s="36" t="s">
        <v>191</v>
      </c>
      <c r="E365" s="36" t="s">
        <v>109</v>
      </c>
      <c r="F365" s="36" t="s">
        <v>110</v>
      </c>
      <c r="G365" s="36" t="s">
        <v>102</v>
      </c>
      <c r="H365" s="36" t="s">
        <v>42</v>
      </c>
      <c r="I365" s="37">
        <v>12</v>
      </c>
      <c r="J365" s="36"/>
    </row>
    <row r="366" spans="1:10" x14ac:dyDescent="0.35">
      <c r="A366" s="36" t="s">
        <v>558</v>
      </c>
      <c r="B366" s="35">
        <v>45913</v>
      </c>
      <c r="C366" s="36" t="s">
        <v>190</v>
      </c>
      <c r="D366" s="36" t="s">
        <v>191</v>
      </c>
      <c r="E366" s="36" t="s">
        <v>51</v>
      </c>
      <c r="F366" s="36" t="s">
        <v>52</v>
      </c>
      <c r="G366" s="36" t="s">
        <v>53</v>
      </c>
      <c r="H366" s="36" t="s">
        <v>42</v>
      </c>
      <c r="I366" s="37">
        <v>15</v>
      </c>
      <c r="J366" s="36"/>
    </row>
    <row r="367" spans="1:10" x14ac:dyDescent="0.35">
      <c r="A367" s="36" t="s">
        <v>559</v>
      </c>
      <c r="B367" s="35">
        <v>45913</v>
      </c>
      <c r="C367" s="36" t="s">
        <v>190</v>
      </c>
      <c r="D367" s="36" t="s">
        <v>191</v>
      </c>
      <c r="E367" s="36" t="s">
        <v>48</v>
      </c>
      <c r="F367" s="36" t="s">
        <v>49</v>
      </c>
      <c r="G367" s="36" t="s">
        <v>31</v>
      </c>
      <c r="H367" s="36" t="s">
        <v>50</v>
      </c>
      <c r="I367" s="37">
        <v>23</v>
      </c>
      <c r="J367" s="36"/>
    </row>
    <row r="368" spans="1:10" x14ac:dyDescent="0.35">
      <c r="A368" s="36" t="s">
        <v>560</v>
      </c>
      <c r="B368" s="35">
        <v>45913</v>
      </c>
      <c r="C368" s="36" t="s">
        <v>190</v>
      </c>
      <c r="D368" s="36" t="s">
        <v>191</v>
      </c>
      <c r="E368" s="36" t="s">
        <v>69</v>
      </c>
      <c r="F368" s="36" t="s">
        <v>70</v>
      </c>
      <c r="G368" s="36" t="s">
        <v>66</v>
      </c>
      <c r="H368" s="36" t="s">
        <v>71</v>
      </c>
      <c r="I368" s="37">
        <v>14</v>
      </c>
      <c r="J368" s="36"/>
    </row>
    <row r="369" spans="1:10" x14ac:dyDescent="0.35">
      <c r="A369" s="36" t="s">
        <v>561</v>
      </c>
      <c r="B369" s="35">
        <v>45913</v>
      </c>
      <c r="C369" s="36" t="s">
        <v>190</v>
      </c>
      <c r="D369" s="36" t="s">
        <v>191</v>
      </c>
      <c r="E369" s="36" t="s">
        <v>29</v>
      </c>
      <c r="F369" s="36" t="s">
        <v>30</v>
      </c>
      <c r="G369" s="36" t="s">
        <v>31</v>
      </c>
      <c r="H369" s="36" t="s">
        <v>32</v>
      </c>
      <c r="I369" s="37">
        <v>13</v>
      </c>
      <c r="J369" s="36"/>
    </row>
    <row r="370" spans="1:10" x14ac:dyDescent="0.35">
      <c r="A370" s="36" t="s">
        <v>562</v>
      </c>
      <c r="B370" s="35">
        <v>45916</v>
      </c>
      <c r="C370" s="36" t="s">
        <v>190</v>
      </c>
      <c r="D370" s="36" t="s">
        <v>191</v>
      </c>
      <c r="E370" s="36" t="s">
        <v>120</v>
      </c>
      <c r="F370" s="36" t="s">
        <v>121</v>
      </c>
      <c r="G370" s="36" t="s">
        <v>14</v>
      </c>
      <c r="H370" s="36" t="s">
        <v>119</v>
      </c>
      <c r="I370" s="37">
        <v>3</v>
      </c>
      <c r="J370" s="36"/>
    </row>
    <row r="371" spans="1:10" x14ac:dyDescent="0.35">
      <c r="A371" s="36" t="s">
        <v>563</v>
      </c>
      <c r="B371" s="35">
        <v>45916</v>
      </c>
      <c r="C371" s="36" t="s">
        <v>190</v>
      </c>
      <c r="D371" s="36" t="s">
        <v>191</v>
      </c>
      <c r="E371" s="36" t="s">
        <v>114</v>
      </c>
      <c r="F371" s="36" t="s">
        <v>13</v>
      </c>
      <c r="G371" s="36" t="s">
        <v>14</v>
      </c>
      <c r="H371" s="36" t="s">
        <v>115</v>
      </c>
      <c r="I371" s="37">
        <v>5</v>
      </c>
      <c r="J371" s="36"/>
    </row>
    <row r="372" spans="1:10" x14ac:dyDescent="0.35">
      <c r="A372" s="36" t="s">
        <v>564</v>
      </c>
      <c r="B372" s="35">
        <v>45916</v>
      </c>
      <c r="C372" s="36" t="s">
        <v>190</v>
      </c>
      <c r="D372" s="36" t="s">
        <v>191</v>
      </c>
      <c r="E372" s="36" t="s">
        <v>117</v>
      </c>
      <c r="F372" s="36" t="s">
        <v>118</v>
      </c>
      <c r="G372" s="36" t="s">
        <v>14</v>
      </c>
      <c r="H372" s="36" t="s">
        <v>119</v>
      </c>
      <c r="I372" s="37">
        <v>2</v>
      </c>
      <c r="J372" s="36"/>
    </row>
    <row r="373" spans="1:10" x14ac:dyDescent="0.35">
      <c r="A373" s="36" t="s">
        <v>565</v>
      </c>
      <c r="B373" s="35">
        <v>45916</v>
      </c>
      <c r="C373" s="36" t="s">
        <v>190</v>
      </c>
      <c r="D373" s="36" t="s">
        <v>191</v>
      </c>
      <c r="E373" s="36" t="s">
        <v>59</v>
      </c>
      <c r="F373" s="36" t="s">
        <v>60</v>
      </c>
      <c r="G373" s="36" t="s">
        <v>53</v>
      </c>
      <c r="H373" s="36" t="s">
        <v>56</v>
      </c>
      <c r="I373" s="37">
        <v>17</v>
      </c>
      <c r="J373" s="36"/>
    </row>
    <row r="374" spans="1:10" x14ac:dyDescent="0.35">
      <c r="A374" s="36" t="s">
        <v>566</v>
      </c>
      <c r="B374" s="35">
        <v>45916</v>
      </c>
      <c r="C374" s="36" t="s">
        <v>190</v>
      </c>
      <c r="D374" s="36" t="s">
        <v>191</v>
      </c>
      <c r="E374" s="36" t="s">
        <v>43</v>
      </c>
      <c r="F374" s="36" t="s">
        <v>44</v>
      </c>
      <c r="G374" s="36" t="s">
        <v>31</v>
      </c>
      <c r="H374" s="36" t="s">
        <v>42</v>
      </c>
      <c r="I374" s="37">
        <v>22</v>
      </c>
      <c r="J374" s="36"/>
    </row>
    <row r="375" spans="1:10" x14ac:dyDescent="0.35">
      <c r="A375" s="36" t="s">
        <v>567</v>
      </c>
      <c r="B375" s="35">
        <v>45916</v>
      </c>
      <c r="C375" s="36" t="s">
        <v>190</v>
      </c>
      <c r="D375" s="36" t="s">
        <v>191</v>
      </c>
      <c r="E375" s="36" t="s">
        <v>156</v>
      </c>
      <c r="F375" s="36" t="s">
        <v>11</v>
      </c>
      <c r="G375" s="36" t="s">
        <v>12</v>
      </c>
      <c r="H375" s="36" t="s">
        <v>155</v>
      </c>
      <c r="I375" s="37">
        <v>5</v>
      </c>
      <c r="J375" s="36"/>
    </row>
    <row r="376" spans="1:10" x14ac:dyDescent="0.35">
      <c r="A376" s="36" t="s">
        <v>568</v>
      </c>
      <c r="B376" s="35">
        <v>45916</v>
      </c>
      <c r="C376" s="36" t="s">
        <v>190</v>
      </c>
      <c r="D376" s="36" t="s">
        <v>191</v>
      </c>
      <c r="E376" s="36" t="s">
        <v>86</v>
      </c>
      <c r="F376" s="36" t="s">
        <v>87</v>
      </c>
      <c r="G376" s="36" t="s">
        <v>74</v>
      </c>
      <c r="H376" s="36" t="s">
        <v>75</v>
      </c>
      <c r="I376" s="37">
        <v>11</v>
      </c>
      <c r="J376" s="36"/>
    </row>
    <row r="377" spans="1:10" x14ac:dyDescent="0.35">
      <c r="A377" s="36" t="s">
        <v>569</v>
      </c>
      <c r="B377" s="35">
        <v>45918</v>
      </c>
      <c r="C377" s="36" t="s">
        <v>210</v>
      </c>
      <c r="D377" s="36" t="s">
        <v>211</v>
      </c>
      <c r="E377" s="36" t="s">
        <v>111</v>
      </c>
      <c r="F377" s="36" t="s">
        <v>112</v>
      </c>
      <c r="G377" s="36" t="s">
        <v>102</v>
      </c>
      <c r="H377" s="36" t="s">
        <v>113</v>
      </c>
      <c r="I377" s="37">
        <v>11</v>
      </c>
      <c r="J377" s="36"/>
    </row>
    <row r="378" spans="1:10" x14ac:dyDescent="0.35">
      <c r="A378" s="36" t="s">
        <v>570</v>
      </c>
      <c r="B378" s="35">
        <v>45918</v>
      </c>
      <c r="C378" s="36" t="s">
        <v>210</v>
      </c>
      <c r="D378" s="36" t="s">
        <v>211</v>
      </c>
      <c r="E378" s="36" t="s">
        <v>64</v>
      </c>
      <c r="F378" s="36" t="s">
        <v>65</v>
      </c>
      <c r="G378" s="36" t="s">
        <v>66</v>
      </c>
      <c r="H378" s="36" t="s">
        <v>42</v>
      </c>
      <c r="I378" s="37">
        <v>10</v>
      </c>
      <c r="J378" s="36"/>
    </row>
    <row r="379" spans="1:10" x14ac:dyDescent="0.35">
      <c r="A379" s="36" t="s">
        <v>571</v>
      </c>
      <c r="B379" s="35">
        <v>45918</v>
      </c>
      <c r="C379" s="36" t="s">
        <v>210</v>
      </c>
      <c r="D379" s="36" t="s">
        <v>211</v>
      </c>
      <c r="E379" s="36" t="s">
        <v>151</v>
      </c>
      <c r="F379" s="36" t="s">
        <v>152</v>
      </c>
      <c r="G379" s="36" t="s">
        <v>8</v>
      </c>
      <c r="H379" s="36" t="s">
        <v>143</v>
      </c>
      <c r="I379" s="37">
        <v>7</v>
      </c>
      <c r="J379" s="36"/>
    </row>
    <row r="380" spans="1:10" x14ac:dyDescent="0.35">
      <c r="A380" s="36" t="s">
        <v>572</v>
      </c>
      <c r="B380" s="35">
        <v>45918</v>
      </c>
      <c r="C380" s="36" t="s">
        <v>210</v>
      </c>
      <c r="D380" s="36" t="s">
        <v>211</v>
      </c>
      <c r="E380" s="36" t="s">
        <v>88</v>
      </c>
      <c r="F380" s="36" t="s">
        <v>89</v>
      </c>
      <c r="G380" s="36" t="s">
        <v>74</v>
      </c>
      <c r="H380" s="36" t="s">
        <v>90</v>
      </c>
      <c r="I380" s="37">
        <v>8</v>
      </c>
      <c r="J380" s="36"/>
    </row>
    <row r="381" spans="1:10" x14ac:dyDescent="0.35">
      <c r="A381" s="36" t="s">
        <v>573</v>
      </c>
      <c r="B381" s="35">
        <v>45918</v>
      </c>
      <c r="C381" s="36" t="s">
        <v>210</v>
      </c>
      <c r="D381" s="36" t="s">
        <v>211</v>
      </c>
      <c r="E381" s="36" t="s">
        <v>48</v>
      </c>
      <c r="F381" s="36" t="s">
        <v>49</v>
      </c>
      <c r="G381" s="36" t="s">
        <v>31</v>
      </c>
      <c r="H381" s="36" t="s">
        <v>50</v>
      </c>
      <c r="I381" s="37">
        <v>12</v>
      </c>
      <c r="J381" s="36"/>
    </row>
    <row r="382" spans="1:10" x14ac:dyDescent="0.35">
      <c r="A382" s="36" t="s">
        <v>574</v>
      </c>
      <c r="B382" s="35">
        <v>45918</v>
      </c>
      <c r="C382" s="36" t="s">
        <v>210</v>
      </c>
      <c r="D382" s="36" t="s">
        <v>211</v>
      </c>
      <c r="E382" s="36" t="s">
        <v>104</v>
      </c>
      <c r="F382" s="36" t="s">
        <v>105</v>
      </c>
      <c r="G382" s="36" t="s">
        <v>102</v>
      </c>
      <c r="H382" s="36" t="s">
        <v>103</v>
      </c>
      <c r="I382" s="37">
        <v>12</v>
      </c>
      <c r="J382" s="36"/>
    </row>
    <row r="383" spans="1:10" x14ac:dyDescent="0.35">
      <c r="A383" s="36" t="s">
        <v>575</v>
      </c>
      <c r="B383" s="35">
        <v>45918</v>
      </c>
      <c r="C383" s="36" t="s">
        <v>210</v>
      </c>
      <c r="D383" s="36" t="s">
        <v>211</v>
      </c>
      <c r="E383" s="36" t="s">
        <v>37</v>
      </c>
      <c r="F383" s="36" t="s">
        <v>38</v>
      </c>
      <c r="G383" s="36" t="s">
        <v>31</v>
      </c>
      <c r="H383" s="36" t="s">
        <v>39</v>
      </c>
      <c r="I383" s="37">
        <v>7</v>
      </c>
      <c r="J383" s="36"/>
    </row>
    <row r="384" spans="1:10" x14ac:dyDescent="0.35">
      <c r="A384" s="36" t="s">
        <v>576</v>
      </c>
      <c r="B384" s="35">
        <v>45918</v>
      </c>
      <c r="C384" s="36" t="s">
        <v>210</v>
      </c>
      <c r="D384" s="36" t="s">
        <v>211</v>
      </c>
      <c r="E384" s="36" t="s">
        <v>138</v>
      </c>
      <c r="F384" s="36" t="s">
        <v>139</v>
      </c>
      <c r="G384" s="36" t="s">
        <v>6</v>
      </c>
      <c r="H384" s="36" t="s">
        <v>140</v>
      </c>
      <c r="I384" s="37">
        <v>7</v>
      </c>
      <c r="J384" s="36"/>
    </row>
    <row r="385" spans="1:10" x14ac:dyDescent="0.35">
      <c r="A385" s="36" t="s">
        <v>577</v>
      </c>
      <c r="B385" s="35">
        <v>45921</v>
      </c>
      <c r="C385" s="36" t="s">
        <v>210</v>
      </c>
      <c r="D385" s="36" t="s">
        <v>211</v>
      </c>
      <c r="E385" s="36" t="s">
        <v>120</v>
      </c>
      <c r="F385" s="36" t="s">
        <v>121</v>
      </c>
      <c r="G385" s="36" t="s">
        <v>14</v>
      </c>
      <c r="H385" s="36" t="s">
        <v>119</v>
      </c>
      <c r="I385" s="37">
        <v>4</v>
      </c>
      <c r="J385" s="36"/>
    </row>
    <row r="386" spans="1:10" x14ac:dyDescent="0.35">
      <c r="A386" s="36" t="s">
        <v>578</v>
      </c>
      <c r="B386" s="35">
        <v>45921</v>
      </c>
      <c r="C386" s="36" t="s">
        <v>210</v>
      </c>
      <c r="D386" s="36" t="s">
        <v>211</v>
      </c>
      <c r="E386" s="36" t="s">
        <v>61</v>
      </c>
      <c r="F386" s="36" t="s">
        <v>62</v>
      </c>
      <c r="G386" s="36" t="s">
        <v>53</v>
      </c>
      <c r="H386" s="36" t="s">
        <v>42</v>
      </c>
      <c r="I386" s="37">
        <v>12</v>
      </c>
      <c r="J386" s="36"/>
    </row>
    <row r="387" spans="1:10" x14ac:dyDescent="0.35">
      <c r="A387" s="36" t="s">
        <v>579</v>
      </c>
      <c r="B387" s="35">
        <v>45921</v>
      </c>
      <c r="C387" s="36" t="s">
        <v>210</v>
      </c>
      <c r="D387" s="36" t="s">
        <v>211</v>
      </c>
      <c r="E387" s="36" t="s">
        <v>149</v>
      </c>
      <c r="F387" s="36" t="s">
        <v>150</v>
      </c>
      <c r="G387" s="36" t="s">
        <v>8</v>
      </c>
      <c r="H387" s="36" t="s">
        <v>75</v>
      </c>
      <c r="I387" s="37">
        <v>6</v>
      </c>
      <c r="J387" s="36"/>
    </row>
    <row r="388" spans="1:10" x14ac:dyDescent="0.35">
      <c r="A388" s="36" t="s">
        <v>580</v>
      </c>
      <c r="B388" s="35">
        <v>45921</v>
      </c>
      <c r="C388" s="36" t="s">
        <v>210</v>
      </c>
      <c r="D388" s="36" t="s">
        <v>211</v>
      </c>
      <c r="E388" s="36" t="s">
        <v>132</v>
      </c>
      <c r="F388" s="36" t="s">
        <v>133</v>
      </c>
      <c r="G388" s="36" t="s">
        <v>10</v>
      </c>
      <c r="H388" s="36" t="s">
        <v>134</v>
      </c>
      <c r="I388" s="37">
        <v>6</v>
      </c>
      <c r="J388" s="36"/>
    </row>
    <row r="389" spans="1:10" x14ac:dyDescent="0.35">
      <c r="A389" s="36" t="s">
        <v>581</v>
      </c>
      <c r="B389" s="35">
        <v>45921</v>
      </c>
      <c r="C389" s="36" t="s">
        <v>210</v>
      </c>
      <c r="D389" s="36" t="s">
        <v>211</v>
      </c>
      <c r="E389" s="36" t="s">
        <v>157</v>
      </c>
      <c r="F389" s="36" t="s">
        <v>158</v>
      </c>
      <c r="G389" s="36" t="s">
        <v>159</v>
      </c>
      <c r="H389" s="36" t="s">
        <v>160</v>
      </c>
      <c r="I389" s="37">
        <v>3</v>
      </c>
      <c r="J389" s="36"/>
    </row>
    <row r="390" spans="1:10" x14ac:dyDescent="0.35">
      <c r="A390" s="36" t="s">
        <v>582</v>
      </c>
      <c r="B390" s="35">
        <v>45921</v>
      </c>
      <c r="C390" s="36" t="s">
        <v>210</v>
      </c>
      <c r="D390" s="36" t="s">
        <v>211</v>
      </c>
      <c r="E390" s="36" t="s">
        <v>54</v>
      </c>
      <c r="F390" s="36" t="s">
        <v>55</v>
      </c>
      <c r="G390" s="36" t="s">
        <v>53</v>
      </c>
      <c r="H390" s="36" t="s">
        <v>56</v>
      </c>
      <c r="I390" s="37">
        <v>12</v>
      </c>
      <c r="J390" s="36"/>
    </row>
    <row r="391" spans="1:10" x14ac:dyDescent="0.35">
      <c r="A391" s="36" t="s">
        <v>583</v>
      </c>
      <c r="B391" s="35">
        <v>45921</v>
      </c>
      <c r="C391" s="36" t="s">
        <v>210</v>
      </c>
      <c r="D391" s="36" t="s">
        <v>211</v>
      </c>
      <c r="E391" s="36" t="s">
        <v>48</v>
      </c>
      <c r="F391" s="36" t="s">
        <v>49</v>
      </c>
      <c r="G391" s="36" t="s">
        <v>31</v>
      </c>
      <c r="H391" s="36" t="s">
        <v>50</v>
      </c>
      <c r="I391" s="37">
        <v>9</v>
      </c>
      <c r="J391" s="36"/>
    </row>
    <row r="392" spans="1:10" x14ac:dyDescent="0.35">
      <c r="A392" s="36" t="s">
        <v>584</v>
      </c>
      <c r="B392" s="35">
        <v>45921</v>
      </c>
      <c r="C392" s="36" t="s">
        <v>210</v>
      </c>
      <c r="D392" s="36" t="s">
        <v>211</v>
      </c>
      <c r="E392" s="36" t="s">
        <v>97</v>
      </c>
      <c r="F392" s="36" t="s">
        <v>98</v>
      </c>
      <c r="G392" s="36" t="s">
        <v>93</v>
      </c>
      <c r="H392" s="36" t="s">
        <v>99</v>
      </c>
      <c r="I392" s="37">
        <v>6</v>
      </c>
      <c r="J392" s="36"/>
    </row>
    <row r="393" spans="1:10" x14ac:dyDescent="0.35">
      <c r="A393" s="36" t="s">
        <v>585</v>
      </c>
      <c r="B393" s="35">
        <v>45921</v>
      </c>
      <c r="C393" s="36" t="s">
        <v>210</v>
      </c>
      <c r="D393" s="36" t="s">
        <v>211</v>
      </c>
      <c r="E393" s="36" t="s">
        <v>135</v>
      </c>
      <c r="F393" s="36" t="s">
        <v>5</v>
      </c>
      <c r="G393" s="36" t="s">
        <v>6</v>
      </c>
      <c r="H393" s="36" t="s">
        <v>136</v>
      </c>
      <c r="I393" s="37">
        <v>9</v>
      </c>
      <c r="J393" s="36"/>
    </row>
    <row r="394" spans="1:10" x14ac:dyDescent="0.35">
      <c r="A394" s="36" t="s">
        <v>586</v>
      </c>
      <c r="B394" s="35">
        <v>45921</v>
      </c>
      <c r="C394" s="36" t="s">
        <v>210</v>
      </c>
      <c r="D394" s="36" t="s">
        <v>211</v>
      </c>
      <c r="E394" s="36" t="s">
        <v>141</v>
      </c>
      <c r="F394" s="36" t="s">
        <v>142</v>
      </c>
      <c r="G394" s="36" t="s">
        <v>8</v>
      </c>
      <c r="H394" s="36" t="s">
        <v>143</v>
      </c>
      <c r="I394" s="37">
        <v>4</v>
      </c>
      <c r="J394" s="36"/>
    </row>
    <row r="395" spans="1:10" x14ac:dyDescent="0.35">
      <c r="A395" s="36" t="s">
        <v>587</v>
      </c>
      <c r="B395" s="35">
        <v>45921</v>
      </c>
      <c r="C395" s="36" t="s">
        <v>210</v>
      </c>
      <c r="D395" s="36" t="s">
        <v>211</v>
      </c>
      <c r="E395" s="36" t="s">
        <v>86</v>
      </c>
      <c r="F395" s="36" t="s">
        <v>87</v>
      </c>
      <c r="G395" s="36" t="s">
        <v>74</v>
      </c>
      <c r="H395" s="36" t="s">
        <v>75</v>
      </c>
      <c r="I395" s="37">
        <v>9</v>
      </c>
      <c r="J395" s="36"/>
    </row>
    <row r="396" spans="1:10" x14ac:dyDescent="0.35">
      <c r="A396" s="36" t="s">
        <v>588</v>
      </c>
      <c r="B396" s="35">
        <v>45921</v>
      </c>
      <c r="C396" s="36" t="s">
        <v>210</v>
      </c>
      <c r="D396" s="36" t="s">
        <v>211</v>
      </c>
      <c r="E396" s="36" t="s">
        <v>161</v>
      </c>
      <c r="F396" s="36" t="s">
        <v>162</v>
      </c>
      <c r="G396" s="36" t="s">
        <v>159</v>
      </c>
      <c r="H396" s="36" t="s">
        <v>163</v>
      </c>
      <c r="I396" s="37">
        <v>6</v>
      </c>
      <c r="J396" s="36"/>
    </row>
    <row r="397" spans="1:10" x14ac:dyDescent="0.35">
      <c r="A397" s="36" t="s">
        <v>589</v>
      </c>
      <c r="B397" s="35">
        <v>45925</v>
      </c>
      <c r="C397" s="36" t="s">
        <v>210</v>
      </c>
      <c r="D397" s="36" t="s">
        <v>211</v>
      </c>
      <c r="E397" s="36" t="s">
        <v>106</v>
      </c>
      <c r="F397" s="36" t="s">
        <v>107</v>
      </c>
      <c r="G397" s="36" t="s">
        <v>102</v>
      </c>
      <c r="H397" s="36" t="s">
        <v>108</v>
      </c>
      <c r="I397" s="37">
        <v>6</v>
      </c>
      <c r="J397" s="36"/>
    </row>
    <row r="398" spans="1:10" x14ac:dyDescent="0.35">
      <c r="A398" s="36" t="s">
        <v>590</v>
      </c>
      <c r="B398" s="35">
        <v>45925</v>
      </c>
      <c r="C398" s="36" t="s">
        <v>210</v>
      </c>
      <c r="D398" s="36" t="s">
        <v>211</v>
      </c>
      <c r="E398" s="36" t="s">
        <v>78</v>
      </c>
      <c r="F398" s="36" t="s">
        <v>79</v>
      </c>
      <c r="G398" s="36" t="s">
        <v>74</v>
      </c>
      <c r="H398" s="36" t="s">
        <v>80</v>
      </c>
      <c r="I398" s="37">
        <v>11</v>
      </c>
      <c r="J398" s="36"/>
    </row>
    <row r="399" spans="1:10" x14ac:dyDescent="0.35">
      <c r="A399" s="36" t="s">
        <v>591</v>
      </c>
      <c r="B399" s="35">
        <v>45925</v>
      </c>
      <c r="C399" s="36" t="s">
        <v>210</v>
      </c>
      <c r="D399" s="36" t="s">
        <v>211</v>
      </c>
      <c r="E399" s="36" t="s">
        <v>128</v>
      </c>
      <c r="F399" s="36" t="s">
        <v>9</v>
      </c>
      <c r="G399" s="36" t="s">
        <v>10</v>
      </c>
      <c r="H399" s="36" t="s">
        <v>129</v>
      </c>
      <c r="I399" s="37">
        <v>3</v>
      </c>
      <c r="J399" s="36"/>
    </row>
    <row r="400" spans="1:10" x14ac:dyDescent="0.35">
      <c r="A400" s="36" t="s">
        <v>592</v>
      </c>
      <c r="B400" s="35">
        <v>45925</v>
      </c>
      <c r="C400" s="36" t="s">
        <v>210</v>
      </c>
      <c r="D400" s="36" t="s">
        <v>211</v>
      </c>
      <c r="E400" s="36" t="s">
        <v>76</v>
      </c>
      <c r="F400" s="36" t="s">
        <v>77</v>
      </c>
      <c r="G400" s="36" t="s">
        <v>74</v>
      </c>
      <c r="H400" s="36" t="s">
        <v>75</v>
      </c>
      <c r="I400" s="37">
        <v>8</v>
      </c>
      <c r="J400" s="36"/>
    </row>
    <row r="401" spans="1:10" x14ac:dyDescent="0.35">
      <c r="A401" s="36" t="s">
        <v>593</v>
      </c>
      <c r="B401" s="35">
        <v>45925</v>
      </c>
      <c r="C401" s="36" t="s">
        <v>210</v>
      </c>
      <c r="D401" s="36" t="s">
        <v>211</v>
      </c>
      <c r="E401" s="36" t="s">
        <v>54</v>
      </c>
      <c r="F401" s="36" t="s">
        <v>55</v>
      </c>
      <c r="G401" s="36" t="s">
        <v>53</v>
      </c>
      <c r="H401" s="36" t="s">
        <v>56</v>
      </c>
      <c r="I401" s="37">
        <v>18</v>
      </c>
      <c r="J401" s="36"/>
    </row>
    <row r="402" spans="1:10" x14ac:dyDescent="0.35">
      <c r="A402" s="36" t="s">
        <v>594</v>
      </c>
      <c r="B402" s="35">
        <v>45926</v>
      </c>
      <c r="C402" s="36" t="s">
        <v>190</v>
      </c>
      <c r="D402" s="36" t="s">
        <v>191</v>
      </c>
      <c r="E402" s="36" t="s">
        <v>156</v>
      </c>
      <c r="F402" s="36" t="s">
        <v>11</v>
      </c>
      <c r="G402" s="36" t="s">
        <v>12</v>
      </c>
      <c r="H402" s="36" t="s">
        <v>155</v>
      </c>
      <c r="I402" s="37">
        <v>4</v>
      </c>
      <c r="J402" s="36"/>
    </row>
    <row r="403" spans="1:10" x14ac:dyDescent="0.35">
      <c r="A403" s="36" t="s">
        <v>595</v>
      </c>
      <c r="B403" s="35">
        <v>45926</v>
      </c>
      <c r="C403" s="36" t="s">
        <v>190</v>
      </c>
      <c r="D403" s="36" t="s">
        <v>191</v>
      </c>
      <c r="E403" s="36" t="s">
        <v>141</v>
      </c>
      <c r="F403" s="36" t="s">
        <v>142</v>
      </c>
      <c r="G403" s="36" t="s">
        <v>8</v>
      </c>
      <c r="H403" s="36" t="s">
        <v>143</v>
      </c>
      <c r="I403" s="37">
        <v>8</v>
      </c>
      <c r="J403" s="36"/>
    </row>
    <row r="404" spans="1:10" x14ac:dyDescent="0.35">
      <c r="A404" s="36" t="s">
        <v>596</v>
      </c>
      <c r="B404" s="35">
        <v>45926</v>
      </c>
      <c r="C404" s="36" t="s">
        <v>190</v>
      </c>
      <c r="D404" s="36" t="s">
        <v>191</v>
      </c>
      <c r="E404" s="36" t="s">
        <v>128</v>
      </c>
      <c r="F404" s="36" t="s">
        <v>9</v>
      </c>
      <c r="G404" s="36" t="s">
        <v>10</v>
      </c>
      <c r="H404" s="36" t="s">
        <v>129</v>
      </c>
      <c r="I404" s="37">
        <v>8</v>
      </c>
      <c r="J404" s="36"/>
    </row>
    <row r="405" spans="1:10" x14ac:dyDescent="0.35">
      <c r="A405" s="36" t="s">
        <v>597</v>
      </c>
      <c r="B405" s="35">
        <v>45926</v>
      </c>
      <c r="C405" s="36" t="s">
        <v>190</v>
      </c>
      <c r="D405" s="36" t="s">
        <v>191</v>
      </c>
      <c r="E405" s="36" t="s">
        <v>97</v>
      </c>
      <c r="F405" s="36" t="s">
        <v>98</v>
      </c>
      <c r="G405" s="36" t="s">
        <v>93</v>
      </c>
      <c r="H405" s="36" t="s">
        <v>99</v>
      </c>
      <c r="I405" s="37">
        <v>13</v>
      </c>
      <c r="J405" s="36"/>
    </row>
    <row r="406" spans="1:10" x14ac:dyDescent="0.35">
      <c r="A406" s="36" t="s">
        <v>598</v>
      </c>
      <c r="B406" s="35">
        <v>45926</v>
      </c>
      <c r="C406" s="36" t="s">
        <v>190</v>
      </c>
      <c r="D406" s="36" t="s">
        <v>191</v>
      </c>
      <c r="E406" s="36" t="s">
        <v>72</v>
      </c>
      <c r="F406" s="36" t="s">
        <v>73</v>
      </c>
      <c r="G406" s="36" t="s">
        <v>74</v>
      </c>
      <c r="H406" s="36" t="s">
        <v>75</v>
      </c>
      <c r="I406" s="37">
        <v>16</v>
      </c>
      <c r="J406" s="36"/>
    </row>
    <row r="407" spans="1:10" x14ac:dyDescent="0.35">
      <c r="A407" s="36" t="s">
        <v>599</v>
      </c>
      <c r="B407" s="35">
        <v>45926</v>
      </c>
      <c r="C407" s="36" t="s">
        <v>190</v>
      </c>
      <c r="D407" s="36" t="s">
        <v>191</v>
      </c>
      <c r="E407" s="36" t="s">
        <v>120</v>
      </c>
      <c r="F407" s="36" t="s">
        <v>121</v>
      </c>
      <c r="G407" s="36" t="s">
        <v>14</v>
      </c>
      <c r="H407" s="36" t="s">
        <v>119</v>
      </c>
      <c r="I407" s="37">
        <v>5</v>
      </c>
      <c r="J407" s="36"/>
    </row>
    <row r="408" spans="1:10" x14ac:dyDescent="0.35">
      <c r="A408" s="36" t="s">
        <v>600</v>
      </c>
      <c r="B408" s="35">
        <v>45926</v>
      </c>
      <c r="C408" s="36" t="s">
        <v>190</v>
      </c>
      <c r="D408" s="36" t="s">
        <v>191</v>
      </c>
      <c r="E408" s="36" t="s">
        <v>81</v>
      </c>
      <c r="F408" s="36" t="s">
        <v>82</v>
      </c>
      <c r="G408" s="36" t="s">
        <v>74</v>
      </c>
      <c r="H408" s="36" t="s">
        <v>80</v>
      </c>
      <c r="I408" s="37">
        <v>9</v>
      </c>
      <c r="J408" s="36"/>
    </row>
    <row r="409" spans="1:10" x14ac:dyDescent="0.35">
      <c r="A409" s="36" t="s">
        <v>601</v>
      </c>
      <c r="B409" s="35">
        <v>45926</v>
      </c>
      <c r="C409" s="36" t="s">
        <v>190</v>
      </c>
      <c r="D409" s="36" t="s">
        <v>191</v>
      </c>
      <c r="E409" s="36" t="s">
        <v>144</v>
      </c>
      <c r="F409" s="36" t="s">
        <v>7</v>
      </c>
      <c r="G409" s="36" t="s">
        <v>8</v>
      </c>
      <c r="H409" s="36" t="s">
        <v>145</v>
      </c>
      <c r="I409" s="37">
        <v>11</v>
      </c>
      <c r="J409" s="36"/>
    </row>
    <row r="410" spans="1:10" x14ac:dyDescent="0.35">
      <c r="A410" s="36" t="s">
        <v>602</v>
      </c>
      <c r="B410" s="35">
        <v>45926</v>
      </c>
      <c r="C410" s="36" t="s">
        <v>298</v>
      </c>
      <c r="D410" s="36" t="s">
        <v>299</v>
      </c>
      <c r="E410" s="36" t="s">
        <v>137</v>
      </c>
      <c r="F410" s="36" t="s">
        <v>15</v>
      </c>
      <c r="G410" s="36" t="s">
        <v>6</v>
      </c>
      <c r="H410" s="36" t="s">
        <v>136</v>
      </c>
      <c r="I410" s="37">
        <v>3</v>
      </c>
      <c r="J410" s="36"/>
    </row>
    <row r="411" spans="1:10" x14ac:dyDescent="0.35">
      <c r="A411" s="36" t="s">
        <v>603</v>
      </c>
      <c r="B411" s="35">
        <v>45926</v>
      </c>
      <c r="C411" s="36" t="s">
        <v>298</v>
      </c>
      <c r="D411" s="36" t="s">
        <v>299</v>
      </c>
      <c r="E411" s="36" t="s">
        <v>109</v>
      </c>
      <c r="F411" s="36" t="s">
        <v>110</v>
      </c>
      <c r="G411" s="36" t="s">
        <v>102</v>
      </c>
      <c r="H411" s="36" t="s">
        <v>42</v>
      </c>
      <c r="I411" s="37">
        <v>5</v>
      </c>
      <c r="J411" s="36"/>
    </row>
    <row r="412" spans="1:10" x14ac:dyDescent="0.35">
      <c r="A412" s="36" t="s">
        <v>604</v>
      </c>
      <c r="B412" s="35">
        <v>45926</v>
      </c>
      <c r="C412" s="36" t="s">
        <v>298</v>
      </c>
      <c r="D412" s="36" t="s">
        <v>299</v>
      </c>
      <c r="E412" s="36" t="s">
        <v>69</v>
      </c>
      <c r="F412" s="36" t="s">
        <v>70</v>
      </c>
      <c r="G412" s="36" t="s">
        <v>66</v>
      </c>
      <c r="H412" s="36" t="s">
        <v>71</v>
      </c>
      <c r="I412" s="37">
        <v>5</v>
      </c>
      <c r="J412" s="36"/>
    </row>
    <row r="413" spans="1:10" x14ac:dyDescent="0.35">
      <c r="A413" s="36" t="s">
        <v>605</v>
      </c>
      <c r="B413" s="35">
        <v>45926</v>
      </c>
      <c r="C413" s="36" t="s">
        <v>298</v>
      </c>
      <c r="D413" s="36" t="s">
        <v>299</v>
      </c>
      <c r="E413" s="36" t="s">
        <v>138</v>
      </c>
      <c r="F413" s="36" t="s">
        <v>139</v>
      </c>
      <c r="G413" s="36" t="s">
        <v>6</v>
      </c>
      <c r="H413" s="36" t="s">
        <v>140</v>
      </c>
      <c r="I413" s="37">
        <v>5</v>
      </c>
      <c r="J413" s="36"/>
    </row>
    <row r="414" spans="1:10" x14ac:dyDescent="0.35">
      <c r="A414" s="36" t="s">
        <v>606</v>
      </c>
      <c r="B414" s="35">
        <v>45926</v>
      </c>
      <c r="C414" s="36" t="s">
        <v>298</v>
      </c>
      <c r="D414" s="36" t="s">
        <v>299</v>
      </c>
      <c r="E414" s="36" t="s">
        <v>151</v>
      </c>
      <c r="F414" s="36" t="s">
        <v>152</v>
      </c>
      <c r="G414" s="36" t="s">
        <v>8</v>
      </c>
      <c r="H414" s="36" t="s">
        <v>143</v>
      </c>
      <c r="I414" s="37">
        <v>2</v>
      </c>
      <c r="J414" s="36"/>
    </row>
    <row r="415" spans="1:10" x14ac:dyDescent="0.35">
      <c r="A415" s="36" t="s">
        <v>607</v>
      </c>
      <c r="B415" s="35">
        <v>45926</v>
      </c>
      <c r="C415" s="36" t="s">
        <v>298</v>
      </c>
      <c r="D415" s="36" t="s">
        <v>299</v>
      </c>
      <c r="E415" s="36" t="s">
        <v>141</v>
      </c>
      <c r="F415" s="36" t="s">
        <v>142</v>
      </c>
      <c r="G415" s="36" t="s">
        <v>8</v>
      </c>
      <c r="H415" s="36" t="s">
        <v>143</v>
      </c>
      <c r="I415" s="37">
        <v>1</v>
      </c>
      <c r="J415" s="36"/>
    </row>
    <row r="416" spans="1:10" x14ac:dyDescent="0.35">
      <c r="A416" s="36" t="s">
        <v>608</v>
      </c>
      <c r="B416" s="35">
        <v>45926</v>
      </c>
      <c r="C416" s="36" t="s">
        <v>298</v>
      </c>
      <c r="D416" s="36" t="s">
        <v>299</v>
      </c>
      <c r="E416" s="36" t="s">
        <v>94</v>
      </c>
      <c r="F416" s="36" t="s">
        <v>95</v>
      </c>
      <c r="G416" s="36" t="s">
        <v>93</v>
      </c>
      <c r="H416" s="36" t="s">
        <v>96</v>
      </c>
      <c r="I416" s="37">
        <v>4</v>
      </c>
      <c r="J416" s="36"/>
    </row>
    <row r="417" spans="1:10" x14ac:dyDescent="0.35">
      <c r="A417" s="36" t="s">
        <v>609</v>
      </c>
      <c r="B417" s="35">
        <v>45926</v>
      </c>
      <c r="C417" s="36" t="s">
        <v>298</v>
      </c>
      <c r="D417" s="36" t="s">
        <v>299</v>
      </c>
      <c r="E417" s="36" t="s">
        <v>132</v>
      </c>
      <c r="F417" s="36" t="s">
        <v>133</v>
      </c>
      <c r="G417" s="36" t="s">
        <v>10</v>
      </c>
      <c r="H417" s="36" t="s">
        <v>134</v>
      </c>
      <c r="I417" s="37">
        <v>1</v>
      </c>
      <c r="J417" s="36"/>
    </row>
    <row r="418" spans="1:10" x14ac:dyDescent="0.35">
      <c r="A418" s="36" t="s">
        <v>610</v>
      </c>
      <c r="B418" s="35">
        <v>45930</v>
      </c>
      <c r="C418" s="36" t="s">
        <v>238</v>
      </c>
      <c r="D418" s="36" t="s">
        <v>239</v>
      </c>
      <c r="E418" s="36" t="s">
        <v>137</v>
      </c>
      <c r="F418" s="36" t="s">
        <v>15</v>
      </c>
      <c r="G418" s="36" t="s">
        <v>6</v>
      </c>
      <c r="H418" s="36" t="s">
        <v>136</v>
      </c>
      <c r="I418" s="37">
        <v>7</v>
      </c>
      <c r="J418" s="36"/>
    </row>
    <row r="419" spans="1:10" x14ac:dyDescent="0.35">
      <c r="A419" s="36" t="s">
        <v>611</v>
      </c>
      <c r="B419" s="35">
        <v>45930</v>
      </c>
      <c r="C419" s="36" t="s">
        <v>238</v>
      </c>
      <c r="D419" s="36" t="s">
        <v>239</v>
      </c>
      <c r="E419" s="36" t="s">
        <v>151</v>
      </c>
      <c r="F419" s="36" t="s">
        <v>152</v>
      </c>
      <c r="G419" s="36" t="s">
        <v>8</v>
      </c>
      <c r="H419" s="36" t="s">
        <v>143</v>
      </c>
      <c r="I419" s="37">
        <v>2</v>
      </c>
      <c r="J419" s="36"/>
    </row>
    <row r="420" spans="1:10" x14ac:dyDescent="0.35">
      <c r="A420" s="36" t="s">
        <v>612</v>
      </c>
      <c r="B420" s="35">
        <v>45930</v>
      </c>
      <c r="C420" s="36" t="s">
        <v>238</v>
      </c>
      <c r="D420" s="36" t="s">
        <v>239</v>
      </c>
      <c r="E420" s="36" t="s">
        <v>81</v>
      </c>
      <c r="F420" s="36" t="s">
        <v>82</v>
      </c>
      <c r="G420" s="36" t="s">
        <v>74</v>
      </c>
      <c r="H420" s="36" t="s">
        <v>80</v>
      </c>
      <c r="I420" s="37">
        <v>5</v>
      </c>
      <c r="J420" s="36"/>
    </row>
    <row r="421" spans="1:10" x14ac:dyDescent="0.35">
      <c r="A421" s="36" t="s">
        <v>613</v>
      </c>
      <c r="B421" s="35">
        <v>45930</v>
      </c>
      <c r="C421" s="36" t="s">
        <v>238</v>
      </c>
      <c r="D421" s="36" t="s">
        <v>239</v>
      </c>
      <c r="E421" s="36" t="s">
        <v>146</v>
      </c>
      <c r="F421" s="36" t="s">
        <v>147</v>
      </c>
      <c r="G421" s="36" t="s">
        <v>8</v>
      </c>
      <c r="H421" s="36" t="s">
        <v>148</v>
      </c>
      <c r="I421" s="37">
        <v>3</v>
      </c>
      <c r="J421" s="36"/>
    </row>
    <row r="422" spans="1:10" x14ac:dyDescent="0.35">
      <c r="A422" s="36" t="s">
        <v>614</v>
      </c>
      <c r="B422" s="35">
        <v>45930</v>
      </c>
      <c r="C422" s="36" t="s">
        <v>238</v>
      </c>
      <c r="D422" s="36" t="s">
        <v>239</v>
      </c>
      <c r="E422" s="36" t="s">
        <v>91</v>
      </c>
      <c r="F422" s="36" t="s">
        <v>92</v>
      </c>
      <c r="G422" s="36" t="s">
        <v>93</v>
      </c>
      <c r="H422" s="36" t="s">
        <v>85</v>
      </c>
      <c r="I422" s="37">
        <v>5</v>
      </c>
      <c r="J422" s="36"/>
    </row>
    <row r="423" spans="1:10" x14ac:dyDescent="0.35">
      <c r="A423" s="36" t="s">
        <v>615</v>
      </c>
      <c r="B423" s="35">
        <v>45930</v>
      </c>
      <c r="C423" s="36" t="s">
        <v>238</v>
      </c>
      <c r="D423" s="36" t="s">
        <v>239</v>
      </c>
      <c r="E423" s="36" t="s">
        <v>153</v>
      </c>
      <c r="F423" s="36" t="s">
        <v>154</v>
      </c>
      <c r="G423" s="36" t="s">
        <v>12</v>
      </c>
      <c r="H423" s="36" t="s">
        <v>155</v>
      </c>
      <c r="I423" s="37">
        <v>3</v>
      </c>
      <c r="J423" s="36"/>
    </row>
    <row r="424" spans="1:10" x14ac:dyDescent="0.35">
      <c r="A424" s="36" t="s">
        <v>616</v>
      </c>
      <c r="B424" s="35">
        <v>45930</v>
      </c>
      <c r="C424" s="36" t="s">
        <v>238</v>
      </c>
      <c r="D424" s="36" t="s">
        <v>239</v>
      </c>
      <c r="E424" s="36" t="s">
        <v>54</v>
      </c>
      <c r="F424" s="36" t="s">
        <v>55</v>
      </c>
      <c r="G424" s="36" t="s">
        <v>53</v>
      </c>
      <c r="H424" s="36" t="s">
        <v>56</v>
      </c>
      <c r="I424" s="37">
        <v>8</v>
      </c>
      <c r="J424" s="36"/>
    </row>
    <row r="425" spans="1:10" x14ac:dyDescent="0.35">
      <c r="A425" s="36" t="s">
        <v>617</v>
      </c>
      <c r="B425" s="35">
        <v>45930</v>
      </c>
      <c r="C425" s="36" t="s">
        <v>238</v>
      </c>
      <c r="D425" s="36" t="s">
        <v>239</v>
      </c>
      <c r="E425" s="36" t="s">
        <v>141</v>
      </c>
      <c r="F425" s="36" t="s">
        <v>142</v>
      </c>
      <c r="G425" s="36" t="s">
        <v>8</v>
      </c>
      <c r="H425" s="36" t="s">
        <v>143</v>
      </c>
      <c r="I425" s="37">
        <v>3</v>
      </c>
      <c r="J425" s="36"/>
    </row>
    <row r="426" spans="1:10" x14ac:dyDescent="0.35">
      <c r="A426" s="36" t="s">
        <v>618</v>
      </c>
      <c r="B426" s="35">
        <v>45930</v>
      </c>
      <c r="C426" s="36" t="s">
        <v>190</v>
      </c>
      <c r="D426" s="36" t="s">
        <v>191</v>
      </c>
      <c r="E426" s="36" t="s">
        <v>146</v>
      </c>
      <c r="F426" s="36" t="s">
        <v>147</v>
      </c>
      <c r="G426" s="36" t="s">
        <v>8</v>
      </c>
      <c r="H426" s="36" t="s">
        <v>148</v>
      </c>
      <c r="I426" s="37">
        <v>6</v>
      </c>
      <c r="J426" s="36"/>
    </row>
    <row r="427" spans="1:10" x14ac:dyDescent="0.35">
      <c r="A427" s="36" t="s">
        <v>619</v>
      </c>
      <c r="B427" s="35">
        <v>45930</v>
      </c>
      <c r="C427" s="36" t="s">
        <v>190</v>
      </c>
      <c r="D427" s="36" t="s">
        <v>191</v>
      </c>
      <c r="E427" s="36" t="s">
        <v>156</v>
      </c>
      <c r="F427" s="36" t="s">
        <v>11</v>
      </c>
      <c r="G427" s="36" t="s">
        <v>12</v>
      </c>
      <c r="H427" s="36" t="s">
        <v>155</v>
      </c>
      <c r="I427" s="37">
        <v>4</v>
      </c>
      <c r="J427" s="36"/>
    </row>
    <row r="428" spans="1:10" x14ac:dyDescent="0.35">
      <c r="A428" s="36" t="s">
        <v>620</v>
      </c>
      <c r="B428" s="35">
        <v>45930</v>
      </c>
      <c r="C428" s="36" t="s">
        <v>190</v>
      </c>
      <c r="D428" s="36" t="s">
        <v>191</v>
      </c>
      <c r="E428" s="36" t="s">
        <v>125</v>
      </c>
      <c r="F428" s="36" t="s">
        <v>126</v>
      </c>
      <c r="G428" s="36" t="s">
        <v>14</v>
      </c>
      <c r="H428" s="36" t="s">
        <v>127</v>
      </c>
      <c r="I428" s="37">
        <v>3</v>
      </c>
      <c r="J428" s="36"/>
    </row>
    <row r="429" spans="1:10" x14ac:dyDescent="0.35">
      <c r="A429" s="36" t="s">
        <v>621</v>
      </c>
      <c r="B429" s="35">
        <v>45930</v>
      </c>
      <c r="C429" s="36" t="s">
        <v>190</v>
      </c>
      <c r="D429" s="36" t="s">
        <v>191</v>
      </c>
      <c r="E429" s="36" t="s">
        <v>81</v>
      </c>
      <c r="F429" s="36" t="s">
        <v>82</v>
      </c>
      <c r="G429" s="36" t="s">
        <v>74</v>
      </c>
      <c r="H429" s="36" t="s">
        <v>80</v>
      </c>
      <c r="I429" s="37">
        <v>17</v>
      </c>
      <c r="J429" s="36"/>
    </row>
    <row r="430" spans="1:10" x14ac:dyDescent="0.35">
      <c r="A430" s="36" t="s">
        <v>622</v>
      </c>
      <c r="B430" s="35">
        <v>45930</v>
      </c>
      <c r="C430" s="36" t="s">
        <v>190</v>
      </c>
      <c r="D430" s="36" t="s">
        <v>191</v>
      </c>
      <c r="E430" s="36" t="s">
        <v>106</v>
      </c>
      <c r="F430" s="36" t="s">
        <v>107</v>
      </c>
      <c r="G430" s="36" t="s">
        <v>102</v>
      </c>
      <c r="H430" s="36" t="s">
        <v>108</v>
      </c>
      <c r="I430" s="37">
        <v>23</v>
      </c>
      <c r="J430" s="36"/>
    </row>
    <row r="431" spans="1:10" x14ac:dyDescent="0.35">
      <c r="A431" s="36" t="s">
        <v>623</v>
      </c>
      <c r="B431" s="35">
        <v>45930</v>
      </c>
      <c r="C431" s="36" t="s">
        <v>190</v>
      </c>
      <c r="D431" s="36" t="s">
        <v>191</v>
      </c>
      <c r="E431" s="36" t="s">
        <v>29</v>
      </c>
      <c r="F431" s="36" t="s">
        <v>30</v>
      </c>
      <c r="G431" s="36" t="s">
        <v>31</v>
      </c>
      <c r="H431" s="36" t="s">
        <v>32</v>
      </c>
      <c r="I431" s="37">
        <v>22</v>
      </c>
      <c r="J431" s="36"/>
    </row>
    <row r="432" spans="1:10" x14ac:dyDescent="0.35">
      <c r="A432" s="36" t="s">
        <v>624</v>
      </c>
      <c r="B432" s="35">
        <v>45930</v>
      </c>
      <c r="C432" s="36" t="s">
        <v>190</v>
      </c>
      <c r="D432" s="36" t="s">
        <v>191</v>
      </c>
      <c r="E432" s="36" t="s">
        <v>122</v>
      </c>
      <c r="F432" s="36" t="s">
        <v>123</v>
      </c>
      <c r="G432" s="36" t="s">
        <v>14</v>
      </c>
      <c r="H432" s="36" t="s">
        <v>124</v>
      </c>
      <c r="I432" s="37">
        <v>3</v>
      </c>
      <c r="J432" s="36"/>
    </row>
    <row r="433" spans="1:10" x14ac:dyDescent="0.35">
      <c r="A433" s="36" t="s">
        <v>625</v>
      </c>
      <c r="B433" s="35">
        <v>45930</v>
      </c>
      <c r="C433" s="36" t="s">
        <v>190</v>
      </c>
      <c r="D433" s="36" t="s">
        <v>191</v>
      </c>
      <c r="E433" s="36" t="s">
        <v>48</v>
      </c>
      <c r="F433" s="36" t="s">
        <v>49</v>
      </c>
      <c r="G433" s="36" t="s">
        <v>31</v>
      </c>
      <c r="H433" s="36" t="s">
        <v>50</v>
      </c>
      <c r="I433" s="37">
        <v>12</v>
      </c>
      <c r="J433" s="36"/>
    </row>
    <row r="434" spans="1:10" x14ac:dyDescent="0.35">
      <c r="A434" s="36" t="s">
        <v>626</v>
      </c>
      <c r="B434" s="35">
        <v>45930</v>
      </c>
      <c r="C434" s="36" t="s">
        <v>190</v>
      </c>
      <c r="D434" s="36" t="s">
        <v>191</v>
      </c>
      <c r="E434" s="36" t="s">
        <v>34</v>
      </c>
      <c r="F434" s="36" t="s">
        <v>35</v>
      </c>
      <c r="G434" s="36" t="s">
        <v>31</v>
      </c>
      <c r="H434" s="36" t="s">
        <v>36</v>
      </c>
      <c r="I434" s="37">
        <v>24</v>
      </c>
      <c r="J434" s="36"/>
    </row>
    <row r="435" spans="1:10" x14ac:dyDescent="0.35">
      <c r="A435" s="36" t="s">
        <v>627</v>
      </c>
      <c r="B435" s="35">
        <v>45930</v>
      </c>
      <c r="C435" s="36" t="s">
        <v>190</v>
      </c>
      <c r="D435" s="36" t="s">
        <v>191</v>
      </c>
      <c r="E435" s="36" t="s">
        <v>97</v>
      </c>
      <c r="F435" s="36" t="s">
        <v>98</v>
      </c>
      <c r="G435" s="36" t="s">
        <v>93</v>
      </c>
      <c r="H435" s="36" t="s">
        <v>99</v>
      </c>
      <c r="I435" s="37">
        <v>8</v>
      </c>
      <c r="J435" s="36"/>
    </row>
    <row r="436" spans="1:10" x14ac:dyDescent="0.35">
      <c r="A436" s="36" t="s">
        <v>628</v>
      </c>
      <c r="B436" s="35">
        <v>45930</v>
      </c>
      <c r="C436" s="36" t="s">
        <v>190</v>
      </c>
      <c r="D436" s="36" t="s">
        <v>191</v>
      </c>
      <c r="E436" s="36" t="s">
        <v>57</v>
      </c>
      <c r="F436" s="36" t="s">
        <v>58</v>
      </c>
      <c r="G436" s="36" t="s">
        <v>53</v>
      </c>
      <c r="H436" s="36" t="s">
        <v>42</v>
      </c>
      <c r="I436" s="37">
        <v>23</v>
      </c>
      <c r="J436" s="36"/>
    </row>
    <row r="437" spans="1:10" x14ac:dyDescent="0.35">
      <c r="A437" s="36" t="s">
        <v>629</v>
      </c>
      <c r="B437" s="35">
        <v>45932</v>
      </c>
      <c r="C437" s="36" t="s">
        <v>190</v>
      </c>
      <c r="D437" s="36" t="s">
        <v>191</v>
      </c>
      <c r="E437" s="36" t="s">
        <v>117</v>
      </c>
      <c r="F437" s="36" t="s">
        <v>118</v>
      </c>
      <c r="G437" s="36" t="s">
        <v>14</v>
      </c>
      <c r="H437" s="36" t="s">
        <v>119</v>
      </c>
      <c r="I437" s="37">
        <v>4</v>
      </c>
      <c r="J437" s="36"/>
    </row>
    <row r="438" spans="1:10" x14ac:dyDescent="0.35">
      <c r="A438" s="36" t="s">
        <v>630</v>
      </c>
      <c r="B438" s="35">
        <v>45932</v>
      </c>
      <c r="C438" s="36" t="s">
        <v>190</v>
      </c>
      <c r="D438" s="36" t="s">
        <v>191</v>
      </c>
      <c r="E438" s="36" t="s">
        <v>130</v>
      </c>
      <c r="F438" s="36" t="s">
        <v>16</v>
      </c>
      <c r="G438" s="36" t="s">
        <v>10</v>
      </c>
      <c r="H438" s="36" t="s">
        <v>131</v>
      </c>
      <c r="I438" s="37">
        <v>11</v>
      </c>
      <c r="J438" s="36"/>
    </row>
    <row r="439" spans="1:10" x14ac:dyDescent="0.35">
      <c r="A439" s="36" t="s">
        <v>631</v>
      </c>
      <c r="B439" s="35">
        <v>45932</v>
      </c>
      <c r="C439" s="36" t="s">
        <v>190</v>
      </c>
      <c r="D439" s="36" t="s">
        <v>191</v>
      </c>
      <c r="E439" s="36" t="s">
        <v>128</v>
      </c>
      <c r="F439" s="36" t="s">
        <v>9</v>
      </c>
      <c r="G439" s="36" t="s">
        <v>10</v>
      </c>
      <c r="H439" s="36" t="s">
        <v>129</v>
      </c>
      <c r="I439" s="37">
        <v>6</v>
      </c>
      <c r="J439" s="36"/>
    </row>
    <row r="440" spans="1:10" x14ac:dyDescent="0.35">
      <c r="A440" s="36" t="s">
        <v>632</v>
      </c>
      <c r="B440" s="35">
        <v>45932</v>
      </c>
      <c r="C440" s="36" t="s">
        <v>190</v>
      </c>
      <c r="D440" s="36" t="s">
        <v>191</v>
      </c>
      <c r="E440" s="36" t="s">
        <v>91</v>
      </c>
      <c r="F440" s="36" t="s">
        <v>92</v>
      </c>
      <c r="G440" s="36" t="s">
        <v>93</v>
      </c>
      <c r="H440" s="36" t="s">
        <v>85</v>
      </c>
      <c r="I440" s="37">
        <v>11</v>
      </c>
      <c r="J440" s="36"/>
    </row>
    <row r="441" spans="1:10" x14ac:dyDescent="0.35">
      <c r="A441" s="36" t="s">
        <v>633</v>
      </c>
      <c r="B441" s="35">
        <v>45932</v>
      </c>
      <c r="C441" s="36" t="s">
        <v>190</v>
      </c>
      <c r="D441" s="36" t="s">
        <v>191</v>
      </c>
      <c r="E441" s="36" t="s">
        <v>43</v>
      </c>
      <c r="F441" s="36" t="s">
        <v>44</v>
      </c>
      <c r="G441" s="36" t="s">
        <v>31</v>
      </c>
      <c r="H441" s="36" t="s">
        <v>42</v>
      </c>
      <c r="I441" s="37">
        <v>18</v>
      </c>
      <c r="J441" s="36"/>
    </row>
    <row r="442" spans="1:10" x14ac:dyDescent="0.35">
      <c r="A442" s="36" t="s">
        <v>634</v>
      </c>
      <c r="B442" s="35">
        <v>45932</v>
      </c>
      <c r="C442" s="36" t="s">
        <v>190</v>
      </c>
      <c r="D442" s="36" t="s">
        <v>191</v>
      </c>
      <c r="E442" s="36" t="s">
        <v>86</v>
      </c>
      <c r="F442" s="36" t="s">
        <v>87</v>
      </c>
      <c r="G442" s="36" t="s">
        <v>74</v>
      </c>
      <c r="H442" s="36" t="s">
        <v>75</v>
      </c>
      <c r="I442" s="37">
        <v>12</v>
      </c>
      <c r="J442" s="36"/>
    </row>
    <row r="443" spans="1:10" x14ac:dyDescent="0.35">
      <c r="A443" s="36" t="s">
        <v>635</v>
      </c>
      <c r="B443" s="35">
        <v>45932</v>
      </c>
      <c r="C443" s="36" t="s">
        <v>190</v>
      </c>
      <c r="D443" s="36" t="s">
        <v>191</v>
      </c>
      <c r="E443" s="36" t="s">
        <v>122</v>
      </c>
      <c r="F443" s="36" t="s">
        <v>123</v>
      </c>
      <c r="G443" s="36" t="s">
        <v>14</v>
      </c>
      <c r="H443" s="36" t="s">
        <v>124</v>
      </c>
      <c r="I443" s="37">
        <v>5</v>
      </c>
      <c r="J443" s="36"/>
    </row>
    <row r="444" spans="1:10" x14ac:dyDescent="0.35">
      <c r="A444" s="36" t="s">
        <v>636</v>
      </c>
      <c r="B444" s="35">
        <v>45932</v>
      </c>
      <c r="C444" s="36" t="s">
        <v>190</v>
      </c>
      <c r="D444" s="36" t="s">
        <v>191</v>
      </c>
      <c r="E444" s="36" t="s">
        <v>69</v>
      </c>
      <c r="F444" s="36" t="s">
        <v>70</v>
      </c>
      <c r="G444" s="36" t="s">
        <v>66</v>
      </c>
      <c r="H444" s="36" t="s">
        <v>71</v>
      </c>
      <c r="I444" s="37">
        <v>14</v>
      </c>
      <c r="J444" s="36"/>
    </row>
    <row r="445" spans="1:10" x14ac:dyDescent="0.35">
      <c r="A445" s="36" t="s">
        <v>637</v>
      </c>
      <c r="B445" s="35">
        <v>45932</v>
      </c>
      <c r="C445" s="36" t="s">
        <v>190</v>
      </c>
      <c r="D445" s="36" t="s">
        <v>191</v>
      </c>
      <c r="E445" s="36" t="s">
        <v>61</v>
      </c>
      <c r="F445" s="36" t="s">
        <v>62</v>
      </c>
      <c r="G445" s="36" t="s">
        <v>53</v>
      </c>
      <c r="H445" s="36" t="s">
        <v>42</v>
      </c>
      <c r="I445" s="37">
        <v>19</v>
      </c>
      <c r="J445" s="36"/>
    </row>
    <row r="446" spans="1:10" x14ac:dyDescent="0.35">
      <c r="A446" s="36" t="s">
        <v>638</v>
      </c>
      <c r="B446" s="35">
        <v>45932</v>
      </c>
      <c r="C446" s="36" t="s">
        <v>298</v>
      </c>
      <c r="D446" s="36" t="s">
        <v>299</v>
      </c>
      <c r="E446" s="36" t="s">
        <v>67</v>
      </c>
      <c r="F446" s="36" t="s">
        <v>68</v>
      </c>
      <c r="G446" s="36" t="s">
        <v>66</v>
      </c>
      <c r="H446" s="36" t="s">
        <v>42</v>
      </c>
      <c r="I446" s="37">
        <v>5</v>
      </c>
      <c r="J446" s="36"/>
    </row>
    <row r="447" spans="1:10" x14ac:dyDescent="0.35">
      <c r="A447" s="36" t="s">
        <v>639</v>
      </c>
      <c r="B447" s="35">
        <v>45932</v>
      </c>
      <c r="C447" s="36" t="s">
        <v>298</v>
      </c>
      <c r="D447" s="36" t="s">
        <v>299</v>
      </c>
      <c r="E447" s="36" t="s">
        <v>157</v>
      </c>
      <c r="F447" s="36" t="s">
        <v>158</v>
      </c>
      <c r="G447" s="36" t="s">
        <v>159</v>
      </c>
      <c r="H447" s="36" t="s">
        <v>160</v>
      </c>
      <c r="I447" s="37">
        <v>2</v>
      </c>
      <c r="J447" s="36"/>
    </row>
    <row r="448" spans="1:10" x14ac:dyDescent="0.35">
      <c r="A448" s="36" t="s">
        <v>640</v>
      </c>
      <c r="B448" s="35">
        <v>45932</v>
      </c>
      <c r="C448" s="36" t="s">
        <v>298</v>
      </c>
      <c r="D448" s="36" t="s">
        <v>299</v>
      </c>
      <c r="E448" s="36" t="s">
        <v>137</v>
      </c>
      <c r="F448" s="36" t="s">
        <v>15</v>
      </c>
      <c r="G448" s="36" t="s">
        <v>6</v>
      </c>
      <c r="H448" s="36" t="s">
        <v>136</v>
      </c>
      <c r="I448" s="37">
        <v>5</v>
      </c>
      <c r="J448" s="36"/>
    </row>
    <row r="449" spans="1:10" x14ac:dyDescent="0.35">
      <c r="A449" s="36" t="s">
        <v>641</v>
      </c>
      <c r="B449" s="35">
        <v>45932</v>
      </c>
      <c r="C449" s="36" t="s">
        <v>298</v>
      </c>
      <c r="D449" s="36" t="s">
        <v>299</v>
      </c>
      <c r="E449" s="36" t="s">
        <v>128</v>
      </c>
      <c r="F449" s="36" t="s">
        <v>9</v>
      </c>
      <c r="G449" s="36" t="s">
        <v>10</v>
      </c>
      <c r="H449" s="36" t="s">
        <v>129</v>
      </c>
      <c r="I449" s="37">
        <v>2</v>
      </c>
      <c r="J449" s="36"/>
    </row>
    <row r="450" spans="1:10" x14ac:dyDescent="0.35">
      <c r="A450" s="36" t="s">
        <v>642</v>
      </c>
      <c r="B450" s="35">
        <v>45932</v>
      </c>
      <c r="C450" s="36" t="s">
        <v>298</v>
      </c>
      <c r="D450" s="36" t="s">
        <v>299</v>
      </c>
      <c r="E450" s="36" t="s">
        <v>141</v>
      </c>
      <c r="F450" s="36" t="s">
        <v>142</v>
      </c>
      <c r="G450" s="36" t="s">
        <v>8</v>
      </c>
      <c r="H450" s="36" t="s">
        <v>143</v>
      </c>
      <c r="I450" s="37">
        <v>2</v>
      </c>
      <c r="J450" s="36"/>
    </row>
    <row r="451" spans="1:10" x14ac:dyDescent="0.35">
      <c r="A451" s="36" t="s">
        <v>643</v>
      </c>
      <c r="B451" s="35">
        <v>45932</v>
      </c>
      <c r="C451" s="36" t="s">
        <v>298</v>
      </c>
      <c r="D451" s="36" t="s">
        <v>299</v>
      </c>
      <c r="E451" s="36" t="s">
        <v>29</v>
      </c>
      <c r="F451" s="36" t="s">
        <v>30</v>
      </c>
      <c r="G451" s="36" t="s">
        <v>31</v>
      </c>
      <c r="H451" s="36" t="s">
        <v>32</v>
      </c>
      <c r="I451" s="37">
        <v>7</v>
      </c>
      <c r="J451" s="36"/>
    </row>
    <row r="452" spans="1:10" x14ac:dyDescent="0.35">
      <c r="A452" s="36" t="s">
        <v>644</v>
      </c>
      <c r="B452" s="35">
        <v>45932</v>
      </c>
      <c r="C452" s="36" t="s">
        <v>298</v>
      </c>
      <c r="D452" s="36" t="s">
        <v>299</v>
      </c>
      <c r="E452" s="36" t="s">
        <v>51</v>
      </c>
      <c r="F452" s="36" t="s">
        <v>52</v>
      </c>
      <c r="G452" s="36" t="s">
        <v>53</v>
      </c>
      <c r="H452" s="36" t="s">
        <v>42</v>
      </c>
      <c r="I452" s="37">
        <v>8</v>
      </c>
      <c r="J452" s="36"/>
    </row>
    <row r="453" spans="1:10" x14ac:dyDescent="0.35">
      <c r="A453" s="36" t="s">
        <v>645</v>
      </c>
      <c r="B453" s="35">
        <v>45933</v>
      </c>
      <c r="C453" s="36" t="s">
        <v>190</v>
      </c>
      <c r="D453" s="36" t="s">
        <v>191</v>
      </c>
      <c r="E453" s="36" t="s">
        <v>125</v>
      </c>
      <c r="F453" s="36" t="s">
        <v>126</v>
      </c>
      <c r="G453" s="36" t="s">
        <v>14</v>
      </c>
      <c r="H453" s="36" t="s">
        <v>127</v>
      </c>
      <c r="I453" s="37">
        <v>4</v>
      </c>
      <c r="J453" s="36"/>
    </row>
    <row r="454" spans="1:10" x14ac:dyDescent="0.35">
      <c r="A454" s="36" t="s">
        <v>646</v>
      </c>
      <c r="B454" s="35">
        <v>45933</v>
      </c>
      <c r="C454" s="36" t="s">
        <v>190</v>
      </c>
      <c r="D454" s="36" t="s">
        <v>191</v>
      </c>
      <c r="E454" s="36" t="s">
        <v>153</v>
      </c>
      <c r="F454" s="36" t="s">
        <v>154</v>
      </c>
      <c r="G454" s="36" t="s">
        <v>12</v>
      </c>
      <c r="H454" s="36" t="s">
        <v>155</v>
      </c>
      <c r="I454" s="37">
        <v>5</v>
      </c>
      <c r="J454" s="36"/>
    </row>
    <row r="455" spans="1:10" x14ac:dyDescent="0.35">
      <c r="A455" s="36" t="s">
        <v>647</v>
      </c>
      <c r="B455" s="35">
        <v>45933</v>
      </c>
      <c r="C455" s="36" t="s">
        <v>190</v>
      </c>
      <c r="D455" s="36" t="s">
        <v>191</v>
      </c>
      <c r="E455" s="36" t="s">
        <v>81</v>
      </c>
      <c r="F455" s="36" t="s">
        <v>82</v>
      </c>
      <c r="G455" s="36" t="s">
        <v>74</v>
      </c>
      <c r="H455" s="36" t="s">
        <v>80</v>
      </c>
      <c r="I455" s="37">
        <v>16</v>
      </c>
      <c r="J455" s="36"/>
    </row>
    <row r="456" spans="1:10" x14ac:dyDescent="0.35">
      <c r="A456" s="36" t="s">
        <v>648</v>
      </c>
      <c r="B456" s="35">
        <v>45933</v>
      </c>
      <c r="C456" s="36" t="s">
        <v>190</v>
      </c>
      <c r="D456" s="36" t="s">
        <v>191</v>
      </c>
      <c r="E456" s="36" t="s">
        <v>34</v>
      </c>
      <c r="F456" s="36" t="s">
        <v>35</v>
      </c>
      <c r="G456" s="36" t="s">
        <v>31</v>
      </c>
      <c r="H456" s="36" t="s">
        <v>36</v>
      </c>
      <c r="I456" s="37">
        <v>16</v>
      </c>
      <c r="J456" s="36"/>
    </row>
    <row r="457" spans="1:10" x14ac:dyDescent="0.35">
      <c r="A457" s="36" t="s">
        <v>649</v>
      </c>
      <c r="B457" s="35">
        <v>45933</v>
      </c>
      <c r="C457" s="36" t="s">
        <v>190</v>
      </c>
      <c r="D457" s="36" t="s">
        <v>191</v>
      </c>
      <c r="E457" s="36" t="s">
        <v>122</v>
      </c>
      <c r="F457" s="36" t="s">
        <v>123</v>
      </c>
      <c r="G457" s="36" t="s">
        <v>14</v>
      </c>
      <c r="H457" s="36" t="s">
        <v>124</v>
      </c>
      <c r="I457" s="37">
        <v>2</v>
      </c>
      <c r="J457" s="36"/>
    </row>
    <row r="458" spans="1:10" x14ac:dyDescent="0.35">
      <c r="A458" s="36" t="s">
        <v>650</v>
      </c>
      <c r="B458" s="35">
        <v>45933</v>
      </c>
      <c r="C458" s="36" t="s">
        <v>190</v>
      </c>
      <c r="D458" s="36" t="s">
        <v>191</v>
      </c>
      <c r="E458" s="36" t="s">
        <v>94</v>
      </c>
      <c r="F458" s="36" t="s">
        <v>95</v>
      </c>
      <c r="G458" s="36" t="s">
        <v>93</v>
      </c>
      <c r="H458" s="36" t="s">
        <v>96</v>
      </c>
      <c r="I458" s="37">
        <v>7</v>
      </c>
      <c r="J458" s="36"/>
    </row>
    <row r="459" spans="1:10" x14ac:dyDescent="0.35">
      <c r="A459" s="36" t="s">
        <v>651</v>
      </c>
      <c r="B459" s="35">
        <v>45933</v>
      </c>
      <c r="C459" s="36" t="s">
        <v>190</v>
      </c>
      <c r="D459" s="36" t="s">
        <v>191</v>
      </c>
      <c r="E459" s="36" t="s">
        <v>120</v>
      </c>
      <c r="F459" s="36" t="s">
        <v>121</v>
      </c>
      <c r="G459" s="36" t="s">
        <v>14</v>
      </c>
      <c r="H459" s="36" t="s">
        <v>119</v>
      </c>
      <c r="I459" s="37">
        <v>5</v>
      </c>
      <c r="J459" s="36"/>
    </row>
    <row r="460" spans="1:10" x14ac:dyDescent="0.35">
      <c r="A460" s="36" t="s">
        <v>652</v>
      </c>
      <c r="B460" s="35">
        <v>45933</v>
      </c>
      <c r="C460" s="36" t="s">
        <v>190</v>
      </c>
      <c r="D460" s="36" t="s">
        <v>191</v>
      </c>
      <c r="E460" s="36" t="s">
        <v>146</v>
      </c>
      <c r="F460" s="36" t="s">
        <v>147</v>
      </c>
      <c r="G460" s="36" t="s">
        <v>8</v>
      </c>
      <c r="H460" s="36" t="s">
        <v>148</v>
      </c>
      <c r="I460" s="37">
        <v>11</v>
      </c>
      <c r="J460" s="36"/>
    </row>
    <row r="461" spans="1:10" x14ac:dyDescent="0.35">
      <c r="A461" s="36" t="s">
        <v>653</v>
      </c>
      <c r="B461" s="35">
        <v>45933</v>
      </c>
      <c r="C461" s="36" t="s">
        <v>190</v>
      </c>
      <c r="D461" s="36" t="s">
        <v>191</v>
      </c>
      <c r="E461" s="36" t="s">
        <v>109</v>
      </c>
      <c r="F461" s="36" t="s">
        <v>110</v>
      </c>
      <c r="G461" s="36" t="s">
        <v>102</v>
      </c>
      <c r="H461" s="36" t="s">
        <v>42</v>
      </c>
      <c r="I461" s="37">
        <v>17</v>
      </c>
      <c r="J461" s="36"/>
    </row>
    <row r="462" spans="1:10" x14ac:dyDescent="0.35">
      <c r="A462" s="36" t="s">
        <v>654</v>
      </c>
      <c r="B462" s="35">
        <v>45933</v>
      </c>
      <c r="C462" s="36" t="s">
        <v>238</v>
      </c>
      <c r="D462" s="36" t="s">
        <v>239</v>
      </c>
      <c r="E462" s="36" t="s">
        <v>67</v>
      </c>
      <c r="F462" s="36" t="s">
        <v>68</v>
      </c>
      <c r="G462" s="36" t="s">
        <v>66</v>
      </c>
      <c r="H462" s="36" t="s">
        <v>42</v>
      </c>
      <c r="I462" s="37">
        <v>5</v>
      </c>
      <c r="J462" s="36"/>
    </row>
    <row r="463" spans="1:10" x14ac:dyDescent="0.35">
      <c r="A463" s="36" t="s">
        <v>655</v>
      </c>
      <c r="B463" s="35">
        <v>45933</v>
      </c>
      <c r="C463" s="36" t="s">
        <v>238</v>
      </c>
      <c r="D463" s="36" t="s">
        <v>239</v>
      </c>
      <c r="E463" s="36" t="s">
        <v>144</v>
      </c>
      <c r="F463" s="36" t="s">
        <v>7</v>
      </c>
      <c r="G463" s="36" t="s">
        <v>8</v>
      </c>
      <c r="H463" s="36" t="s">
        <v>145</v>
      </c>
      <c r="I463" s="37">
        <v>2</v>
      </c>
      <c r="J463" s="36"/>
    </row>
    <row r="464" spans="1:10" x14ac:dyDescent="0.35">
      <c r="A464" s="36" t="s">
        <v>656</v>
      </c>
      <c r="B464" s="35">
        <v>45933</v>
      </c>
      <c r="C464" s="36" t="s">
        <v>238</v>
      </c>
      <c r="D464" s="36" t="s">
        <v>239</v>
      </c>
      <c r="E464" s="36" t="s">
        <v>138</v>
      </c>
      <c r="F464" s="36" t="s">
        <v>139</v>
      </c>
      <c r="G464" s="36" t="s">
        <v>6</v>
      </c>
      <c r="H464" s="36" t="s">
        <v>140</v>
      </c>
      <c r="I464" s="37">
        <v>7</v>
      </c>
      <c r="J464" s="36"/>
    </row>
    <row r="465" spans="1:10" x14ac:dyDescent="0.35">
      <c r="A465" s="36" t="s">
        <v>657</v>
      </c>
      <c r="B465" s="35">
        <v>45933</v>
      </c>
      <c r="C465" s="36" t="s">
        <v>238</v>
      </c>
      <c r="D465" s="36" t="s">
        <v>239</v>
      </c>
      <c r="E465" s="36" t="s">
        <v>161</v>
      </c>
      <c r="F465" s="36" t="s">
        <v>162</v>
      </c>
      <c r="G465" s="36" t="s">
        <v>159</v>
      </c>
      <c r="H465" s="36" t="s">
        <v>163</v>
      </c>
      <c r="I465" s="37">
        <v>4</v>
      </c>
      <c r="J465" s="36"/>
    </row>
    <row r="466" spans="1:10" x14ac:dyDescent="0.35">
      <c r="A466" s="36" t="s">
        <v>658</v>
      </c>
      <c r="B466" s="35">
        <v>45933</v>
      </c>
      <c r="C466" s="36" t="s">
        <v>238</v>
      </c>
      <c r="D466" s="36" t="s">
        <v>239</v>
      </c>
      <c r="E466" s="36" t="s">
        <v>146</v>
      </c>
      <c r="F466" s="36" t="s">
        <v>147</v>
      </c>
      <c r="G466" s="36" t="s">
        <v>8</v>
      </c>
      <c r="H466" s="36" t="s">
        <v>148</v>
      </c>
      <c r="I466" s="37">
        <v>3</v>
      </c>
      <c r="J466" s="36"/>
    </row>
    <row r="467" spans="1:10" x14ac:dyDescent="0.35">
      <c r="A467" s="36" t="s">
        <v>659</v>
      </c>
      <c r="B467" s="35">
        <v>45933</v>
      </c>
      <c r="C467" s="36" t="s">
        <v>238</v>
      </c>
      <c r="D467" s="36" t="s">
        <v>239</v>
      </c>
      <c r="E467" s="36" t="s">
        <v>106</v>
      </c>
      <c r="F467" s="36" t="s">
        <v>107</v>
      </c>
      <c r="G467" s="36" t="s">
        <v>102</v>
      </c>
      <c r="H467" s="36" t="s">
        <v>108</v>
      </c>
      <c r="I467" s="37">
        <v>7</v>
      </c>
      <c r="J467" s="36"/>
    </row>
    <row r="468" spans="1:10" x14ac:dyDescent="0.35">
      <c r="A468" s="36" t="s">
        <v>660</v>
      </c>
      <c r="B468" s="35">
        <v>45943</v>
      </c>
      <c r="C468" s="36" t="s">
        <v>190</v>
      </c>
      <c r="D468" s="36" t="s">
        <v>191</v>
      </c>
      <c r="E468" s="36" t="s">
        <v>151</v>
      </c>
      <c r="F468" s="36" t="s">
        <v>152</v>
      </c>
      <c r="G468" s="36" t="s">
        <v>8</v>
      </c>
      <c r="H468" s="36" t="s">
        <v>143</v>
      </c>
      <c r="I468" s="37">
        <v>12</v>
      </c>
      <c r="J468" s="36"/>
    </row>
    <row r="469" spans="1:10" x14ac:dyDescent="0.35">
      <c r="A469" s="36" t="s">
        <v>661</v>
      </c>
      <c r="B469" s="35">
        <v>45943</v>
      </c>
      <c r="C469" s="36" t="s">
        <v>190</v>
      </c>
      <c r="D469" s="36" t="s">
        <v>191</v>
      </c>
      <c r="E469" s="36" t="s">
        <v>88</v>
      </c>
      <c r="F469" s="36" t="s">
        <v>89</v>
      </c>
      <c r="G469" s="36" t="s">
        <v>74</v>
      </c>
      <c r="H469" s="36" t="s">
        <v>90</v>
      </c>
      <c r="I469" s="37">
        <v>13</v>
      </c>
      <c r="J469" s="36"/>
    </row>
    <row r="470" spans="1:10" x14ac:dyDescent="0.35">
      <c r="A470" s="36" t="s">
        <v>662</v>
      </c>
      <c r="B470" s="35">
        <v>45943</v>
      </c>
      <c r="C470" s="36" t="s">
        <v>190</v>
      </c>
      <c r="D470" s="36" t="s">
        <v>191</v>
      </c>
      <c r="E470" s="36" t="s">
        <v>37</v>
      </c>
      <c r="F470" s="36" t="s">
        <v>38</v>
      </c>
      <c r="G470" s="36" t="s">
        <v>31</v>
      </c>
      <c r="H470" s="36" t="s">
        <v>39</v>
      </c>
      <c r="I470" s="37">
        <v>19</v>
      </c>
      <c r="J470" s="36"/>
    </row>
    <row r="471" spans="1:10" x14ac:dyDescent="0.35">
      <c r="A471" s="36" t="s">
        <v>663</v>
      </c>
      <c r="B471" s="35">
        <v>45943</v>
      </c>
      <c r="C471" s="36" t="s">
        <v>190</v>
      </c>
      <c r="D471" s="36" t="s">
        <v>191</v>
      </c>
      <c r="E471" s="36" t="s">
        <v>46</v>
      </c>
      <c r="F471" s="36" t="s">
        <v>47</v>
      </c>
      <c r="G471" s="36" t="s">
        <v>31</v>
      </c>
      <c r="H471" s="36" t="s">
        <v>42</v>
      </c>
      <c r="I471" s="37">
        <v>18</v>
      </c>
      <c r="J471" s="36"/>
    </row>
    <row r="472" spans="1:10" x14ac:dyDescent="0.35">
      <c r="A472" s="36" t="s">
        <v>664</v>
      </c>
      <c r="B472" s="35">
        <v>45943</v>
      </c>
      <c r="C472" s="36" t="s">
        <v>190</v>
      </c>
      <c r="D472" s="36" t="s">
        <v>191</v>
      </c>
      <c r="E472" s="36" t="s">
        <v>43</v>
      </c>
      <c r="F472" s="36" t="s">
        <v>44</v>
      </c>
      <c r="G472" s="36" t="s">
        <v>31</v>
      </c>
      <c r="H472" s="36" t="s">
        <v>42</v>
      </c>
      <c r="I472" s="37">
        <v>16</v>
      </c>
      <c r="J472" s="36"/>
    </row>
    <row r="473" spans="1:10" x14ac:dyDescent="0.35">
      <c r="A473" s="36" t="s">
        <v>665</v>
      </c>
      <c r="B473" s="35">
        <v>45943</v>
      </c>
      <c r="C473" s="36" t="s">
        <v>190</v>
      </c>
      <c r="D473" s="36" t="s">
        <v>191</v>
      </c>
      <c r="E473" s="36" t="s">
        <v>40</v>
      </c>
      <c r="F473" s="36" t="s">
        <v>41</v>
      </c>
      <c r="G473" s="36" t="s">
        <v>31</v>
      </c>
      <c r="H473" s="36" t="s">
        <v>42</v>
      </c>
      <c r="I473" s="37">
        <v>18</v>
      </c>
      <c r="J473" s="36"/>
    </row>
    <row r="474" spans="1:10" x14ac:dyDescent="0.35">
      <c r="A474" s="36" t="s">
        <v>666</v>
      </c>
      <c r="B474" s="35">
        <v>45943</v>
      </c>
      <c r="C474" s="36" t="s">
        <v>190</v>
      </c>
      <c r="D474" s="36" t="s">
        <v>191</v>
      </c>
      <c r="E474" s="36" t="s">
        <v>61</v>
      </c>
      <c r="F474" s="36" t="s">
        <v>62</v>
      </c>
      <c r="G474" s="36" t="s">
        <v>53</v>
      </c>
      <c r="H474" s="36" t="s">
        <v>42</v>
      </c>
      <c r="I474" s="37">
        <v>15</v>
      </c>
      <c r="J474" s="36"/>
    </row>
    <row r="475" spans="1:10" x14ac:dyDescent="0.35">
      <c r="A475" s="36" t="s">
        <v>667</v>
      </c>
      <c r="B475" s="35">
        <v>45943</v>
      </c>
      <c r="C475" s="36" t="s">
        <v>190</v>
      </c>
      <c r="D475" s="36" t="s">
        <v>191</v>
      </c>
      <c r="E475" s="36" t="s">
        <v>76</v>
      </c>
      <c r="F475" s="36" t="s">
        <v>77</v>
      </c>
      <c r="G475" s="36" t="s">
        <v>74</v>
      </c>
      <c r="H475" s="36" t="s">
        <v>75</v>
      </c>
      <c r="I475" s="37">
        <v>8</v>
      </c>
      <c r="J475" s="36"/>
    </row>
    <row r="476" spans="1:10" x14ac:dyDescent="0.35">
      <c r="A476" s="36" t="s">
        <v>668</v>
      </c>
      <c r="B476" s="35">
        <v>45943</v>
      </c>
      <c r="C476" s="36" t="s">
        <v>190</v>
      </c>
      <c r="D476" s="36" t="s">
        <v>191</v>
      </c>
      <c r="E476" s="36" t="s">
        <v>128</v>
      </c>
      <c r="F476" s="36" t="s">
        <v>9</v>
      </c>
      <c r="G476" s="36" t="s">
        <v>10</v>
      </c>
      <c r="H476" s="36" t="s">
        <v>129</v>
      </c>
      <c r="I476" s="37">
        <v>10</v>
      </c>
      <c r="J476" s="36"/>
    </row>
    <row r="477" spans="1:10" x14ac:dyDescent="0.35">
      <c r="A477" s="36" t="s">
        <v>669</v>
      </c>
      <c r="B477" s="35">
        <v>45943</v>
      </c>
      <c r="C477" s="36" t="s">
        <v>190</v>
      </c>
      <c r="D477" s="36" t="s">
        <v>191</v>
      </c>
      <c r="E477" s="36" t="s">
        <v>161</v>
      </c>
      <c r="F477" s="36" t="s">
        <v>162</v>
      </c>
      <c r="G477" s="36" t="s">
        <v>159</v>
      </c>
      <c r="H477" s="36" t="s">
        <v>163</v>
      </c>
      <c r="I477" s="37">
        <v>5</v>
      </c>
      <c r="J477" s="36"/>
    </row>
    <row r="478" spans="1:10" x14ac:dyDescent="0.35">
      <c r="A478" s="36" t="s">
        <v>670</v>
      </c>
      <c r="B478" s="35">
        <v>45943</v>
      </c>
      <c r="C478" s="36" t="s">
        <v>190</v>
      </c>
      <c r="D478" s="36" t="s">
        <v>191</v>
      </c>
      <c r="E478" s="36" t="s">
        <v>130</v>
      </c>
      <c r="F478" s="36" t="s">
        <v>16</v>
      </c>
      <c r="G478" s="36" t="s">
        <v>10</v>
      </c>
      <c r="H478" s="36" t="s">
        <v>131</v>
      </c>
      <c r="I478" s="37">
        <v>10</v>
      </c>
      <c r="J478" s="36"/>
    </row>
    <row r="479" spans="1:10" x14ac:dyDescent="0.35">
      <c r="A479" s="36" t="s">
        <v>671</v>
      </c>
      <c r="B479" s="35">
        <v>45943</v>
      </c>
      <c r="C479" s="36" t="s">
        <v>190</v>
      </c>
      <c r="D479" s="36" t="s">
        <v>191</v>
      </c>
      <c r="E479" s="36" t="s">
        <v>69</v>
      </c>
      <c r="F479" s="36" t="s">
        <v>70</v>
      </c>
      <c r="G479" s="36" t="s">
        <v>66</v>
      </c>
      <c r="H479" s="36" t="s">
        <v>71</v>
      </c>
      <c r="I479" s="37">
        <v>8</v>
      </c>
      <c r="J479" s="36"/>
    </row>
    <row r="480" spans="1:10" x14ac:dyDescent="0.35">
      <c r="A480" s="36" t="s">
        <v>672</v>
      </c>
      <c r="B480" s="35">
        <v>45944</v>
      </c>
      <c r="C480" s="36" t="s">
        <v>298</v>
      </c>
      <c r="D480" s="36" t="s">
        <v>299</v>
      </c>
      <c r="E480" s="36" t="s">
        <v>81</v>
      </c>
      <c r="F480" s="36" t="s">
        <v>82</v>
      </c>
      <c r="G480" s="36" t="s">
        <v>74</v>
      </c>
      <c r="H480" s="36" t="s">
        <v>80</v>
      </c>
      <c r="I480" s="37">
        <v>4</v>
      </c>
      <c r="J480" s="36"/>
    </row>
    <row r="481" spans="1:10" x14ac:dyDescent="0.35">
      <c r="A481" s="36" t="s">
        <v>673</v>
      </c>
      <c r="B481" s="35">
        <v>45944</v>
      </c>
      <c r="C481" s="36" t="s">
        <v>298</v>
      </c>
      <c r="D481" s="36" t="s">
        <v>299</v>
      </c>
      <c r="E481" s="36" t="s">
        <v>146</v>
      </c>
      <c r="F481" s="36" t="s">
        <v>147</v>
      </c>
      <c r="G481" s="36" t="s">
        <v>8</v>
      </c>
      <c r="H481" s="36" t="s">
        <v>148</v>
      </c>
      <c r="I481" s="37">
        <v>2</v>
      </c>
      <c r="J481" s="36"/>
    </row>
    <row r="482" spans="1:10" x14ac:dyDescent="0.35">
      <c r="A482" s="36" t="s">
        <v>674</v>
      </c>
      <c r="B482" s="35">
        <v>45944</v>
      </c>
      <c r="C482" s="36" t="s">
        <v>298</v>
      </c>
      <c r="D482" s="36" t="s">
        <v>299</v>
      </c>
      <c r="E482" s="36" t="s">
        <v>83</v>
      </c>
      <c r="F482" s="36" t="s">
        <v>84</v>
      </c>
      <c r="G482" s="36" t="s">
        <v>74</v>
      </c>
      <c r="H482" s="36" t="s">
        <v>85</v>
      </c>
      <c r="I482" s="37">
        <v>3</v>
      </c>
      <c r="J482" s="36"/>
    </row>
    <row r="483" spans="1:10" x14ac:dyDescent="0.35">
      <c r="A483" s="36" t="s">
        <v>675</v>
      </c>
      <c r="B483" s="35">
        <v>45944</v>
      </c>
      <c r="C483" s="36" t="s">
        <v>298</v>
      </c>
      <c r="D483" s="36" t="s">
        <v>299</v>
      </c>
      <c r="E483" s="36" t="s">
        <v>135</v>
      </c>
      <c r="F483" s="36" t="s">
        <v>5</v>
      </c>
      <c r="G483" s="36" t="s">
        <v>6</v>
      </c>
      <c r="H483" s="36" t="s">
        <v>136</v>
      </c>
      <c r="I483" s="37">
        <v>4</v>
      </c>
      <c r="J483" s="36"/>
    </row>
    <row r="484" spans="1:10" x14ac:dyDescent="0.35">
      <c r="A484" s="36" t="s">
        <v>676</v>
      </c>
      <c r="B484" s="35">
        <v>45944</v>
      </c>
      <c r="C484" s="36" t="s">
        <v>298</v>
      </c>
      <c r="D484" s="36" t="s">
        <v>299</v>
      </c>
      <c r="E484" s="36" t="s">
        <v>46</v>
      </c>
      <c r="F484" s="36" t="s">
        <v>47</v>
      </c>
      <c r="G484" s="36" t="s">
        <v>31</v>
      </c>
      <c r="H484" s="36" t="s">
        <v>42</v>
      </c>
      <c r="I484" s="37">
        <v>5</v>
      </c>
      <c r="J484" s="36"/>
    </row>
    <row r="485" spans="1:10" x14ac:dyDescent="0.35">
      <c r="A485" s="36" t="s">
        <v>677</v>
      </c>
      <c r="B485" s="35">
        <v>45944</v>
      </c>
      <c r="C485" s="36" t="s">
        <v>298</v>
      </c>
      <c r="D485" s="36" t="s">
        <v>299</v>
      </c>
      <c r="E485" s="36" t="s">
        <v>161</v>
      </c>
      <c r="F485" s="36" t="s">
        <v>162</v>
      </c>
      <c r="G485" s="36" t="s">
        <v>159</v>
      </c>
      <c r="H485" s="36" t="s">
        <v>163</v>
      </c>
      <c r="I485" s="37">
        <v>2</v>
      </c>
      <c r="J485" s="36"/>
    </row>
    <row r="486" spans="1:10" x14ac:dyDescent="0.35">
      <c r="A486" s="36" t="s">
        <v>678</v>
      </c>
      <c r="B486" s="35">
        <v>45950</v>
      </c>
      <c r="C486" s="36" t="s">
        <v>298</v>
      </c>
      <c r="D486" s="36" t="s">
        <v>299</v>
      </c>
      <c r="E486" s="36" t="s">
        <v>83</v>
      </c>
      <c r="F486" s="36" t="s">
        <v>84</v>
      </c>
      <c r="G486" s="36" t="s">
        <v>74</v>
      </c>
      <c r="H486" s="36" t="s">
        <v>85</v>
      </c>
      <c r="I486" s="37">
        <v>4</v>
      </c>
      <c r="J486" s="36"/>
    </row>
    <row r="487" spans="1:10" x14ac:dyDescent="0.35">
      <c r="A487" s="36" t="s">
        <v>679</v>
      </c>
      <c r="B487" s="35">
        <v>45950</v>
      </c>
      <c r="C487" s="36" t="s">
        <v>298</v>
      </c>
      <c r="D487" s="36" t="s">
        <v>299</v>
      </c>
      <c r="E487" s="36" t="s">
        <v>146</v>
      </c>
      <c r="F487" s="36" t="s">
        <v>147</v>
      </c>
      <c r="G487" s="36" t="s">
        <v>8</v>
      </c>
      <c r="H487" s="36" t="s">
        <v>148</v>
      </c>
      <c r="I487" s="37">
        <v>1</v>
      </c>
      <c r="J487" s="36"/>
    </row>
    <row r="488" spans="1:10" x14ac:dyDescent="0.35">
      <c r="A488" s="36" t="s">
        <v>680</v>
      </c>
      <c r="B488" s="35">
        <v>45950</v>
      </c>
      <c r="C488" s="36" t="s">
        <v>298</v>
      </c>
      <c r="D488" s="36" t="s">
        <v>299</v>
      </c>
      <c r="E488" s="36" t="s">
        <v>153</v>
      </c>
      <c r="F488" s="36" t="s">
        <v>154</v>
      </c>
      <c r="G488" s="36" t="s">
        <v>12</v>
      </c>
      <c r="H488" s="36" t="s">
        <v>155</v>
      </c>
      <c r="I488" s="37">
        <v>1</v>
      </c>
      <c r="J488" s="36"/>
    </row>
    <row r="489" spans="1:10" x14ac:dyDescent="0.35">
      <c r="A489" s="36" t="s">
        <v>681</v>
      </c>
      <c r="B489" s="35">
        <v>45950</v>
      </c>
      <c r="C489" s="36" t="s">
        <v>298</v>
      </c>
      <c r="D489" s="36" t="s">
        <v>299</v>
      </c>
      <c r="E489" s="36" t="s">
        <v>141</v>
      </c>
      <c r="F489" s="36" t="s">
        <v>142</v>
      </c>
      <c r="G489" s="36" t="s">
        <v>8</v>
      </c>
      <c r="H489" s="36" t="s">
        <v>143</v>
      </c>
      <c r="I489" s="37">
        <v>2</v>
      </c>
      <c r="J489" s="36"/>
    </row>
    <row r="490" spans="1:10" x14ac:dyDescent="0.35">
      <c r="A490" s="36" t="s">
        <v>682</v>
      </c>
      <c r="B490" s="35">
        <v>45950</v>
      </c>
      <c r="C490" s="36" t="s">
        <v>298</v>
      </c>
      <c r="D490" s="36" t="s">
        <v>299</v>
      </c>
      <c r="E490" s="36" t="s">
        <v>94</v>
      </c>
      <c r="F490" s="36" t="s">
        <v>95</v>
      </c>
      <c r="G490" s="36" t="s">
        <v>93</v>
      </c>
      <c r="H490" s="36" t="s">
        <v>96</v>
      </c>
      <c r="I490" s="37">
        <v>3</v>
      </c>
      <c r="J490" s="36"/>
    </row>
    <row r="491" spans="1:10" x14ac:dyDescent="0.35">
      <c r="A491" s="36" t="s">
        <v>683</v>
      </c>
      <c r="B491" s="35">
        <v>45950</v>
      </c>
      <c r="C491" s="36" t="s">
        <v>298</v>
      </c>
      <c r="D491" s="36" t="s">
        <v>299</v>
      </c>
      <c r="E491" s="36" t="s">
        <v>29</v>
      </c>
      <c r="F491" s="36" t="s">
        <v>30</v>
      </c>
      <c r="G491" s="36" t="s">
        <v>31</v>
      </c>
      <c r="H491" s="36" t="s">
        <v>32</v>
      </c>
      <c r="I491" s="37">
        <v>5</v>
      </c>
      <c r="J491" s="36"/>
    </row>
    <row r="492" spans="1:10" x14ac:dyDescent="0.35">
      <c r="A492" s="36" t="s">
        <v>684</v>
      </c>
      <c r="B492" s="35">
        <v>45950</v>
      </c>
      <c r="C492" s="36" t="s">
        <v>298</v>
      </c>
      <c r="D492" s="36" t="s">
        <v>299</v>
      </c>
      <c r="E492" s="36" t="s">
        <v>128</v>
      </c>
      <c r="F492" s="36" t="s">
        <v>9</v>
      </c>
      <c r="G492" s="36" t="s">
        <v>10</v>
      </c>
      <c r="H492" s="36" t="s">
        <v>129</v>
      </c>
      <c r="I492" s="37">
        <v>1</v>
      </c>
      <c r="J492" s="36"/>
    </row>
    <row r="493" spans="1:10" x14ac:dyDescent="0.35">
      <c r="A493" s="36" t="s">
        <v>685</v>
      </c>
      <c r="B493" s="35">
        <v>45950</v>
      </c>
      <c r="C493" s="36" t="s">
        <v>210</v>
      </c>
      <c r="D493" s="36" t="s">
        <v>211</v>
      </c>
      <c r="E493" s="36" t="s">
        <v>156</v>
      </c>
      <c r="F493" s="36" t="s">
        <v>11</v>
      </c>
      <c r="G493" s="36" t="s">
        <v>12</v>
      </c>
      <c r="H493" s="36" t="s">
        <v>155</v>
      </c>
      <c r="I493" s="37">
        <v>3</v>
      </c>
      <c r="J493" s="36"/>
    </row>
    <row r="494" spans="1:10" x14ac:dyDescent="0.35">
      <c r="A494" s="36" t="s">
        <v>686</v>
      </c>
      <c r="B494" s="35">
        <v>45950</v>
      </c>
      <c r="C494" s="36" t="s">
        <v>210</v>
      </c>
      <c r="D494" s="36" t="s">
        <v>211</v>
      </c>
      <c r="E494" s="36" t="s">
        <v>161</v>
      </c>
      <c r="F494" s="36" t="s">
        <v>162</v>
      </c>
      <c r="G494" s="36" t="s">
        <v>159</v>
      </c>
      <c r="H494" s="36" t="s">
        <v>163</v>
      </c>
      <c r="I494" s="37">
        <v>3</v>
      </c>
      <c r="J494" s="36"/>
    </row>
    <row r="495" spans="1:10" x14ac:dyDescent="0.35">
      <c r="A495" s="36" t="s">
        <v>687</v>
      </c>
      <c r="B495" s="35">
        <v>45950</v>
      </c>
      <c r="C495" s="36" t="s">
        <v>210</v>
      </c>
      <c r="D495" s="36" t="s">
        <v>211</v>
      </c>
      <c r="E495" s="36" t="s">
        <v>153</v>
      </c>
      <c r="F495" s="36" t="s">
        <v>154</v>
      </c>
      <c r="G495" s="36" t="s">
        <v>12</v>
      </c>
      <c r="H495" s="36" t="s">
        <v>155</v>
      </c>
      <c r="I495" s="37">
        <v>5</v>
      </c>
      <c r="J495" s="36"/>
    </row>
    <row r="496" spans="1:10" x14ac:dyDescent="0.35">
      <c r="A496" s="36" t="s">
        <v>688</v>
      </c>
      <c r="B496" s="35">
        <v>45950</v>
      </c>
      <c r="C496" s="36" t="s">
        <v>210</v>
      </c>
      <c r="D496" s="36" t="s">
        <v>211</v>
      </c>
      <c r="E496" s="36" t="s">
        <v>91</v>
      </c>
      <c r="F496" s="36" t="s">
        <v>92</v>
      </c>
      <c r="G496" s="36" t="s">
        <v>93</v>
      </c>
      <c r="H496" s="36" t="s">
        <v>85</v>
      </c>
      <c r="I496" s="37">
        <v>6</v>
      </c>
      <c r="J496" s="36"/>
    </row>
    <row r="497" spans="1:10" x14ac:dyDescent="0.35">
      <c r="A497" s="36" t="s">
        <v>689</v>
      </c>
      <c r="B497" s="35">
        <v>45950</v>
      </c>
      <c r="C497" s="36" t="s">
        <v>210</v>
      </c>
      <c r="D497" s="36" t="s">
        <v>211</v>
      </c>
      <c r="E497" s="36" t="s">
        <v>67</v>
      </c>
      <c r="F497" s="36" t="s">
        <v>68</v>
      </c>
      <c r="G497" s="36" t="s">
        <v>66</v>
      </c>
      <c r="H497" s="36" t="s">
        <v>42</v>
      </c>
      <c r="I497" s="37">
        <v>6</v>
      </c>
      <c r="J497" s="36"/>
    </row>
    <row r="498" spans="1:10" x14ac:dyDescent="0.35">
      <c r="A498" s="36" t="s">
        <v>690</v>
      </c>
      <c r="B498" s="35">
        <v>45950</v>
      </c>
      <c r="C498" s="36" t="s">
        <v>210</v>
      </c>
      <c r="D498" s="36" t="s">
        <v>211</v>
      </c>
      <c r="E498" s="36" t="s">
        <v>104</v>
      </c>
      <c r="F498" s="36" t="s">
        <v>105</v>
      </c>
      <c r="G498" s="36" t="s">
        <v>102</v>
      </c>
      <c r="H498" s="36" t="s">
        <v>103</v>
      </c>
      <c r="I498" s="37">
        <v>10</v>
      </c>
      <c r="J498" s="36"/>
    </row>
    <row r="499" spans="1:10" x14ac:dyDescent="0.35">
      <c r="A499" s="36" t="s">
        <v>691</v>
      </c>
      <c r="B499" s="35">
        <v>45950</v>
      </c>
      <c r="C499" s="36" t="s">
        <v>210</v>
      </c>
      <c r="D499" s="36" t="s">
        <v>211</v>
      </c>
      <c r="E499" s="36" t="s">
        <v>141</v>
      </c>
      <c r="F499" s="36" t="s">
        <v>142</v>
      </c>
      <c r="G499" s="36" t="s">
        <v>8</v>
      </c>
      <c r="H499" s="36" t="s">
        <v>143</v>
      </c>
      <c r="I499" s="37">
        <v>6</v>
      </c>
      <c r="J499" s="36"/>
    </row>
    <row r="500" spans="1:10" x14ac:dyDescent="0.35">
      <c r="A500" s="36" t="s">
        <v>692</v>
      </c>
      <c r="B500" s="35">
        <v>45950</v>
      </c>
      <c r="C500" s="36" t="s">
        <v>210</v>
      </c>
      <c r="D500" s="36" t="s">
        <v>211</v>
      </c>
      <c r="E500" s="36" t="s">
        <v>120</v>
      </c>
      <c r="F500" s="36" t="s">
        <v>121</v>
      </c>
      <c r="G500" s="36" t="s">
        <v>14</v>
      </c>
      <c r="H500" s="36" t="s">
        <v>119</v>
      </c>
      <c r="I500" s="37">
        <v>2</v>
      </c>
      <c r="J500" s="36"/>
    </row>
    <row r="501" spans="1:10" x14ac:dyDescent="0.35">
      <c r="A501" s="36" t="s">
        <v>693</v>
      </c>
      <c r="B501" s="35">
        <v>45951</v>
      </c>
      <c r="C501" s="36" t="s">
        <v>190</v>
      </c>
      <c r="D501" s="36" t="s">
        <v>191</v>
      </c>
      <c r="E501" s="36" t="s">
        <v>76</v>
      </c>
      <c r="F501" s="36" t="s">
        <v>77</v>
      </c>
      <c r="G501" s="36" t="s">
        <v>74</v>
      </c>
      <c r="H501" s="36" t="s">
        <v>75</v>
      </c>
      <c r="I501" s="37">
        <v>19</v>
      </c>
      <c r="J501" s="36"/>
    </row>
    <row r="502" spans="1:10" x14ac:dyDescent="0.35">
      <c r="A502" s="36" t="s">
        <v>694</v>
      </c>
      <c r="B502" s="35">
        <v>45951</v>
      </c>
      <c r="C502" s="36" t="s">
        <v>190</v>
      </c>
      <c r="D502" s="36" t="s">
        <v>191</v>
      </c>
      <c r="E502" s="36" t="s">
        <v>48</v>
      </c>
      <c r="F502" s="36" t="s">
        <v>49</v>
      </c>
      <c r="G502" s="36" t="s">
        <v>31</v>
      </c>
      <c r="H502" s="36" t="s">
        <v>50</v>
      </c>
      <c r="I502" s="37">
        <v>17</v>
      </c>
      <c r="J502" s="36"/>
    </row>
    <row r="503" spans="1:10" x14ac:dyDescent="0.35">
      <c r="A503" s="36" t="s">
        <v>695</v>
      </c>
      <c r="B503" s="35">
        <v>45951</v>
      </c>
      <c r="C503" s="36" t="s">
        <v>190</v>
      </c>
      <c r="D503" s="36" t="s">
        <v>191</v>
      </c>
      <c r="E503" s="36" t="s">
        <v>64</v>
      </c>
      <c r="F503" s="36" t="s">
        <v>65</v>
      </c>
      <c r="G503" s="36" t="s">
        <v>66</v>
      </c>
      <c r="H503" s="36" t="s">
        <v>42</v>
      </c>
      <c r="I503" s="37">
        <v>14</v>
      </c>
      <c r="J503" s="36"/>
    </row>
    <row r="504" spans="1:10" x14ac:dyDescent="0.35">
      <c r="A504" s="36" t="s">
        <v>696</v>
      </c>
      <c r="B504" s="35">
        <v>45951</v>
      </c>
      <c r="C504" s="36" t="s">
        <v>190</v>
      </c>
      <c r="D504" s="36" t="s">
        <v>191</v>
      </c>
      <c r="E504" s="36" t="s">
        <v>153</v>
      </c>
      <c r="F504" s="36" t="s">
        <v>154</v>
      </c>
      <c r="G504" s="36" t="s">
        <v>12</v>
      </c>
      <c r="H504" s="36" t="s">
        <v>155</v>
      </c>
      <c r="I504" s="37">
        <v>4</v>
      </c>
      <c r="J504" s="36"/>
    </row>
    <row r="505" spans="1:10" x14ac:dyDescent="0.35">
      <c r="A505" s="36" t="s">
        <v>697</v>
      </c>
      <c r="B505" s="35">
        <v>45951</v>
      </c>
      <c r="C505" s="36" t="s">
        <v>190</v>
      </c>
      <c r="D505" s="36" t="s">
        <v>191</v>
      </c>
      <c r="E505" s="36" t="s">
        <v>132</v>
      </c>
      <c r="F505" s="36" t="s">
        <v>133</v>
      </c>
      <c r="G505" s="36" t="s">
        <v>10</v>
      </c>
      <c r="H505" s="36" t="s">
        <v>134</v>
      </c>
      <c r="I505" s="37">
        <v>7</v>
      </c>
      <c r="J505" s="36"/>
    </row>
    <row r="506" spans="1:10" x14ac:dyDescent="0.35">
      <c r="A506" s="36" t="s">
        <v>698</v>
      </c>
      <c r="B506" s="35">
        <v>45951</v>
      </c>
      <c r="C506" s="36" t="s">
        <v>190</v>
      </c>
      <c r="D506" s="36" t="s">
        <v>191</v>
      </c>
      <c r="E506" s="36" t="s">
        <v>117</v>
      </c>
      <c r="F506" s="36" t="s">
        <v>118</v>
      </c>
      <c r="G506" s="36" t="s">
        <v>14</v>
      </c>
      <c r="H506" s="36" t="s">
        <v>119</v>
      </c>
      <c r="I506" s="37">
        <v>2</v>
      </c>
      <c r="J506" s="36"/>
    </row>
    <row r="507" spans="1:10" x14ac:dyDescent="0.35">
      <c r="A507" s="36" t="s">
        <v>699</v>
      </c>
      <c r="B507" s="35">
        <v>45951</v>
      </c>
      <c r="C507" s="36" t="s">
        <v>238</v>
      </c>
      <c r="D507" s="36" t="s">
        <v>239</v>
      </c>
      <c r="E507" s="36" t="s">
        <v>86</v>
      </c>
      <c r="F507" s="36" t="s">
        <v>87</v>
      </c>
      <c r="G507" s="36" t="s">
        <v>74</v>
      </c>
      <c r="H507" s="36" t="s">
        <v>75</v>
      </c>
      <c r="I507" s="37">
        <v>3</v>
      </c>
      <c r="J507" s="36"/>
    </row>
    <row r="508" spans="1:10" x14ac:dyDescent="0.35">
      <c r="A508" s="36" t="s">
        <v>700</v>
      </c>
      <c r="B508" s="35">
        <v>45951</v>
      </c>
      <c r="C508" s="36" t="s">
        <v>238</v>
      </c>
      <c r="D508" s="36" t="s">
        <v>239</v>
      </c>
      <c r="E508" s="36" t="s">
        <v>117</v>
      </c>
      <c r="F508" s="36" t="s">
        <v>118</v>
      </c>
      <c r="G508" s="36" t="s">
        <v>14</v>
      </c>
      <c r="H508" s="36" t="s">
        <v>119</v>
      </c>
      <c r="I508" s="37">
        <v>1</v>
      </c>
      <c r="J508" s="36"/>
    </row>
    <row r="509" spans="1:10" x14ac:dyDescent="0.35">
      <c r="A509" s="36" t="s">
        <v>701</v>
      </c>
      <c r="B509" s="35">
        <v>45951</v>
      </c>
      <c r="C509" s="36" t="s">
        <v>238</v>
      </c>
      <c r="D509" s="36" t="s">
        <v>239</v>
      </c>
      <c r="E509" s="36" t="s">
        <v>109</v>
      </c>
      <c r="F509" s="36" t="s">
        <v>110</v>
      </c>
      <c r="G509" s="36" t="s">
        <v>102</v>
      </c>
      <c r="H509" s="36" t="s">
        <v>42</v>
      </c>
      <c r="I509" s="37">
        <v>9</v>
      </c>
      <c r="J509" s="36"/>
    </row>
    <row r="510" spans="1:10" x14ac:dyDescent="0.35">
      <c r="A510" s="36" t="s">
        <v>702</v>
      </c>
      <c r="B510" s="35">
        <v>45951</v>
      </c>
      <c r="C510" s="36" t="s">
        <v>238</v>
      </c>
      <c r="D510" s="36" t="s">
        <v>239</v>
      </c>
      <c r="E510" s="36" t="s">
        <v>88</v>
      </c>
      <c r="F510" s="36" t="s">
        <v>89</v>
      </c>
      <c r="G510" s="36" t="s">
        <v>74</v>
      </c>
      <c r="H510" s="36" t="s">
        <v>90</v>
      </c>
      <c r="I510" s="37">
        <v>7</v>
      </c>
      <c r="J510" s="36"/>
    </row>
    <row r="511" spans="1:10" x14ac:dyDescent="0.35">
      <c r="A511" s="36" t="s">
        <v>703</v>
      </c>
      <c r="B511" s="35">
        <v>45951</v>
      </c>
      <c r="C511" s="36" t="s">
        <v>238</v>
      </c>
      <c r="D511" s="36" t="s">
        <v>239</v>
      </c>
      <c r="E511" s="36" t="s">
        <v>137</v>
      </c>
      <c r="F511" s="36" t="s">
        <v>15</v>
      </c>
      <c r="G511" s="36" t="s">
        <v>6</v>
      </c>
      <c r="H511" s="36" t="s">
        <v>136</v>
      </c>
      <c r="I511" s="37">
        <v>4</v>
      </c>
      <c r="J511" s="36"/>
    </row>
    <row r="512" spans="1:10" x14ac:dyDescent="0.35">
      <c r="A512" s="36" t="s">
        <v>704</v>
      </c>
      <c r="B512" s="35">
        <v>45951</v>
      </c>
      <c r="C512" s="36" t="s">
        <v>238</v>
      </c>
      <c r="D512" s="36" t="s">
        <v>239</v>
      </c>
      <c r="E512" s="36" t="s">
        <v>144</v>
      </c>
      <c r="F512" s="36" t="s">
        <v>7</v>
      </c>
      <c r="G512" s="36" t="s">
        <v>8</v>
      </c>
      <c r="H512" s="36" t="s">
        <v>145</v>
      </c>
      <c r="I512" s="37">
        <v>2</v>
      </c>
      <c r="J512" s="36"/>
    </row>
    <row r="513" spans="1:10" x14ac:dyDescent="0.35">
      <c r="A513" s="36" t="s">
        <v>705</v>
      </c>
      <c r="B513" s="35">
        <v>45951</v>
      </c>
      <c r="C513" s="36" t="s">
        <v>238</v>
      </c>
      <c r="D513" s="36" t="s">
        <v>239</v>
      </c>
      <c r="E513" s="36" t="s">
        <v>83</v>
      </c>
      <c r="F513" s="36" t="s">
        <v>84</v>
      </c>
      <c r="G513" s="36" t="s">
        <v>74</v>
      </c>
      <c r="H513" s="36" t="s">
        <v>85</v>
      </c>
      <c r="I513" s="37">
        <v>6</v>
      </c>
      <c r="J513" s="36"/>
    </row>
    <row r="514" spans="1:10" x14ac:dyDescent="0.35">
      <c r="A514" s="36" t="s">
        <v>706</v>
      </c>
      <c r="B514" s="35">
        <v>45951</v>
      </c>
      <c r="C514" s="36" t="s">
        <v>238</v>
      </c>
      <c r="D514" s="36" t="s">
        <v>239</v>
      </c>
      <c r="E514" s="36" t="s">
        <v>132</v>
      </c>
      <c r="F514" s="36" t="s">
        <v>133</v>
      </c>
      <c r="G514" s="36" t="s">
        <v>10</v>
      </c>
      <c r="H514" s="36" t="s">
        <v>134</v>
      </c>
      <c r="I514" s="37">
        <v>3</v>
      </c>
      <c r="J514" s="36"/>
    </row>
    <row r="515" spans="1:10" x14ac:dyDescent="0.35">
      <c r="A515" s="36" t="s">
        <v>707</v>
      </c>
      <c r="B515" s="35">
        <v>45954</v>
      </c>
      <c r="C515" s="36" t="s">
        <v>238</v>
      </c>
      <c r="D515" s="36" t="s">
        <v>239</v>
      </c>
      <c r="E515" s="36" t="s">
        <v>114</v>
      </c>
      <c r="F515" s="36" t="s">
        <v>13</v>
      </c>
      <c r="G515" s="36" t="s">
        <v>14</v>
      </c>
      <c r="H515" s="36" t="s">
        <v>115</v>
      </c>
      <c r="I515" s="37">
        <v>1</v>
      </c>
      <c r="J515" s="36"/>
    </row>
    <row r="516" spans="1:10" x14ac:dyDescent="0.35">
      <c r="A516" s="36" t="s">
        <v>708</v>
      </c>
      <c r="B516" s="35">
        <v>45954</v>
      </c>
      <c r="C516" s="36" t="s">
        <v>238</v>
      </c>
      <c r="D516" s="36" t="s">
        <v>239</v>
      </c>
      <c r="E516" s="36" t="s">
        <v>111</v>
      </c>
      <c r="F516" s="36" t="s">
        <v>112</v>
      </c>
      <c r="G516" s="36" t="s">
        <v>102</v>
      </c>
      <c r="H516" s="36" t="s">
        <v>113</v>
      </c>
      <c r="I516" s="37">
        <v>6</v>
      </c>
      <c r="J516" s="36"/>
    </row>
    <row r="517" spans="1:10" x14ac:dyDescent="0.35">
      <c r="A517" s="36" t="s">
        <v>709</v>
      </c>
      <c r="B517" s="35">
        <v>45954</v>
      </c>
      <c r="C517" s="36" t="s">
        <v>238</v>
      </c>
      <c r="D517" s="36" t="s">
        <v>239</v>
      </c>
      <c r="E517" s="36" t="s">
        <v>109</v>
      </c>
      <c r="F517" s="36" t="s">
        <v>110</v>
      </c>
      <c r="G517" s="36" t="s">
        <v>102</v>
      </c>
      <c r="H517" s="36" t="s">
        <v>42</v>
      </c>
      <c r="I517" s="37">
        <v>9</v>
      </c>
      <c r="J517" s="36"/>
    </row>
    <row r="518" spans="1:10" x14ac:dyDescent="0.35">
      <c r="A518" s="36" t="s">
        <v>710</v>
      </c>
      <c r="B518" s="35">
        <v>45954</v>
      </c>
      <c r="C518" s="36" t="s">
        <v>238</v>
      </c>
      <c r="D518" s="36" t="s">
        <v>239</v>
      </c>
      <c r="E518" s="36" t="s">
        <v>91</v>
      </c>
      <c r="F518" s="36" t="s">
        <v>92</v>
      </c>
      <c r="G518" s="36" t="s">
        <v>93</v>
      </c>
      <c r="H518" s="36" t="s">
        <v>85</v>
      </c>
      <c r="I518" s="37">
        <v>6</v>
      </c>
      <c r="J518" s="36"/>
    </row>
    <row r="519" spans="1:10" x14ac:dyDescent="0.35">
      <c r="A519" s="36" t="s">
        <v>711</v>
      </c>
      <c r="B519" s="35">
        <v>45954</v>
      </c>
      <c r="C519" s="36" t="s">
        <v>238</v>
      </c>
      <c r="D519" s="36" t="s">
        <v>239</v>
      </c>
      <c r="E519" s="36" t="s">
        <v>83</v>
      </c>
      <c r="F519" s="36" t="s">
        <v>84</v>
      </c>
      <c r="G519" s="36" t="s">
        <v>74</v>
      </c>
      <c r="H519" s="36" t="s">
        <v>85</v>
      </c>
      <c r="I519" s="37">
        <v>4</v>
      </c>
      <c r="J519" s="36"/>
    </row>
    <row r="520" spans="1:10" x14ac:dyDescent="0.35">
      <c r="A520" s="36" t="s">
        <v>712</v>
      </c>
      <c r="B520" s="35">
        <v>45954</v>
      </c>
      <c r="C520" s="36" t="s">
        <v>238</v>
      </c>
      <c r="D520" s="36" t="s">
        <v>239</v>
      </c>
      <c r="E520" s="36" t="s">
        <v>117</v>
      </c>
      <c r="F520" s="36" t="s">
        <v>118</v>
      </c>
      <c r="G520" s="36" t="s">
        <v>14</v>
      </c>
      <c r="H520" s="36" t="s">
        <v>119</v>
      </c>
      <c r="I520" s="37">
        <v>1</v>
      </c>
      <c r="J520" s="36"/>
    </row>
    <row r="521" spans="1:10" x14ac:dyDescent="0.35">
      <c r="A521" s="36" t="s">
        <v>713</v>
      </c>
      <c r="B521" s="35">
        <v>45954</v>
      </c>
      <c r="C521" s="36" t="s">
        <v>238</v>
      </c>
      <c r="D521" s="36" t="s">
        <v>239</v>
      </c>
      <c r="E521" s="36" t="s">
        <v>128</v>
      </c>
      <c r="F521" s="36" t="s">
        <v>9</v>
      </c>
      <c r="G521" s="36" t="s">
        <v>10</v>
      </c>
      <c r="H521" s="36" t="s">
        <v>129</v>
      </c>
      <c r="I521" s="37">
        <v>3</v>
      </c>
      <c r="J521" s="36"/>
    </row>
    <row r="522" spans="1:10" x14ac:dyDescent="0.35">
      <c r="A522" s="36" t="s">
        <v>714</v>
      </c>
      <c r="B522" s="35">
        <v>45954</v>
      </c>
      <c r="C522" s="36" t="s">
        <v>238</v>
      </c>
      <c r="D522" s="36" t="s">
        <v>239</v>
      </c>
      <c r="E522" s="36" t="s">
        <v>48</v>
      </c>
      <c r="F522" s="36" t="s">
        <v>49</v>
      </c>
      <c r="G522" s="36" t="s">
        <v>31</v>
      </c>
      <c r="H522" s="36" t="s">
        <v>50</v>
      </c>
      <c r="I522" s="37">
        <v>9</v>
      </c>
      <c r="J522" s="36"/>
    </row>
    <row r="523" spans="1:10" x14ac:dyDescent="0.35">
      <c r="A523" s="36" t="s">
        <v>715</v>
      </c>
      <c r="B523" s="35">
        <v>45954</v>
      </c>
      <c r="C523" s="36" t="s">
        <v>238</v>
      </c>
      <c r="D523" s="36" t="s">
        <v>239</v>
      </c>
      <c r="E523" s="36" t="s">
        <v>61</v>
      </c>
      <c r="F523" s="36" t="s">
        <v>62</v>
      </c>
      <c r="G523" s="36" t="s">
        <v>53</v>
      </c>
      <c r="H523" s="36" t="s">
        <v>42</v>
      </c>
      <c r="I523" s="37">
        <v>10</v>
      </c>
      <c r="J523" s="36"/>
    </row>
    <row r="524" spans="1:10" x14ac:dyDescent="0.35">
      <c r="A524" s="36" t="s">
        <v>716</v>
      </c>
      <c r="B524" s="35">
        <v>45954</v>
      </c>
      <c r="C524" s="36" t="s">
        <v>238</v>
      </c>
      <c r="D524" s="36" t="s">
        <v>239</v>
      </c>
      <c r="E524" s="36" t="s">
        <v>135</v>
      </c>
      <c r="F524" s="36" t="s">
        <v>5</v>
      </c>
      <c r="G524" s="36" t="s">
        <v>6</v>
      </c>
      <c r="H524" s="36" t="s">
        <v>136</v>
      </c>
      <c r="I524" s="37">
        <v>7</v>
      </c>
      <c r="J524" s="36"/>
    </row>
    <row r="525" spans="1:10" x14ac:dyDescent="0.35">
      <c r="A525" s="36" t="s">
        <v>717</v>
      </c>
      <c r="B525" s="35">
        <v>45954</v>
      </c>
      <c r="C525" s="36" t="s">
        <v>298</v>
      </c>
      <c r="D525" s="36" t="s">
        <v>299</v>
      </c>
      <c r="E525" s="36" t="s">
        <v>132</v>
      </c>
      <c r="F525" s="36" t="s">
        <v>133</v>
      </c>
      <c r="G525" s="36" t="s">
        <v>10</v>
      </c>
      <c r="H525" s="36" t="s">
        <v>134</v>
      </c>
      <c r="I525" s="37">
        <v>2</v>
      </c>
      <c r="J525" s="36"/>
    </row>
    <row r="526" spans="1:10" x14ac:dyDescent="0.35">
      <c r="A526" s="36" t="s">
        <v>718</v>
      </c>
      <c r="B526" s="35">
        <v>45954</v>
      </c>
      <c r="C526" s="36" t="s">
        <v>298</v>
      </c>
      <c r="D526" s="36" t="s">
        <v>299</v>
      </c>
      <c r="E526" s="36" t="s">
        <v>100</v>
      </c>
      <c r="F526" s="36" t="s">
        <v>101</v>
      </c>
      <c r="G526" s="36" t="s">
        <v>102</v>
      </c>
      <c r="H526" s="36" t="s">
        <v>103</v>
      </c>
      <c r="I526" s="37">
        <v>5</v>
      </c>
      <c r="J526" s="36"/>
    </row>
    <row r="527" spans="1:10" x14ac:dyDescent="0.35">
      <c r="A527" s="36" t="s">
        <v>719</v>
      </c>
      <c r="B527" s="35">
        <v>45954</v>
      </c>
      <c r="C527" s="36" t="s">
        <v>298</v>
      </c>
      <c r="D527" s="36" t="s">
        <v>299</v>
      </c>
      <c r="E527" s="36" t="s">
        <v>161</v>
      </c>
      <c r="F527" s="36" t="s">
        <v>162</v>
      </c>
      <c r="G527" s="36" t="s">
        <v>159</v>
      </c>
      <c r="H527" s="36" t="s">
        <v>163</v>
      </c>
      <c r="I527" s="37">
        <v>3</v>
      </c>
      <c r="J527" s="36"/>
    </row>
    <row r="528" spans="1:10" x14ac:dyDescent="0.35">
      <c r="A528" s="36" t="s">
        <v>720</v>
      </c>
      <c r="B528" s="35">
        <v>45954</v>
      </c>
      <c r="C528" s="36" t="s">
        <v>298</v>
      </c>
      <c r="D528" s="36" t="s">
        <v>299</v>
      </c>
      <c r="E528" s="36" t="s">
        <v>67</v>
      </c>
      <c r="F528" s="36" t="s">
        <v>68</v>
      </c>
      <c r="G528" s="36" t="s">
        <v>66</v>
      </c>
      <c r="H528" s="36" t="s">
        <v>42</v>
      </c>
      <c r="I528" s="37">
        <v>4</v>
      </c>
      <c r="J528" s="36"/>
    </row>
    <row r="529" spans="1:10" x14ac:dyDescent="0.35">
      <c r="A529" s="36" t="s">
        <v>721</v>
      </c>
      <c r="B529" s="35">
        <v>45954</v>
      </c>
      <c r="C529" s="36" t="s">
        <v>298</v>
      </c>
      <c r="D529" s="36" t="s">
        <v>299</v>
      </c>
      <c r="E529" s="36" t="s">
        <v>37</v>
      </c>
      <c r="F529" s="36" t="s">
        <v>38</v>
      </c>
      <c r="G529" s="36" t="s">
        <v>31</v>
      </c>
      <c r="H529" s="36" t="s">
        <v>39</v>
      </c>
      <c r="I529" s="37">
        <v>6</v>
      </c>
      <c r="J529" s="36"/>
    </row>
    <row r="530" spans="1:10" x14ac:dyDescent="0.35">
      <c r="A530" s="36" t="s">
        <v>722</v>
      </c>
      <c r="B530" s="35">
        <v>45954</v>
      </c>
      <c r="C530" s="36" t="s">
        <v>238</v>
      </c>
      <c r="D530" s="36" t="s">
        <v>239</v>
      </c>
      <c r="E530" s="36" t="s">
        <v>54</v>
      </c>
      <c r="F530" s="36" t="s">
        <v>55</v>
      </c>
      <c r="G530" s="36" t="s">
        <v>53</v>
      </c>
      <c r="H530" s="36" t="s">
        <v>56</v>
      </c>
      <c r="I530" s="37">
        <v>8</v>
      </c>
      <c r="J530" s="36"/>
    </row>
    <row r="531" spans="1:10" x14ac:dyDescent="0.35">
      <c r="A531" s="36" t="s">
        <v>723</v>
      </c>
      <c r="B531" s="35">
        <v>45954</v>
      </c>
      <c r="C531" s="36" t="s">
        <v>238</v>
      </c>
      <c r="D531" s="36" t="s">
        <v>239</v>
      </c>
      <c r="E531" s="36" t="s">
        <v>111</v>
      </c>
      <c r="F531" s="36" t="s">
        <v>112</v>
      </c>
      <c r="G531" s="36" t="s">
        <v>102</v>
      </c>
      <c r="H531" s="36" t="s">
        <v>113</v>
      </c>
      <c r="I531" s="37">
        <v>9</v>
      </c>
      <c r="J531" s="36"/>
    </row>
    <row r="532" spans="1:10" x14ac:dyDescent="0.35">
      <c r="A532" s="36" t="s">
        <v>724</v>
      </c>
      <c r="B532" s="35">
        <v>45954</v>
      </c>
      <c r="C532" s="36" t="s">
        <v>238</v>
      </c>
      <c r="D532" s="36" t="s">
        <v>239</v>
      </c>
      <c r="E532" s="36" t="s">
        <v>120</v>
      </c>
      <c r="F532" s="36" t="s">
        <v>121</v>
      </c>
      <c r="G532" s="36" t="s">
        <v>14</v>
      </c>
      <c r="H532" s="36" t="s">
        <v>119</v>
      </c>
      <c r="I532" s="37">
        <v>1</v>
      </c>
      <c r="J532" s="36"/>
    </row>
    <row r="533" spans="1:10" x14ac:dyDescent="0.35">
      <c r="A533" s="36" t="s">
        <v>725</v>
      </c>
      <c r="B533" s="35">
        <v>45954</v>
      </c>
      <c r="C533" s="36" t="s">
        <v>238</v>
      </c>
      <c r="D533" s="36" t="s">
        <v>239</v>
      </c>
      <c r="E533" s="36" t="s">
        <v>156</v>
      </c>
      <c r="F533" s="36" t="s">
        <v>11</v>
      </c>
      <c r="G533" s="36" t="s">
        <v>12</v>
      </c>
      <c r="H533" s="36" t="s">
        <v>155</v>
      </c>
      <c r="I533" s="37">
        <v>3</v>
      </c>
      <c r="J533" s="36"/>
    </row>
    <row r="534" spans="1:10" x14ac:dyDescent="0.35">
      <c r="A534" s="36" t="s">
        <v>726</v>
      </c>
      <c r="B534" s="35">
        <v>45954</v>
      </c>
      <c r="C534" s="36" t="s">
        <v>238</v>
      </c>
      <c r="D534" s="36" t="s">
        <v>239</v>
      </c>
      <c r="E534" s="36" t="s">
        <v>46</v>
      </c>
      <c r="F534" s="36" t="s">
        <v>47</v>
      </c>
      <c r="G534" s="36" t="s">
        <v>31</v>
      </c>
      <c r="H534" s="36" t="s">
        <v>42</v>
      </c>
      <c r="I534" s="37">
        <v>6</v>
      </c>
      <c r="J534" s="36"/>
    </row>
    <row r="535" spans="1:10" x14ac:dyDescent="0.35">
      <c r="A535" s="36" t="s">
        <v>727</v>
      </c>
      <c r="B535" s="35">
        <v>45954</v>
      </c>
      <c r="C535" s="36" t="s">
        <v>238</v>
      </c>
      <c r="D535" s="36" t="s">
        <v>239</v>
      </c>
      <c r="E535" s="36" t="s">
        <v>100</v>
      </c>
      <c r="F535" s="36" t="s">
        <v>101</v>
      </c>
      <c r="G535" s="36" t="s">
        <v>102</v>
      </c>
      <c r="H535" s="36" t="s">
        <v>103</v>
      </c>
      <c r="I535" s="37">
        <v>7</v>
      </c>
      <c r="J535" s="36"/>
    </row>
    <row r="536" spans="1:10" x14ac:dyDescent="0.35">
      <c r="A536" s="36" t="s">
        <v>728</v>
      </c>
      <c r="B536" s="35">
        <v>45954</v>
      </c>
      <c r="C536" s="36" t="s">
        <v>238</v>
      </c>
      <c r="D536" s="36" t="s">
        <v>239</v>
      </c>
      <c r="E536" s="36" t="s">
        <v>94</v>
      </c>
      <c r="F536" s="36" t="s">
        <v>95</v>
      </c>
      <c r="G536" s="36" t="s">
        <v>93</v>
      </c>
      <c r="H536" s="36" t="s">
        <v>96</v>
      </c>
      <c r="I536" s="37">
        <v>4</v>
      </c>
      <c r="J536" s="36"/>
    </row>
    <row r="537" spans="1:10" x14ac:dyDescent="0.35">
      <c r="A537" s="36" t="s">
        <v>729</v>
      </c>
      <c r="B537" s="35">
        <v>45954</v>
      </c>
      <c r="C537" s="36" t="s">
        <v>238</v>
      </c>
      <c r="D537" s="36" t="s">
        <v>239</v>
      </c>
      <c r="E537" s="36" t="s">
        <v>153</v>
      </c>
      <c r="F537" s="36" t="s">
        <v>154</v>
      </c>
      <c r="G537" s="36" t="s">
        <v>12</v>
      </c>
      <c r="H537" s="36" t="s">
        <v>155</v>
      </c>
      <c r="I537" s="37">
        <v>2</v>
      </c>
      <c r="J537" s="36"/>
    </row>
    <row r="538" spans="1:10" x14ac:dyDescent="0.35">
      <c r="A538" s="36" t="s">
        <v>730</v>
      </c>
      <c r="B538" s="35">
        <v>45954</v>
      </c>
      <c r="C538" s="36" t="s">
        <v>238</v>
      </c>
      <c r="D538" s="36" t="s">
        <v>239</v>
      </c>
      <c r="E538" s="36" t="s">
        <v>29</v>
      </c>
      <c r="F538" s="36" t="s">
        <v>30</v>
      </c>
      <c r="G538" s="36" t="s">
        <v>31</v>
      </c>
      <c r="H538" s="36" t="s">
        <v>32</v>
      </c>
      <c r="I538" s="37">
        <v>11</v>
      </c>
      <c r="J538" s="36"/>
    </row>
    <row r="539" spans="1:10" x14ac:dyDescent="0.35">
      <c r="A539" s="36" t="s">
        <v>731</v>
      </c>
      <c r="B539" s="35">
        <v>45954</v>
      </c>
      <c r="C539" s="36" t="s">
        <v>298</v>
      </c>
      <c r="D539" s="36" t="s">
        <v>299</v>
      </c>
      <c r="E539" s="36" t="s">
        <v>156</v>
      </c>
      <c r="F539" s="36" t="s">
        <v>11</v>
      </c>
      <c r="G539" s="36" t="s">
        <v>12</v>
      </c>
      <c r="H539" s="36" t="s">
        <v>155</v>
      </c>
      <c r="I539" s="37">
        <v>1</v>
      </c>
      <c r="J539" s="36"/>
    </row>
    <row r="540" spans="1:10" x14ac:dyDescent="0.35">
      <c r="A540" s="36" t="s">
        <v>732</v>
      </c>
      <c r="B540" s="35">
        <v>45954</v>
      </c>
      <c r="C540" s="36" t="s">
        <v>298</v>
      </c>
      <c r="D540" s="36" t="s">
        <v>299</v>
      </c>
      <c r="E540" s="36" t="s">
        <v>153</v>
      </c>
      <c r="F540" s="36" t="s">
        <v>154</v>
      </c>
      <c r="G540" s="36" t="s">
        <v>12</v>
      </c>
      <c r="H540" s="36" t="s">
        <v>155</v>
      </c>
      <c r="I540" s="37">
        <v>1</v>
      </c>
      <c r="J540" s="36"/>
    </row>
    <row r="541" spans="1:10" x14ac:dyDescent="0.35">
      <c r="A541" s="36" t="s">
        <v>733</v>
      </c>
      <c r="B541" s="35">
        <v>45954</v>
      </c>
      <c r="C541" s="36" t="s">
        <v>298</v>
      </c>
      <c r="D541" s="36" t="s">
        <v>299</v>
      </c>
      <c r="E541" s="36" t="s">
        <v>91</v>
      </c>
      <c r="F541" s="36" t="s">
        <v>92</v>
      </c>
      <c r="G541" s="36" t="s">
        <v>93</v>
      </c>
      <c r="H541" s="36" t="s">
        <v>85</v>
      </c>
      <c r="I541" s="37">
        <v>2</v>
      </c>
      <c r="J541" s="36"/>
    </row>
    <row r="542" spans="1:10" x14ac:dyDescent="0.35">
      <c r="A542" s="36" t="s">
        <v>734</v>
      </c>
      <c r="B542" s="35">
        <v>45954</v>
      </c>
      <c r="C542" s="36" t="s">
        <v>298</v>
      </c>
      <c r="D542" s="36" t="s">
        <v>299</v>
      </c>
      <c r="E542" s="36" t="s">
        <v>37</v>
      </c>
      <c r="F542" s="36" t="s">
        <v>38</v>
      </c>
      <c r="G542" s="36" t="s">
        <v>31</v>
      </c>
      <c r="H542" s="36" t="s">
        <v>39</v>
      </c>
      <c r="I542" s="37">
        <v>5</v>
      </c>
      <c r="J542" s="36"/>
    </row>
    <row r="543" spans="1:10" x14ac:dyDescent="0.35">
      <c r="A543" s="36" t="s">
        <v>735</v>
      </c>
      <c r="B543" s="35">
        <v>45954</v>
      </c>
      <c r="C543" s="36" t="s">
        <v>298</v>
      </c>
      <c r="D543" s="36" t="s">
        <v>299</v>
      </c>
      <c r="E543" s="36" t="s">
        <v>69</v>
      </c>
      <c r="F543" s="36" t="s">
        <v>70</v>
      </c>
      <c r="G543" s="36" t="s">
        <v>66</v>
      </c>
      <c r="H543" s="36" t="s">
        <v>71</v>
      </c>
      <c r="I543" s="37">
        <v>4</v>
      </c>
      <c r="J543" s="36"/>
    </row>
    <row r="544" spans="1:10" x14ac:dyDescent="0.35">
      <c r="A544" s="36" t="s">
        <v>736</v>
      </c>
      <c r="B544" s="35">
        <v>45958</v>
      </c>
      <c r="C544" s="36" t="s">
        <v>210</v>
      </c>
      <c r="D544" s="36" t="s">
        <v>211</v>
      </c>
      <c r="E544" s="36" t="s">
        <v>37</v>
      </c>
      <c r="F544" s="36" t="s">
        <v>38</v>
      </c>
      <c r="G544" s="36" t="s">
        <v>31</v>
      </c>
      <c r="H544" s="36" t="s">
        <v>39</v>
      </c>
      <c r="I544" s="37">
        <v>8</v>
      </c>
      <c r="J544" s="36"/>
    </row>
    <row r="545" spans="1:10" x14ac:dyDescent="0.35">
      <c r="A545" s="36" t="s">
        <v>737</v>
      </c>
      <c r="B545" s="35">
        <v>45958</v>
      </c>
      <c r="C545" s="36" t="s">
        <v>210</v>
      </c>
      <c r="D545" s="36" t="s">
        <v>211</v>
      </c>
      <c r="E545" s="36" t="s">
        <v>161</v>
      </c>
      <c r="F545" s="36" t="s">
        <v>162</v>
      </c>
      <c r="G545" s="36" t="s">
        <v>159</v>
      </c>
      <c r="H545" s="36" t="s">
        <v>163</v>
      </c>
      <c r="I545" s="37">
        <v>5</v>
      </c>
      <c r="J545" s="36"/>
    </row>
    <row r="546" spans="1:10" x14ac:dyDescent="0.35">
      <c r="A546" s="36" t="s">
        <v>738</v>
      </c>
      <c r="B546" s="35">
        <v>45958</v>
      </c>
      <c r="C546" s="36" t="s">
        <v>210</v>
      </c>
      <c r="D546" s="36" t="s">
        <v>211</v>
      </c>
      <c r="E546" s="36" t="s">
        <v>141</v>
      </c>
      <c r="F546" s="36" t="s">
        <v>142</v>
      </c>
      <c r="G546" s="36" t="s">
        <v>8</v>
      </c>
      <c r="H546" s="36" t="s">
        <v>143</v>
      </c>
      <c r="I546" s="37">
        <v>5</v>
      </c>
      <c r="J546" s="36"/>
    </row>
    <row r="547" spans="1:10" x14ac:dyDescent="0.35">
      <c r="A547" s="36" t="s">
        <v>739</v>
      </c>
      <c r="B547" s="35">
        <v>45958</v>
      </c>
      <c r="C547" s="36" t="s">
        <v>210</v>
      </c>
      <c r="D547" s="36" t="s">
        <v>211</v>
      </c>
      <c r="E547" s="36" t="s">
        <v>86</v>
      </c>
      <c r="F547" s="36" t="s">
        <v>87</v>
      </c>
      <c r="G547" s="36" t="s">
        <v>74</v>
      </c>
      <c r="H547" s="36" t="s">
        <v>75</v>
      </c>
      <c r="I547" s="37">
        <v>9</v>
      </c>
      <c r="J547" s="36"/>
    </row>
    <row r="548" spans="1:10" x14ac:dyDescent="0.35">
      <c r="A548" s="36" t="s">
        <v>740</v>
      </c>
      <c r="B548" s="35">
        <v>45958</v>
      </c>
      <c r="C548" s="36" t="s">
        <v>210</v>
      </c>
      <c r="D548" s="36" t="s">
        <v>211</v>
      </c>
      <c r="E548" s="36" t="s">
        <v>48</v>
      </c>
      <c r="F548" s="36" t="s">
        <v>49</v>
      </c>
      <c r="G548" s="36" t="s">
        <v>31</v>
      </c>
      <c r="H548" s="36" t="s">
        <v>50</v>
      </c>
      <c r="I548" s="37">
        <v>14</v>
      </c>
      <c r="J548" s="36"/>
    </row>
    <row r="549" spans="1:10" x14ac:dyDescent="0.35">
      <c r="A549" s="36" t="s">
        <v>741</v>
      </c>
      <c r="B549" s="35">
        <v>45958</v>
      </c>
      <c r="C549" s="36" t="s">
        <v>210</v>
      </c>
      <c r="D549" s="36" t="s">
        <v>211</v>
      </c>
      <c r="E549" s="36" t="s">
        <v>122</v>
      </c>
      <c r="F549" s="36" t="s">
        <v>123</v>
      </c>
      <c r="G549" s="36" t="s">
        <v>14</v>
      </c>
      <c r="H549" s="36" t="s">
        <v>124</v>
      </c>
      <c r="I549" s="37">
        <v>3</v>
      </c>
      <c r="J549" s="36"/>
    </row>
    <row r="550" spans="1:10" x14ac:dyDescent="0.35">
      <c r="A550" s="36" t="s">
        <v>742</v>
      </c>
      <c r="B550" s="35">
        <v>45958</v>
      </c>
      <c r="C550" s="36" t="s">
        <v>210</v>
      </c>
      <c r="D550" s="36" t="s">
        <v>211</v>
      </c>
      <c r="E550" s="36" t="s">
        <v>138</v>
      </c>
      <c r="F550" s="36" t="s">
        <v>139</v>
      </c>
      <c r="G550" s="36" t="s">
        <v>6</v>
      </c>
      <c r="H550" s="36" t="s">
        <v>140</v>
      </c>
      <c r="I550" s="37">
        <v>6</v>
      </c>
      <c r="J550" s="36"/>
    </row>
    <row r="551" spans="1:10" x14ac:dyDescent="0.35">
      <c r="A551" s="36" t="s">
        <v>743</v>
      </c>
      <c r="B551" s="35">
        <v>45958</v>
      </c>
      <c r="C551" s="36" t="s">
        <v>210</v>
      </c>
      <c r="D551" s="36" t="s">
        <v>211</v>
      </c>
      <c r="E551" s="36" t="s">
        <v>78</v>
      </c>
      <c r="F551" s="36" t="s">
        <v>79</v>
      </c>
      <c r="G551" s="36" t="s">
        <v>74</v>
      </c>
      <c r="H551" s="36" t="s">
        <v>80</v>
      </c>
      <c r="I551" s="37">
        <v>11</v>
      </c>
      <c r="J551" s="36"/>
    </row>
    <row r="552" spans="1:10" x14ac:dyDescent="0.35">
      <c r="A552" s="36" t="s">
        <v>744</v>
      </c>
      <c r="B552" s="35">
        <v>45958</v>
      </c>
      <c r="C552" s="36" t="s">
        <v>210</v>
      </c>
      <c r="D552" s="36" t="s">
        <v>211</v>
      </c>
      <c r="E552" s="36" t="s">
        <v>76</v>
      </c>
      <c r="F552" s="36" t="s">
        <v>77</v>
      </c>
      <c r="G552" s="36" t="s">
        <v>74</v>
      </c>
      <c r="H552" s="36" t="s">
        <v>75</v>
      </c>
      <c r="I552" s="37">
        <v>8</v>
      </c>
      <c r="J552" s="36"/>
    </row>
    <row r="553" spans="1:10" x14ac:dyDescent="0.35">
      <c r="A553" s="36" t="s">
        <v>745</v>
      </c>
      <c r="B553" s="35">
        <v>45958</v>
      </c>
      <c r="C553" s="36" t="s">
        <v>210</v>
      </c>
      <c r="D553" s="36" t="s">
        <v>211</v>
      </c>
      <c r="E553" s="36" t="s">
        <v>132</v>
      </c>
      <c r="F553" s="36" t="s">
        <v>133</v>
      </c>
      <c r="G553" s="36" t="s">
        <v>10</v>
      </c>
      <c r="H553" s="36" t="s">
        <v>134</v>
      </c>
      <c r="I553" s="37">
        <v>5</v>
      </c>
      <c r="J553" s="36"/>
    </row>
    <row r="554" spans="1:10" x14ac:dyDescent="0.35">
      <c r="A554" s="36" t="s">
        <v>746</v>
      </c>
      <c r="B554" s="35">
        <v>45958</v>
      </c>
      <c r="C554" s="36" t="s">
        <v>210</v>
      </c>
      <c r="D554" s="36" t="s">
        <v>211</v>
      </c>
      <c r="E554" s="36" t="s">
        <v>125</v>
      </c>
      <c r="F554" s="36" t="s">
        <v>126</v>
      </c>
      <c r="G554" s="36" t="s">
        <v>14</v>
      </c>
      <c r="H554" s="36" t="s">
        <v>127</v>
      </c>
      <c r="I554" s="37">
        <v>4</v>
      </c>
      <c r="J554" s="36"/>
    </row>
    <row r="555" spans="1:10" x14ac:dyDescent="0.35">
      <c r="A555" s="36" t="s">
        <v>747</v>
      </c>
      <c r="B555" s="35">
        <v>45958</v>
      </c>
      <c r="C555" s="36" t="s">
        <v>210</v>
      </c>
      <c r="D555" s="36" t="s">
        <v>211</v>
      </c>
      <c r="E555" s="36" t="s">
        <v>130</v>
      </c>
      <c r="F555" s="36" t="s">
        <v>16</v>
      </c>
      <c r="G555" s="36" t="s">
        <v>10</v>
      </c>
      <c r="H555" s="36" t="s">
        <v>131</v>
      </c>
      <c r="I555" s="37">
        <v>5</v>
      </c>
      <c r="J555" s="36"/>
    </row>
    <row r="556" spans="1:10" x14ac:dyDescent="0.35">
      <c r="A556" s="36" t="s">
        <v>748</v>
      </c>
      <c r="B556" s="35">
        <v>45958</v>
      </c>
      <c r="C556" s="36" t="s">
        <v>238</v>
      </c>
      <c r="D556" s="36" t="s">
        <v>239</v>
      </c>
      <c r="E556" s="36" t="s">
        <v>135</v>
      </c>
      <c r="F556" s="36" t="s">
        <v>5</v>
      </c>
      <c r="G556" s="36" t="s">
        <v>6</v>
      </c>
      <c r="H556" s="36" t="s">
        <v>136</v>
      </c>
      <c r="I556" s="37">
        <v>4</v>
      </c>
      <c r="J556" s="36"/>
    </row>
    <row r="557" spans="1:10" x14ac:dyDescent="0.35">
      <c r="A557" s="36" t="s">
        <v>749</v>
      </c>
      <c r="B557" s="35">
        <v>45958</v>
      </c>
      <c r="C557" s="36" t="s">
        <v>238</v>
      </c>
      <c r="D557" s="36" t="s">
        <v>239</v>
      </c>
      <c r="E557" s="36" t="s">
        <v>29</v>
      </c>
      <c r="F557" s="36" t="s">
        <v>30</v>
      </c>
      <c r="G557" s="36" t="s">
        <v>31</v>
      </c>
      <c r="H557" s="36" t="s">
        <v>32</v>
      </c>
      <c r="I557" s="37">
        <v>7</v>
      </c>
      <c r="J557" s="36"/>
    </row>
    <row r="558" spans="1:10" x14ac:dyDescent="0.35">
      <c r="A558" s="36" t="s">
        <v>750</v>
      </c>
      <c r="B558" s="35">
        <v>45958</v>
      </c>
      <c r="C558" s="36" t="s">
        <v>238</v>
      </c>
      <c r="D558" s="36" t="s">
        <v>239</v>
      </c>
      <c r="E558" s="36" t="s">
        <v>120</v>
      </c>
      <c r="F558" s="36" t="s">
        <v>121</v>
      </c>
      <c r="G558" s="36" t="s">
        <v>14</v>
      </c>
      <c r="H558" s="36" t="s">
        <v>119</v>
      </c>
      <c r="I558" s="37">
        <v>1</v>
      </c>
      <c r="J558" s="36"/>
    </row>
    <row r="559" spans="1:10" x14ac:dyDescent="0.35">
      <c r="A559" s="36" t="s">
        <v>751</v>
      </c>
      <c r="B559" s="35">
        <v>45958</v>
      </c>
      <c r="C559" s="36" t="s">
        <v>238</v>
      </c>
      <c r="D559" s="36" t="s">
        <v>239</v>
      </c>
      <c r="E559" s="36" t="s">
        <v>54</v>
      </c>
      <c r="F559" s="36" t="s">
        <v>55</v>
      </c>
      <c r="G559" s="36" t="s">
        <v>53</v>
      </c>
      <c r="H559" s="36" t="s">
        <v>56</v>
      </c>
      <c r="I559" s="37">
        <v>5</v>
      </c>
      <c r="J559" s="36"/>
    </row>
    <row r="560" spans="1:10" x14ac:dyDescent="0.35">
      <c r="A560" s="36" t="s">
        <v>752</v>
      </c>
      <c r="B560" s="35">
        <v>45958</v>
      </c>
      <c r="C560" s="36" t="s">
        <v>238</v>
      </c>
      <c r="D560" s="36" t="s">
        <v>239</v>
      </c>
      <c r="E560" s="36" t="s">
        <v>109</v>
      </c>
      <c r="F560" s="36" t="s">
        <v>110</v>
      </c>
      <c r="G560" s="36" t="s">
        <v>102</v>
      </c>
      <c r="H560" s="36" t="s">
        <v>42</v>
      </c>
      <c r="I560" s="37">
        <v>5</v>
      </c>
      <c r="J560" s="36"/>
    </row>
    <row r="561" spans="1:10" x14ac:dyDescent="0.35">
      <c r="A561" s="36" t="s">
        <v>753</v>
      </c>
      <c r="B561" s="35">
        <v>45958</v>
      </c>
      <c r="C561" s="36" t="s">
        <v>238</v>
      </c>
      <c r="D561" s="36" t="s">
        <v>239</v>
      </c>
      <c r="E561" s="36" t="s">
        <v>59</v>
      </c>
      <c r="F561" s="36" t="s">
        <v>60</v>
      </c>
      <c r="G561" s="36" t="s">
        <v>53</v>
      </c>
      <c r="H561" s="36" t="s">
        <v>56</v>
      </c>
      <c r="I561" s="37">
        <v>9</v>
      </c>
      <c r="J561" s="36"/>
    </row>
    <row r="562" spans="1:10" x14ac:dyDescent="0.35">
      <c r="A562" s="36" t="s">
        <v>754</v>
      </c>
      <c r="B562" s="35">
        <v>45958</v>
      </c>
      <c r="C562" s="36" t="s">
        <v>238</v>
      </c>
      <c r="D562" s="36" t="s">
        <v>239</v>
      </c>
      <c r="E562" s="36" t="s">
        <v>69</v>
      </c>
      <c r="F562" s="36" t="s">
        <v>70</v>
      </c>
      <c r="G562" s="36" t="s">
        <v>66</v>
      </c>
      <c r="H562" s="36" t="s">
        <v>71</v>
      </c>
      <c r="I562" s="37">
        <v>5</v>
      </c>
      <c r="J562" s="36"/>
    </row>
    <row r="563" spans="1:10" x14ac:dyDescent="0.35">
      <c r="A563" s="36" t="s">
        <v>755</v>
      </c>
      <c r="B563" s="35">
        <v>45958</v>
      </c>
      <c r="C563" s="36" t="s">
        <v>238</v>
      </c>
      <c r="D563" s="36" t="s">
        <v>239</v>
      </c>
      <c r="E563" s="36" t="s">
        <v>43</v>
      </c>
      <c r="F563" s="36" t="s">
        <v>44</v>
      </c>
      <c r="G563" s="36" t="s">
        <v>31</v>
      </c>
      <c r="H563" s="36" t="s">
        <v>42</v>
      </c>
      <c r="I563" s="37">
        <v>8</v>
      </c>
      <c r="J563" s="36"/>
    </row>
    <row r="564" spans="1:10" x14ac:dyDescent="0.35">
      <c r="A564" s="36" t="s">
        <v>756</v>
      </c>
      <c r="B564" s="35">
        <v>45958</v>
      </c>
      <c r="C564" s="36" t="s">
        <v>238</v>
      </c>
      <c r="D564" s="36" t="s">
        <v>239</v>
      </c>
      <c r="E564" s="36" t="s">
        <v>156</v>
      </c>
      <c r="F564" s="36" t="s">
        <v>11</v>
      </c>
      <c r="G564" s="36" t="s">
        <v>12</v>
      </c>
      <c r="H564" s="36" t="s">
        <v>155</v>
      </c>
      <c r="I564" s="37">
        <v>3</v>
      </c>
      <c r="J564" s="36"/>
    </row>
    <row r="565" spans="1:10" x14ac:dyDescent="0.35">
      <c r="A565" s="36" t="s">
        <v>757</v>
      </c>
      <c r="B565" s="35">
        <v>45958</v>
      </c>
      <c r="C565" s="36" t="s">
        <v>238</v>
      </c>
      <c r="D565" s="36" t="s">
        <v>239</v>
      </c>
      <c r="E565" s="36" t="s">
        <v>78</v>
      </c>
      <c r="F565" s="36" t="s">
        <v>79</v>
      </c>
      <c r="G565" s="36" t="s">
        <v>74</v>
      </c>
      <c r="H565" s="36" t="s">
        <v>80</v>
      </c>
      <c r="I565" s="37">
        <v>4</v>
      </c>
      <c r="J565" s="36"/>
    </row>
    <row r="566" spans="1:10" x14ac:dyDescent="0.35">
      <c r="A566" s="36" t="s">
        <v>758</v>
      </c>
      <c r="B566" s="35">
        <v>45958</v>
      </c>
      <c r="C566" s="36" t="s">
        <v>238</v>
      </c>
      <c r="D566" s="36" t="s">
        <v>239</v>
      </c>
      <c r="E566" s="36" t="s">
        <v>67</v>
      </c>
      <c r="F566" s="36" t="s">
        <v>68</v>
      </c>
      <c r="G566" s="36" t="s">
        <v>66</v>
      </c>
      <c r="H566" s="36" t="s">
        <v>42</v>
      </c>
      <c r="I566" s="37">
        <v>3</v>
      </c>
      <c r="J566" s="36"/>
    </row>
    <row r="567" spans="1:10" x14ac:dyDescent="0.35">
      <c r="A567" s="36" t="s">
        <v>759</v>
      </c>
      <c r="B567" s="35">
        <v>45958</v>
      </c>
      <c r="C567" s="36" t="s">
        <v>238</v>
      </c>
      <c r="D567" s="36" t="s">
        <v>239</v>
      </c>
      <c r="E567" s="36" t="s">
        <v>57</v>
      </c>
      <c r="F567" s="36" t="s">
        <v>58</v>
      </c>
      <c r="G567" s="36" t="s">
        <v>53</v>
      </c>
      <c r="H567" s="36" t="s">
        <v>42</v>
      </c>
      <c r="I567" s="37">
        <v>9</v>
      </c>
      <c r="J567" s="36"/>
    </row>
    <row r="568" spans="1:10" x14ac:dyDescent="0.35">
      <c r="A568" s="36" t="s">
        <v>760</v>
      </c>
      <c r="B568" s="35">
        <v>45960</v>
      </c>
      <c r="C568" s="36" t="s">
        <v>238</v>
      </c>
      <c r="D568" s="36" t="s">
        <v>239</v>
      </c>
      <c r="E568" s="36" t="s">
        <v>54</v>
      </c>
      <c r="F568" s="36" t="s">
        <v>55</v>
      </c>
      <c r="G568" s="36" t="s">
        <v>53</v>
      </c>
      <c r="H568" s="36" t="s">
        <v>56</v>
      </c>
      <c r="I568" s="37">
        <v>5</v>
      </c>
      <c r="J568" s="36"/>
    </row>
    <row r="569" spans="1:10" x14ac:dyDescent="0.35">
      <c r="A569" s="36" t="s">
        <v>761</v>
      </c>
      <c r="B569" s="35">
        <v>45960</v>
      </c>
      <c r="C569" s="36" t="s">
        <v>238</v>
      </c>
      <c r="D569" s="36" t="s">
        <v>239</v>
      </c>
      <c r="E569" s="36" t="s">
        <v>138</v>
      </c>
      <c r="F569" s="36" t="s">
        <v>139</v>
      </c>
      <c r="G569" s="36" t="s">
        <v>6</v>
      </c>
      <c r="H569" s="36" t="s">
        <v>140</v>
      </c>
      <c r="I569" s="37">
        <v>7</v>
      </c>
      <c r="J569" s="36"/>
    </row>
    <row r="570" spans="1:10" x14ac:dyDescent="0.35">
      <c r="A570" s="36" t="s">
        <v>762</v>
      </c>
      <c r="B570" s="35">
        <v>45960</v>
      </c>
      <c r="C570" s="36" t="s">
        <v>238</v>
      </c>
      <c r="D570" s="36" t="s">
        <v>239</v>
      </c>
      <c r="E570" s="36" t="s">
        <v>120</v>
      </c>
      <c r="F570" s="36" t="s">
        <v>121</v>
      </c>
      <c r="G570" s="36" t="s">
        <v>14</v>
      </c>
      <c r="H570" s="36" t="s">
        <v>119</v>
      </c>
      <c r="I570" s="37">
        <v>1</v>
      </c>
      <c r="J570" s="36"/>
    </row>
    <row r="571" spans="1:10" x14ac:dyDescent="0.35">
      <c r="A571" s="36" t="s">
        <v>763</v>
      </c>
      <c r="B571" s="35">
        <v>45960</v>
      </c>
      <c r="C571" s="36" t="s">
        <v>238</v>
      </c>
      <c r="D571" s="36" t="s">
        <v>239</v>
      </c>
      <c r="E571" s="36" t="s">
        <v>37</v>
      </c>
      <c r="F571" s="36" t="s">
        <v>38</v>
      </c>
      <c r="G571" s="36" t="s">
        <v>31</v>
      </c>
      <c r="H571" s="36" t="s">
        <v>39</v>
      </c>
      <c r="I571" s="37">
        <v>7</v>
      </c>
      <c r="J571" s="36"/>
    </row>
    <row r="572" spans="1:10" x14ac:dyDescent="0.35">
      <c r="A572" s="36" t="s">
        <v>764</v>
      </c>
      <c r="B572" s="35">
        <v>45960</v>
      </c>
      <c r="C572" s="36" t="s">
        <v>238</v>
      </c>
      <c r="D572" s="36" t="s">
        <v>239</v>
      </c>
      <c r="E572" s="36" t="s">
        <v>130</v>
      </c>
      <c r="F572" s="36" t="s">
        <v>16</v>
      </c>
      <c r="G572" s="36" t="s">
        <v>10</v>
      </c>
      <c r="H572" s="36" t="s">
        <v>131</v>
      </c>
      <c r="I572" s="37">
        <v>3</v>
      </c>
      <c r="J572" s="36"/>
    </row>
    <row r="573" spans="1:10" x14ac:dyDescent="0.35">
      <c r="A573" s="36" t="s">
        <v>765</v>
      </c>
      <c r="B573" s="35">
        <v>45960</v>
      </c>
      <c r="C573" s="36" t="s">
        <v>238</v>
      </c>
      <c r="D573" s="36" t="s">
        <v>239</v>
      </c>
      <c r="E573" s="36" t="s">
        <v>57</v>
      </c>
      <c r="F573" s="36" t="s">
        <v>58</v>
      </c>
      <c r="G573" s="36" t="s">
        <v>53</v>
      </c>
      <c r="H573" s="36" t="s">
        <v>42</v>
      </c>
      <c r="I573" s="37">
        <v>8</v>
      </c>
      <c r="J573" s="36"/>
    </row>
    <row r="574" spans="1:10" x14ac:dyDescent="0.35">
      <c r="A574" s="36" t="s">
        <v>766</v>
      </c>
      <c r="B574" s="35">
        <v>45960</v>
      </c>
      <c r="C574" s="36" t="s">
        <v>238</v>
      </c>
      <c r="D574" s="36" t="s">
        <v>239</v>
      </c>
      <c r="E574" s="36" t="s">
        <v>40</v>
      </c>
      <c r="F574" s="36" t="s">
        <v>41</v>
      </c>
      <c r="G574" s="36" t="s">
        <v>31</v>
      </c>
      <c r="H574" s="36" t="s">
        <v>42</v>
      </c>
      <c r="I574" s="37">
        <v>10</v>
      </c>
      <c r="J574" s="36"/>
    </row>
    <row r="575" spans="1:10" x14ac:dyDescent="0.35">
      <c r="A575" s="36" t="s">
        <v>767</v>
      </c>
      <c r="B575" s="35">
        <v>45964</v>
      </c>
      <c r="C575" s="36" t="s">
        <v>190</v>
      </c>
      <c r="D575" s="36" t="s">
        <v>191</v>
      </c>
      <c r="E575" s="36" t="s">
        <v>135</v>
      </c>
      <c r="F575" s="36" t="s">
        <v>5</v>
      </c>
      <c r="G575" s="36" t="s">
        <v>6</v>
      </c>
      <c r="H575" s="36" t="s">
        <v>136</v>
      </c>
      <c r="I575" s="37">
        <v>10</v>
      </c>
      <c r="J575" s="36"/>
    </row>
    <row r="576" spans="1:10" x14ac:dyDescent="0.35">
      <c r="A576" s="36" t="s">
        <v>768</v>
      </c>
      <c r="B576" s="35">
        <v>45964</v>
      </c>
      <c r="C576" s="36" t="s">
        <v>190</v>
      </c>
      <c r="D576" s="36" t="s">
        <v>191</v>
      </c>
      <c r="E576" s="36" t="s">
        <v>114</v>
      </c>
      <c r="F576" s="36" t="s">
        <v>13</v>
      </c>
      <c r="G576" s="36" t="s">
        <v>14</v>
      </c>
      <c r="H576" s="36" t="s">
        <v>115</v>
      </c>
      <c r="I576" s="37">
        <v>4</v>
      </c>
      <c r="J576" s="36"/>
    </row>
    <row r="577" spans="1:10" x14ac:dyDescent="0.35">
      <c r="A577" s="36" t="s">
        <v>769</v>
      </c>
      <c r="B577" s="35">
        <v>45964</v>
      </c>
      <c r="C577" s="36" t="s">
        <v>190</v>
      </c>
      <c r="D577" s="36" t="s">
        <v>191</v>
      </c>
      <c r="E577" s="36" t="s">
        <v>157</v>
      </c>
      <c r="F577" s="36" t="s">
        <v>158</v>
      </c>
      <c r="G577" s="36" t="s">
        <v>159</v>
      </c>
      <c r="H577" s="36" t="s">
        <v>160</v>
      </c>
      <c r="I577" s="37">
        <v>7</v>
      </c>
      <c r="J577" s="36"/>
    </row>
    <row r="578" spans="1:10" x14ac:dyDescent="0.35">
      <c r="A578" s="36" t="s">
        <v>770</v>
      </c>
      <c r="B578" s="35">
        <v>45964</v>
      </c>
      <c r="C578" s="36" t="s">
        <v>190</v>
      </c>
      <c r="D578" s="36" t="s">
        <v>191</v>
      </c>
      <c r="E578" s="36" t="s">
        <v>59</v>
      </c>
      <c r="F578" s="36" t="s">
        <v>60</v>
      </c>
      <c r="G578" s="36" t="s">
        <v>53</v>
      </c>
      <c r="H578" s="36" t="s">
        <v>56</v>
      </c>
      <c r="I578" s="37">
        <v>21</v>
      </c>
      <c r="J578" s="36"/>
    </row>
    <row r="579" spans="1:10" x14ac:dyDescent="0.35">
      <c r="A579" s="36" t="s">
        <v>771</v>
      </c>
      <c r="B579" s="35">
        <v>45964</v>
      </c>
      <c r="C579" s="36" t="s">
        <v>190</v>
      </c>
      <c r="D579" s="36" t="s">
        <v>191</v>
      </c>
      <c r="E579" s="36" t="s">
        <v>69</v>
      </c>
      <c r="F579" s="36" t="s">
        <v>70</v>
      </c>
      <c r="G579" s="36" t="s">
        <v>66</v>
      </c>
      <c r="H579" s="36" t="s">
        <v>71</v>
      </c>
      <c r="I579" s="37">
        <v>13</v>
      </c>
      <c r="J579" s="36"/>
    </row>
    <row r="580" spans="1:10" x14ac:dyDescent="0.35">
      <c r="A580" s="36" t="s">
        <v>772</v>
      </c>
      <c r="B580" s="35">
        <v>45964</v>
      </c>
      <c r="C580" s="36" t="s">
        <v>190</v>
      </c>
      <c r="D580" s="36" t="s">
        <v>191</v>
      </c>
      <c r="E580" s="36" t="s">
        <v>104</v>
      </c>
      <c r="F580" s="36" t="s">
        <v>105</v>
      </c>
      <c r="G580" s="36" t="s">
        <v>102</v>
      </c>
      <c r="H580" s="36" t="s">
        <v>103</v>
      </c>
      <c r="I580" s="37">
        <v>13</v>
      </c>
      <c r="J580" s="36"/>
    </row>
    <row r="581" spans="1:10" x14ac:dyDescent="0.35">
      <c r="A581" s="36" t="s">
        <v>773</v>
      </c>
      <c r="B581" s="35">
        <v>45964</v>
      </c>
      <c r="C581" s="36" t="s">
        <v>190</v>
      </c>
      <c r="D581" s="36" t="s">
        <v>191</v>
      </c>
      <c r="E581" s="36" t="s">
        <v>161</v>
      </c>
      <c r="F581" s="36" t="s">
        <v>162</v>
      </c>
      <c r="G581" s="36" t="s">
        <v>159</v>
      </c>
      <c r="H581" s="36" t="s">
        <v>163</v>
      </c>
      <c r="I581" s="37">
        <v>7</v>
      </c>
      <c r="J581" s="36"/>
    </row>
    <row r="582" spans="1:10" x14ac:dyDescent="0.35">
      <c r="A582" s="36" t="s">
        <v>774</v>
      </c>
      <c r="B582" s="35">
        <v>45964</v>
      </c>
      <c r="C582" s="36" t="s">
        <v>190</v>
      </c>
      <c r="D582" s="36" t="s">
        <v>191</v>
      </c>
      <c r="E582" s="36" t="s">
        <v>57</v>
      </c>
      <c r="F582" s="36" t="s">
        <v>58</v>
      </c>
      <c r="G582" s="36" t="s">
        <v>53</v>
      </c>
      <c r="H582" s="36" t="s">
        <v>42</v>
      </c>
      <c r="I582" s="37">
        <v>15</v>
      </c>
      <c r="J582" s="36"/>
    </row>
    <row r="583" spans="1:10" x14ac:dyDescent="0.35">
      <c r="A583" s="36" t="s">
        <v>775</v>
      </c>
      <c r="B583" s="35">
        <v>45964</v>
      </c>
      <c r="C583" s="36" t="s">
        <v>190</v>
      </c>
      <c r="D583" s="36" t="s">
        <v>191</v>
      </c>
      <c r="E583" s="36" t="s">
        <v>132</v>
      </c>
      <c r="F583" s="36" t="s">
        <v>133</v>
      </c>
      <c r="G583" s="36" t="s">
        <v>10</v>
      </c>
      <c r="H583" s="36" t="s">
        <v>134</v>
      </c>
      <c r="I583" s="37">
        <v>6</v>
      </c>
      <c r="J583" s="36"/>
    </row>
    <row r="584" spans="1:10" x14ac:dyDescent="0.35">
      <c r="A584" s="36" t="s">
        <v>776</v>
      </c>
      <c r="B584" s="35">
        <v>45964</v>
      </c>
      <c r="C584" s="36" t="s">
        <v>190</v>
      </c>
      <c r="D584" s="36" t="s">
        <v>191</v>
      </c>
      <c r="E584" s="36" t="s">
        <v>61</v>
      </c>
      <c r="F584" s="36" t="s">
        <v>62</v>
      </c>
      <c r="G584" s="36" t="s">
        <v>53</v>
      </c>
      <c r="H584" s="36" t="s">
        <v>42</v>
      </c>
      <c r="I584" s="37">
        <v>28</v>
      </c>
      <c r="J584" s="36"/>
    </row>
    <row r="585" spans="1:10" x14ac:dyDescent="0.35">
      <c r="A585" s="36" t="s">
        <v>777</v>
      </c>
      <c r="B585" s="35">
        <v>45964</v>
      </c>
      <c r="C585" s="36" t="s">
        <v>190</v>
      </c>
      <c r="D585" s="36" t="s">
        <v>191</v>
      </c>
      <c r="E585" s="36" t="s">
        <v>137</v>
      </c>
      <c r="F585" s="36" t="s">
        <v>15</v>
      </c>
      <c r="G585" s="36" t="s">
        <v>6</v>
      </c>
      <c r="H585" s="36" t="s">
        <v>136</v>
      </c>
      <c r="I585" s="37">
        <v>13</v>
      </c>
      <c r="J585" s="36"/>
    </row>
    <row r="586" spans="1:10" x14ac:dyDescent="0.35">
      <c r="A586" s="36" t="s">
        <v>778</v>
      </c>
      <c r="B586" s="35">
        <v>45964</v>
      </c>
      <c r="C586" s="36" t="s">
        <v>190</v>
      </c>
      <c r="D586" s="36" t="s">
        <v>191</v>
      </c>
      <c r="E586" s="36" t="s">
        <v>120</v>
      </c>
      <c r="F586" s="36" t="s">
        <v>121</v>
      </c>
      <c r="G586" s="36" t="s">
        <v>14</v>
      </c>
      <c r="H586" s="36" t="s">
        <v>119</v>
      </c>
      <c r="I586" s="37">
        <v>3</v>
      </c>
      <c r="J586" s="36"/>
    </row>
    <row r="587" spans="1:10" x14ac:dyDescent="0.35">
      <c r="A587" s="36" t="s">
        <v>779</v>
      </c>
      <c r="B587" s="35">
        <v>45964</v>
      </c>
      <c r="C587" s="36" t="s">
        <v>210</v>
      </c>
      <c r="D587" s="36" t="s">
        <v>211</v>
      </c>
      <c r="E587" s="36" t="s">
        <v>135</v>
      </c>
      <c r="F587" s="36" t="s">
        <v>5</v>
      </c>
      <c r="G587" s="36" t="s">
        <v>6</v>
      </c>
      <c r="H587" s="36" t="s">
        <v>136</v>
      </c>
      <c r="I587" s="37">
        <v>9</v>
      </c>
      <c r="J587" s="36"/>
    </row>
    <row r="588" spans="1:10" x14ac:dyDescent="0.35">
      <c r="A588" s="36" t="s">
        <v>780</v>
      </c>
      <c r="B588" s="35">
        <v>45964</v>
      </c>
      <c r="C588" s="36" t="s">
        <v>210</v>
      </c>
      <c r="D588" s="36" t="s">
        <v>211</v>
      </c>
      <c r="E588" s="36" t="s">
        <v>48</v>
      </c>
      <c r="F588" s="36" t="s">
        <v>49</v>
      </c>
      <c r="G588" s="36" t="s">
        <v>31</v>
      </c>
      <c r="H588" s="36" t="s">
        <v>50</v>
      </c>
      <c r="I588" s="37">
        <v>11</v>
      </c>
      <c r="J588" s="36"/>
    </row>
    <row r="589" spans="1:10" x14ac:dyDescent="0.35">
      <c r="A589" s="36" t="s">
        <v>781</v>
      </c>
      <c r="B589" s="35">
        <v>45964</v>
      </c>
      <c r="C589" s="36" t="s">
        <v>210</v>
      </c>
      <c r="D589" s="36" t="s">
        <v>211</v>
      </c>
      <c r="E589" s="36" t="s">
        <v>61</v>
      </c>
      <c r="F589" s="36" t="s">
        <v>62</v>
      </c>
      <c r="G589" s="36" t="s">
        <v>53</v>
      </c>
      <c r="H589" s="36" t="s">
        <v>42</v>
      </c>
      <c r="I589" s="37">
        <v>16</v>
      </c>
      <c r="J589" s="36"/>
    </row>
    <row r="590" spans="1:10" x14ac:dyDescent="0.35">
      <c r="A590" s="36" t="s">
        <v>782</v>
      </c>
      <c r="B590" s="35">
        <v>45964</v>
      </c>
      <c r="C590" s="36" t="s">
        <v>210</v>
      </c>
      <c r="D590" s="36" t="s">
        <v>211</v>
      </c>
      <c r="E590" s="36" t="s">
        <v>114</v>
      </c>
      <c r="F590" s="36" t="s">
        <v>13</v>
      </c>
      <c r="G590" s="36" t="s">
        <v>14</v>
      </c>
      <c r="H590" s="36" t="s">
        <v>115</v>
      </c>
      <c r="I590" s="37">
        <v>2</v>
      </c>
      <c r="J590" s="36"/>
    </row>
    <row r="591" spans="1:10" x14ac:dyDescent="0.35">
      <c r="A591" s="36" t="s">
        <v>783</v>
      </c>
      <c r="B591" s="35">
        <v>45964</v>
      </c>
      <c r="C591" s="36" t="s">
        <v>210</v>
      </c>
      <c r="D591" s="36" t="s">
        <v>211</v>
      </c>
      <c r="E591" s="36" t="s">
        <v>137</v>
      </c>
      <c r="F591" s="36" t="s">
        <v>15</v>
      </c>
      <c r="G591" s="36" t="s">
        <v>6</v>
      </c>
      <c r="H591" s="36" t="s">
        <v>136</v>
      </c>
      <c r="I591" s="37">
        <v>8</v>
      </c>
      <c r="J591" s="36"/>
    </row>
    <row r="592" spans="1:10" x14ac:dyDescent="0.35">
      <c r="A592" s="36" t="s">
        <v>784</v>
      </c>
      <c r="B592" s="35">
        <v>45964</v>
      </c>
      <c r="C592" s="36" t="s">
        <v>210</v>
      </c>
      <c r="D592" s="36" t="s">
        <v>211</v>
      </c>
      <c r="E592" s="36" t="s">
        <v>161</v>
      </c>
      <c r="F592" s="36" t="s">
        <v>162</v>
      </c>
      <c r="G592" s="36" t="s">
        <v>159</v>
      </c>
      <c r="H592" s="36" t="s">
        <v>163</v>
      </c>
      <c r="I592" s="37">
        <v>6</v>
      </c>
      <c r="J592" s="36"/>
    </row>
    <row r="593" spans="1:10" x14ac:dyDescent="0.35">
      <c r="A593" s="36" t="s">
        <v>785</v>
      </c>
      <c r="B593" s="35">
        <v>45964</v>
      </c>
      <c r="C593" s="36" t="s">
        <v>210</v>
      </c>
      <c r="D593" s="36" t="s">
        <v>211</v>
      </c>
      <c r="E593" s="36" t="s">
        <v>37</v>
      </c>
      <c r="F593" s="36" t="s">
        <v>38</v>
      </c>
      <c r="G593" s="36" t="s">
        <v>31</v>
      </c>
      <c r="H593" s="36" t="s">
        <v>39</v>
      </c>
      <c r="I593" s="37">
        <v>11</v>
      </c>
      <c r="J593" s="36"/>
    </row>
    <row r="594" spans="1:10" x14ac:dyDescent="0.35">
      <c r="A594" s="36" t="s">
        <v>786</v>
      </c>
      <c r="B594" s="35">
        <v>45970</v>
      </c>
      <c r="C594" s="36" t="s">
        <v>190</v>
      </c>
      <c r="D594" s="36" t="s">
        <v>191</v>
      </c>
      <c r="E594" s="36" t="s">
        <v>141</v>
      </c>
      <c r="F594" s="36" t="s">
        <v>142</v>
      </c>
      <c r="G594" s="36" t="s">
        <v>8</v>
      </c>
      <c r="H594" s="36" t="s">
        <v>143</v>
      </c>
      <c r="I594" s="37">
        <v>7</v>
      </c>
      <c r="J594" s="36"/>
    </row>
    <row r="595" spans="1:10" x14ac:dyDescent="0.35">
      <c r="A595" s="36" t="s">
        <v>787</v>
      </c>
      <c r="B595" s="35">
        <v>45970</v>
      </c>
      <c r="C595" s="36" t="s">
        <v>190</v>
      </c>
      <c r="D595" s="36" t="s">
        <v>191</v>
      </c>
      <c r="E595" s="36" t="s">
        <v>67</v>
      </c>
      <c r="F595" s="36" t="s">
        <v>68</v>
      </c>
      <c r="G595" s="36" t="s">
        <v>66</v>
      </c>
      <c r="H595" s="36" t="s">
        <v>42</v>
      </c>
      <c r="I595" s="37">
        <v>12</v>
      </c>
      <c r="J595" s="36"/>
    </row>
    <row r="596" spans="1:10" x14ac:dyDescent="0.35">
      <c r="A596" s="36" t="s">
        <v>788</v>
      </c>
      <c r="B596" s="35">
        <v>45970</v>
      </c>
      <c r="C596" s="36" t="s">
        <v>190</v>
      </c>
      <c r="D596" s="36" t="s">
        <v>191</v>
      </c>
      <c r="E596" s="36" t="s">
        <v>149</v>
      </c>
      <c r="F596" s="36" t="s">
        <v>150</v>
      </c>
      <c r="G596" s="36" t="s">
        <v>8</v>
      </c>
      <c r="H596" s="36" t="s">
        <v>75</v>
      </c>
      <c r="I596" s="37">
        <v>9</v>
      </c>
      <c r="J596" s="36"/>
    </row>
    <row r="597" spans="1:10" x14ac:dyDescent="0.35">
      <c r="A597" s="36" t="s">
        <v>789</v>
      </c>
      <c r="B597" s="35">
        <v>45970</v>
      </c>
      <c r="C597" s="36" t="s">
        <v>190</v>
      </c>
      <c r="D597" s="36" t="s">
        <v>191</v>
      </c>
      <c r="E597" s="36" t="s">
        <v>86</v>
      </c>
      <c r="F597" s="36" t="s">
        <v>87</v>
      </c>
      <c r="G597" s="36" t="s">
        <v>74</v>
      </c>
      <c r="H597" s="36" t="s">
        <v>75</v>
      </c>
      <c r="I597" s="37">
        <v>15</v>
      </c>
      <c r="J597" s="36"/>
    </row>
    <row r="598" spans="1:10" x14ac:dyDescent="0.35">
      <c r="A598" s="36" t="s">
        <v>790</v>
      </c>
      <c r="B598" s="35">
        <v>45970</v>
      </c>
      <c r="C598" s="36" t="s">
        <v>190</v>
      </c>
      <c r="D598" s="36" t="s">
        <v>191</v>
      </c>
      <c r="E598" s="36" t="s">
        <v>104</v>
      </c>
      <c r="F598" s="36" t="s">
        <v>105</v>
      </c>
      <c r="G598" s="36" t="s">
        <v>102</v>
      </c>
      <c r="H598" s="36" t="s">
        <v>103</v>
      </c>
      <c r="I598" s="37">
        <v>23</v>
      </c>
      <c r="J598" s="36"/>
    </row>
    <row r="599" spans="1:10" x14ac:dyDescent="0.35">
      <c r="A599" s="36" t="s">
        <v>791</v>
      </c>
      <c r="B599" s="35">
        <v>45970</v>
      </c>
      <c r="C599" s="36" t="s">
        <v>190</v>
      </c>
      <c r="D599" s="36" t="s">
        <v>191</v>
      </c>
      <c r="E599" s="36" t="s">
        <v>94</v>
      </c>
      <c r="F599" s="36" t="s">
        <v>95</v>
      </c>
      <c r="G599" s="36" t="s">
        <v>93</v>
      </c>
      <c r="H599" s="36" t="s">
        <v>96</v>
      </c>
      <c r="I599" s="37">
        <v>10</v>
      </c>
      <c r="J599" s="36"/>
    </row>
    <row r="600" spans="1:10" x14ac:dyDescent="0.35">
      <c r="A600" s="36" t="s">
        <v>792</v>
      </c>
      <c r="B600" s="35">
        <v>45970</v>
      </c>
      <c r="C600" s="36" t="s">
        <v>190</v>
      </c>
      <c r="D600" s="36" t="s">
        <v>191</v>
      </c>
      <c r="E600" s="36" t="s">
        <v>48</v>
      </c>
      <c r="F600" s="36" t="s">
        <v>49</v>
      </c>
      <c r="G600" s="36" t="s">
        <v>31</v>
      </c>
      <c r="H600" s="36" t="s">
        <v>50</v>
      </c>
      <c r="I600" s="37">
        <v>15</v>
      </c>
      <c r="J600" s="36"/>
    </row>
    <row r="601" spans="1:10" x14ac:dyDescent="0.35">
      <c r="A601" s="36" t="s">
        <v>793</v>
      </c>
      <c r="B601" s="35">
        <v>45970</v>
      </c>
      <c r="C601" s="36" t="s">
        <v>190</v>
      </c>
      <c r="D601" s="36" t="s">
        <v>191</v>
      </c>
      <c r="E601" s="36" t="s">
        <v>57</v>
      </c>
      <c r="F601" s="36" t="s">
        <v>58</v>
      </c>
      <c r="G601" s="36" t="s">
        <v>53</v>
      </c>
      <c r="H601" s="36" t="s">
        <v>42</v>
      </c>
      <c r="I601" s="37">
        <v>23</v>
      </c>
      <c r="J601" s="36"/>
    </row>
    <row r="602" spans="1:10" x14ac:dyDescent="0.35">
      <c r="A602" s="36" t="s">
        <v>794</v>
      </c>
      <c r="B602" s="35">
        <v>45970</v>
      </c>
      <c r="C602" s="36" t="s">
        <v>190</v>
      </c>
      <c r="D602" s="36" t="s">
        <v>191</v>
      </c>
      <c r="E602" s="36" t="s">
        <v>106</v>
      </c>
      <c r="F602" s="36" t="s">
        <v>107</v>
      </c>
      <c r="G602" s="36" t="s">
        <v>102</v>
      </c>
      <c r="H602" s="36" t="s">
        <v>108</v>
      </c>
      <c r="I602" s="37">
        <v>17</v>
      </c>
      <c r="J602" s="36"/>
    </row>
    <row r="603" spans="1:10" x14ac:dyDescent="0.35">
      <c r="A603" s="36" t="s">
        <v>795</v>
      </c>
      <c r="B603" s="35">
        <v>45970</v>
      </c>
      <c r="C603" s="36" t="s">
        <v>190</v>
      </c>
      <c r="D603" s="36" t="s">
        <v>191</v>
      </c>
      <c r="E603" s="36" t="s">
        <v>132</v>
      </c>
      <c r="F603" s="36" t="s">
        <v>133</v>
      </c>
      <c r="G603" s="36" t="s">
        <v>10</v>
      </c>
      <c r="H603" s="36" t="s">
        <v>134</v>
      </c>
      <c r="I603" s="37">
        <v>6</v>
      </c>
      <c r="J603" s="36"/>
    </row>
    <row r="604" spans="1:10" x14ac:dyDescent="0.35">
      <c r="A604" s="36" t="s">
        <v>796</v>
      </c>
      <c r="B604" s="35">
        <v>45970</v>
      </c>
      <c r="C604" s="36" t="s">
        <v>190</v>
      </c>
      <c r="D604" s="36" t="s">
        <v>191</v>
      </c>
      <c r="E604" s="36" t="s">
        <v>76</v>
      </c>
      <c r="F604" s="36" t="s">
        <v>77</v>
      </c>
      <c r="G604" s="36" t="s">
        <v>74</v>
      </c>
      <c r="H604" s="36" t="s">
        <v>75</v>
      </c>
      <c r="I604" s="37">
        <v>15</v>
      </c>
      <c r="J604" s="36"/>
    </row>
    <row r="605" spans="1:10" x14ac:dyDescent="0.35">
      <c r="A605" s="36" t="s">
        <v>797</v>
      </c>
      <c r="B605" s="35">
        <v>45972</v>
      </c>
      <c r="C605" s="36" t="s">
        <v>210</v>
      </c>
      <c r="D605" s="36" t="s">
        <v>211</v>
      </c>
      <c r="E605" s="36" t="s">
        <v>149</v>
      </c>
      <c r="F605" s="36" t="s">
        <v>150</v>
      </c>
      <c r="G605" s="36" t="s">
        <v>8</v>
      </c>
      <c r="H605" s="36" t="s">
        <v>75</v>
      </c>
      <c r="I605" s="37">
        <v>7</v>
      </c>
      <c r="J605" s="36"/>
    </row>
    <row r="606" spans="1:10" x14ac:dyDescent="0.35">
      <c r="A606" s="36" t="s">
        <v>798</v>
      </c>
      <c r="B606" s="35">
        <v>45972</v>
      </c>
      <c r="C606" s="36" t="s">
        <v>210</v>
      </c>
      <c r="D606" s="36" t="s">
        <v>211</v>
      </c>
      <c r="E606" s="36" t="s">
        <v>122</v>
      </c>
      <c r="F606" s="36" t="s">
        <v>123</v>
      </c>
      <c r="G606" s="36" t="s">
        <v>14</v>
      </c>
      <c r="H606" s="36" t="s">
        <v>124</v>
      </c>
      <c r="I606" s="37">
        <v>3</v>
      </c>
      <c r="J606" s="36"/>
    </row>
    <row r="607" spans="1:10" x14ac:dyDescent="0.35">
      <c r="A607" s="36" t="s">
        <v>799</v>
      </c>
      <c r="B607" s="35">
        <v>45972</v>
      </c>
      <c r="C607" s="36" t="s">
        <v>210</v>
      </c>
      <c r="D607" s="36" t="s">
        <v>211</v>
      </c>
      <c r="E607" s="36" t="s">
        <v>106</v>
      </c>
      <c r="F607" s="36" t="s">
        <v>107</v>
      </c>
      <c r="G607" s="36" t="s">
        <v>102</v>
      </c>
      <c r="H607" s="36" t="s">
        <v>108</v>
      </c>
      <c r="I607" s="37">
        <v>9</v>
      </c>
      <c r="J607" s="36"/>
    </row>
    <row r="608" spans="1:10" x14ac:dyDescent="0.35">
      <c r="A608" s="36" t="s">
        <v>800</v>
      </c>
      <c r="B608" s="35">
        <v>45972</v>
      </c>
      <c r="C608" s="36" t="s">
        <v>210</v>
      </c>
      <c r="D608" s="36" t="s">
        <v>211</v>
      </c>
      <c r="E608" s="36" t="s">
        <v>69</v>
      </c>
      <c r="F608" s="36" t="s">
        <v>70</v>
      </c>
      <c r="G608" s="36" t="s">
        <v>66</v>
      </c>
      <c r="H608" s="36" t="s">
        <v>71</v>
      </c>
      <c r="I608" s="37">
        <v>11</v>
      </c>
      <c r="J608" s="36"/>
    </row>
    <row r="609" spans="1:10" x14ac:dyDescent="0.35">
      <c r="A609" s="36" t="s">
        <v>801</v>
      </c>
      <c r="B609" s="35">
        <v>45972</v>
      </c>
      <c r="C609" s="36" t="s">
        <v>210</v>
      </c>
      <c r="D609" s="36" t="s">
        <v>211</v>
      </c>
      <c r="E609" s="36" t="s">
        <v>114</v>
      </c>
      <c r="F609" s="36" t="s">
        <v>13</v>
      </c>
      <c r="G609" s="36" t="s">
        <v>14</v>
      </c>
      <c r="H609" s="36" t="s">
        <v>115</v>
      </c>
      <c r="I609" s="37">
        <v>4</v>
      </c>
      <c r="J609" s="36"/>
    </row>
    <row r="610" spans="1:10" x14ac:dyDescent="0.35">
      <c r="A610" s="36" t="s">
        <v>802</v>
      </c>
      <c r="B610" s="35">
        <v>45972</v>
      </c>
      <c r="C610" s="36" t="s">
        <v>238</v>
      </c>
      <c r="D610" s="36" t="s">
        <v>239</v>
      </c>
      <c r="E610" s="36" t="s">
        <v>106</v>
      </c>
      <c r="F610" s="36" t="s">
        <v>107</v>
      </c>
      <c r="G610" s="36" t="s">
        <v>102</v>
      </c>
      <c r="H610" s="36" t="s">
        <v>108</v>
      </c>
      <c r="I610" s="37">
        <v>6</v>
      </c>
      <c r="J610" s="36"/>
    </row>
    <row r="611" spans="1:10" x14ac:dyDescent="0.35">
      <c r="A611" s="36" t="s">
        <v>803</v>
      </c>
      <c r="B611" s="35">
        <v>45972</v>
      </c>
      <c r="C611" s="36" t="s">
        <v>238</v>
      </c>
      <c r="D611" s="36" t="s">
        <v>239</v>
      </c>
      <c r="E611" s="36" t="s">
        <v>54</v>
      </c>
      <c r="F611" s="36" t="s">
        <v>55</v>
      </c>
      <c r="G611" s="36" t="s">
        <v>53</v>
      </c>
      <c r="H611" s="36" t="s">
        <v>56</v>
      </c>
      <c r="I611" s="37">
        <v>10</v>
      </c>
      <c r="J611" s="36"/>
    </row>
    <row r="612" spans="1:10" x14ac:dyDescent="0.35">
      <c r="A612" s="36" t="s">
        <v>804</v>
      </c>
      <c r="B612" s="35">
        <v>45972</v>
      </c>
      <c r="C612" s="36" t="s">
        <v>238</v>
      </c>
      <c r="D612" s="36" t="s">
        <v>239</v>
      </c>
      <c r="E612" s="36" t="s">
        <v>76</v>
      </c>
      <c r="F612" s="36" t="s">
        <v>77</v>
      </c>
      <c r="G612" s="36" t="s">
        <v>74</v>
      </c>
      <c r="H612" s="36" t="s">
        <v>75</v>
      </c>
      <c r="I612" s="37">
        <v>5</v>
      </c>
      <c r="J612" s="36"/>
    </row>
    <row r="613" spans="1:10" x14ac:dyDescent="0.35">
      <c r="A613" s="36" t="s">
        <v>805</v>
      </c>
      <c r="B613" s="35">
        <v>45972</v>
      </c>
      <c r="C613" s="36" t="s">
        <v>238</v>
      </c>
      <c r="D613" s="36" t="s">
        <v>239</v>
      </c>
      <c r="E613" s="36" t="s">
        <v>114</v>
      </c>
      <c r="F613" s="36" t="s">
        <v>13</v>
      </c>
      <c r="G613" s="36" t="s">
        <v>14</v>
      </c>
      <c r="H613" s="36" t="s">
        <v>115</v>
      </c>
      <c r="I613" s="37">
        <v>1</v>
      </c>
      <c r="J613" s="36"/>
    </row>
    <row r="614" spans="1:10" x14ac:dyDescent="0.35">
      <c r="A614" s="36" t="s">
        <v>806</v>
      </c>
      <c r="B614" s="35">
        <v>45972</v>
      </c>
      <c r="C614" s="36" t="s">
        <v>238</v>
      </c>
      <c r="D614" s="36" t="s">
        <v>239</v>
      </c>
      <c r="E614" s="36" t="s">
        <v>69</v>
      </c>
      <c r="F614" s="36" t="s">
        <v>70</v>
      </c>
      <c r="G614" s="36" t="s">
        <v>66</v>
      </c>
      <c r="H614" s="36" t="s">
        <v>71</v>
      </c>
      <c r="I614" s="37">
        <v>5</v>
      </c>
      <c r="J614" s="36"/>
    </row>
    <row r="615" spans="1:10" x14ac:dyDescent="0.35">
      <c r="A615" s="36" t="s">
        <v>807</v>
      </c>
      <c r="B615" s="35">
        <v>45972</v>
      </c>
      <c r="C615" s="36" t="s">
        <v>238</v>
      </c>
      <c r="D615" s="36" t="s">
        <v>239</v>
      </c>
      <c r="E615" s="36" t="s">
        <v>46</v>
      </c>
      <c r="F615" s="36" t="s">
        <v>47</v>
      </c>
      <c r="G615" s="36" t="s">
        <v>31</v>
      </c>
      <c r="H615" s="36" t="s">
        <v>42</v>
      </c>
      <c r="I615" s="37">
        <v>10</v>
      </c>
      <c r="J615" s="36"/>
    </row>
    <row r="616" spans="1:10" x14ac:dyDescent="0.35">
      <c r="A616" s="36" t="s">
        <v>808</v>
      </c>
      <c r="B616" s="35">
        <v>45974</v>
      </c>
      <c r="C616" s="36" t="s">
        <v>238</v>
      </c>
      <c r="D616" s="36" t="s">
        <v>239</v>
      </c>
      <c r="E616" s="36" t="s">
        <v>146</v>
      </c>
      <c r="F616" s="36" t="s">
        <v>147</v>
      </c>
      <c r="G616" s="36" t="s">
        <v>8</v>
      </c>
      <c r="H616" s="36" t="s">
        <v>148</v>
      </c>
      <c r="I616" s="37">
        <v>2</v>
      </c>
      <c r="J616" s="36"/>
    </row>
    <row r="617" spans="1:10" x14ac:dyDescent="0.35">
      <c r="A617" s="36" t="s">
        <v>809</v>
      </c>
      <c r="B617" s="35">
        <v>45974</v>
      </c>
      <c r="C617" s="36" t="s">
        <v>238</v>
      </c>
      <c r="D617" s="36" t="s">
        <v>239</v>
      </c>
      <c r="E617" s="36" t="s">
        <v>37</v>
      </c>
      <c r="F617" s="36" t="s">
        <v>38</v>
      </c>
      <c r="G617" s="36" t="s">
        <v>31</v>
      </c>
      <c r="H617" s="36" t="s">
        <v>39</v>
      </c>
      <c r="I617" s="37">
        <v>6</v>
      </c>
      <c r="J617" s="36"/>
    </row>
    <row r="618" spans="1:10" x14ac:dyDescent="0.35">
      <c r="A618" s="36" t="s">
        <v>810</v>
      </c>
      <c r="B618" s="35">
        <v>45974</v>
      </c>
      <c r="C618" s="36" t="s">
        <v>238</v>
      </c>
      <c r="D618" s="36" t="s">
        <v>239</v>
      </c>
      <c r="E618" s="36" t="s">
        <v>94</v>
      </c>
      <c r="F618" s="36" t="s">
        <v>95</v>
      </c>
      <c r="G618" s="36" t="s">
        <v>93</v>
      </c>
      <c r="H618" s="36" t="s">
        <v>96</v>
      </c>
      <c r="I618" s="37">
        <v>4</v>
      </c>
      <c r="J618" s="36"/>
    </row>
    <row r="619" spans="1:10" x14ac:dyDescent="0.35">
      <c r="A619" s="36" t="s">
        <v>811</v>
      </c>
      <c r="B619" s="35">
        <v>45974</v>
      </c>
      <c r="C619" s="36" t="s">
        <v>238</v>
      </c>
      <c r="D619" s="36" t="s">
        <v>239</v>
      </c>
      <c r="E619" s="36" t="s">
        <v>72</v>
      </c>
      <c r="F619" s="36" t="s">
        <v>73</v>
      </c>
      <c r="G619" s="36" t="s">
        <v>74</v>
      </c>
      <c r="H619" s="36" t="s">
        <v>75</v>
      </c>
      <c r="I619" s="37">
        <v>6</v>
      </c>
      <c r="J619" s="36"/>
    </row>
    <row r="620" spans="1:10" x14ac:dyDescent="0.35">
      <c r="A620" s="36" t="s">
        <v>812</v>
      </c>
      <c r="B620" s="35">
        <v>45974</v>
      </c>
      <c r="C620" s="36" t="s">
        <v>238</v>
      </c>
      <c r="D620" s="36" t="s">
        <v>239</v>
      </c>
      <c r="E620" s="36" t="s">
        <v>141</v>
      </c>
      <c r="F620" s="36" t="s">
        <v>142</v>
      </c>
      <c r="G620" s="36" t="s">
        <v>8</v>
      </c>
      <c r="H620" s="36" t="s">
        <v>143</v>
      </c>
      <c r="I620" s="37">
        <v>2</v>
      </c>
      <c r="J620" s="36"/>
    </row>
    <row r="621" spans="1:10" x14ac:dyDescent="0.35">
      <c r="A621" s="36" t="s">
        <v>813</v>
      </c>
      <c r="B621" s="35">
        <v>45974</v>
      </c>
      <c r="C621" s="36" t="s">
        <v>238</v>
      </c>
      <c r="D621" s="36" t="s">
        <v>239</v>
      </c>
      <c r="E621" s="36" t="s">
        <v>29</v>
      </c>
      <c r="F621" s="36" t="s">
        <v>30</v>
      </c>
      <c r="G621" s="36" t="s">
        <v>31</v>
      </c>
      <c r="H621" s="36" t="s">
        <v>32</v>
      </c>
      <c r="I621" s="37">
        <v>6</v>
      </c>
      <c r="J621" s="36"/>
    </row>
    <row r="622" spans="1:10" x14ac:dyDescent="0.35">
      <c r="A622" s="36" t="s">
        <v>814</v>
      </c>
      <c r="B622" s="35">
        <v>45974</v>
      </c>
      <c r="C622" s="36" t="s">
        <v>238</v>
      </c>
      <c r="D622" s="36" t="s">
        <v>239</v>
      </c>
      <c r="E622" s="36" t="s">
        <v>59</v>
      </c>
      <c r="F622" s="36" t="s">
        <v>60</v>
      </c>
      <c r="G622" s="36" t="s">
        <v>53</v>
      </c>
      <c r="H622" s="36" t="s">
        <v>56</v>
      </c>
      <c r="I622" s="37">
        <v>4</v>
      </c>
      <c r="J622" s="36"/>
    </row>
    <row r="623" spans="1:10" x14ac:dyDescent="0.35">
      <c r="A623" s="36" t="s">
        <v>815</v>
      </c>
      <c r="B623" s="35">
        <v>45975</v>
      </c>
      <c r="C623" s="36" t="s">
        <v>298</v>
      </c>
      <c r="D623" s="36" t="s">
        <v>299</v>
      </c>
      <c r="E623" s="36" t="s">
        <v>156</v>
      </c>
      <c r="F623" s="36" t="s">
        <v>11</v>
      </c>
      <c r="G623" s="36" t="s">
        <v>12</v>
      </c>
      <c r="H623" s="36" t="s">
        <v>155</v>
      </c>
      <c r="I623" s="37">
        <v>2</v>
      </c>
      <c r="J623" s="36"/>
    </row>
    <row r="624" spans="1:10" x14ac:dyDescent="0.35">
      <c r="A624" s="36" t="s">
        <v>816</v>
      </c>
      <c r="B624" s="35">
        <v>45975</v>
      </c>
      <c r="C624" s="36" t="s">
        <v>298</v>
      </c>
      <c r="D624" s="36" t="s">
        <v>299</v>
      </c>
      <c r="E624" s="36" t="s">
        <v>54</v>
      </c>
      <c r="F624" s="36" t="s">
        <v>55</v>
      </c>
      <c r="G624" s="36" t="s">
        <v>53</v>
      </c>
      <c r="H624" s="36" t="s">
        <v>56</v>
      </c>
      <c r="I624" s="37">
        <v>10</v>
      </c>
      <c r="J624" s="36"/>
    </row>
    <row r="625" spans="1:10" x14ac:dyDescent="0.35">
      <c r="A625" s="36" t="s">
        <v>817</v>
      </c>
      <c r="B625" s="35">
        <v>45975</v>
      </c>
      <c r="C625" s="36" t="s">
        <v>298</v>
      </c>
      <c r="D625" s="36" t="s">
        <v>299</v>
      </c>
      <c r="E625" s="36" t="s">
        <v>144</v>
      </c>
      <c r="F625" s="36" t="s">
        <v>7</v>
      </c>
      <c r="G625" s="36" t="s">
        <v>8</v>
      </c>
      <c r="H625" s="36" t="s">
        <v>145</v>
      </c>
      <c r="I625" s="37">
        <v>2</v>
      </c>
      <c r="J625" s="36"/>
    </row>
    <row r="626" spans="1:10" x14ac:dyDescent="0.35">
      <c r="A626" s="36" t="s">
        <v>818</v>
      </c>
      <c r="B626" s="35">
        <v>45975</v>
      </c>
      <c r="C626" s="36" t="s">
        <v>298</v>
      </c>
      <c r="D626" s="36" t="s">
        <v>299</v>
      </c>
      <c r="E626" s="36" t="s">
        <v>51</v>
      </c>
      <c r="F626" s="36" t="s">
        <v>52</v>
      </c>
      <c r="G626" s="36" t="s">
        <v>53</v>
      </c>
      <c r="H626" s="36" t="s">
        <v>42</v>
      </c>
      <c r="I626" s="37">
        <v>9</v>
      </c>
      <c r="J626" s="36"/>
    </row>
    <row r="627" spans="1:10" x14ac:dyDescent="0.35">
      <c r="A627" s="36" t="s">
        <v>819</v>
      </c>
      <c r="B627" s="35">
        <v>45975</v>
      </c>
      <c r="C627" s="36" t="s">
        <v>298</v>
      </c>
      <c r="D627" s="36" t="s">
        <v>299</v>
      </c>
      <c r="E627" s="36" t="s">
        <v>69</v>
      </c>
      <c r="F627" s="36" t="s">
        <v>70</v>
      </c>
      <c r="G627" s="36" t="s">
        <v>66</v>
      </c>
      <c r="H627" s="36" t="s">
        <v>71</v>
      </c>
      <c r="I627" s="37">
        <v>2</v>
      </c>
      <c r="J627" s="36"/>
    </row>
    <row r="628" spans="1:10" x14ac:dyDescent="0.35">
      <c r="A628" s="36" t="s">
        <v>820</v>
      </c>
      <c r="B628" s="35">
        <v>45975</v>
      </c>
      <c r="C628" s="36" t="s">
        <v>298</v>
      </c>
      <c r="D628" s="36" t="s">
        <v>299</v>
      </c>
      <c r="E628" s="36" t="s">
        <v>109</v>
      </c>
      <c r="F628" s="36" t="s">
        <v>110</v>
      </c>
      <c r="G628" s="36" t="s">
        <v>102</v>
      </c>
      <c r="H628" s="36" t="s">
        <v>42</v>
      </c>
      <c r="I628" s="37">
        <v>4</v>
      </c>
      <c r="J628" s="36"/>
    </row>
    <row r="629" spans="1:10" x14ac:dyDescent="0.35">
      <c r="A629" s="36" t="s">
        <v>821</v>
      </c>
      <c r="B629" s="35">
        <v>45975</v>
      </c>
      <c r="C629" s="36" t="s">
        <v>298</v>
      </c>
      <c r="D629" s="36" t="s">
        <v>299</v>
      </c>
      <c r="E629" s="36" t="s">
        <v>59</v>
      </c>
      <c r="F629" s="36" t="s">
        <v>60</v>
      </c>
      <c r="G629" s="36" t="s">
        <v>53</v>
      </c>
      <c r="H629" s="36" t="s">
        <v>56</v>
      </c>
      <c r="I629" s="37">
        <v>9</v>
      </c>
      <c r="J629" s="36"/>
    </row>
    <row r="630" spans="1:10" x14ac:dyDescent="0.35">
      <c r="A630" s="36" t="s">
        <v>822</v>
      </c>
      <c r="B630" s="35">
        <v>45975</v>
      </c>
      <c r="C630" s="36" t="s">
        <v>298</v>
      </c>
      <c r="D630" s="36" t="s">
        <v>299</v>
      </c>
      <c r="E630" s="36" t="s">
        <v>48</v>
      </c>
      <c r="F630" s="36" t="s">
        <v>49</v>
      </c>
      <c r="G630" s="36" t="s">
        <v>31</v>
      </c>
      <c r="H630" s="36" t="s">
        <v>50</v>
      </c>
      <c r="I630" s="37">
        <v>6</v>
      </c>
      <c r="J630" s="36"/>
    </row>
    <row r="631" spans="1:10" x14ac:dyDescent="0.35">
      <c r="A631" s="36" t="s">
        <v>823</v>
      </c>
      <c r="B631" s="35">
        <v>45975</v>
      </c>
      <c r="C631" s="36" t="s">
        <v>298</v>
      </c>
      <c r="D631" s="36" t="s">
        <v>299</v>
      </c>
      <c r="E631" s="36" t="s">
        <v>67</v>
      </c>
      <c r="F631" s="36" t="s">
        <v>68</v>
      </c>
      <c r="G631" s="36" t="s">
        <v>66</v>
      </c>
      <c r="H631" s="36" t="s">
        <v>42</v>
      </c>
      <c r="I631" s="37">
        <v>5</v>
      </c>
      <c r="J631" s="36"/>
    </row>
    <row r="632" spans="1:10" x14ac:dyDescent="0.35">
      <c r="A632" s="36" t="s">
        <v>824</v>
      </c>
      <c r="B632" s="35">
        <v>45975</v>
      </c>
      <c r="C632" s="36" t="s">
        <v>298</v>
      </c>
      <c r="D632" s="36" t="s">
        <v>299</v>
      </c>
      <c r="E632" s="36" t="s">
        <v>100</v>
      </c>
      <c r="F632" s="36" t="s">
        <v>101</v>
      </c>
      <c r="G632" s="36" t="s">
        <v>102</v>
      </c>
      <c r="H632" s="36" t="s">
        <v>103</v>
      </c>
      <c r="I632" s="37">
        <v>5</v>
      </c>
      <c r="J632" s="36"/>
    </row>
    <row r="633" spans="1:10" x14ac:dyDescent="0.35">
      <c r="A633" s="36" t="s">
        <v>825</v>
      </c>
      <c r="B633" s="35">
        <v>45975</v>
      </c>
      <c r="C633" s="36" t="s">
        <v>210</v>
      </c>
      <c r="D633" s="36" t="s">
        <v>211</v>
      </c>
      <c r="E633" s="36" t="s">
        <v>46</v>
      </c>
      <c r="F633" s="36" t="s">
        <v>47</v>
      </c>
      <c r="G633" s="36" t="s">
        <v>31</v>
      </c>
      <c r="H633" s="36" t="s">
        <v>42</v>
      </c>
      <c r="I633" s="37">
        <v>12</v>
      </c>
      <c r="J633" s="36"/>
    </row>
    <row r="634" spans="1:10" x14ac:dyDescent="0.35">
      <c r="A634" s="36" t="s">
        <v>826</v>
      </c>
      <c r="B634" s="35">
        <v>45975</v>
      </c>
      <c r="C634" s="36" t="s">
        <v>210</v>
      </c>
      <c r="D634" s="36" t="s">
        <v>211</v>
      </c>
      <c r="E634" s="36" t="s">
        <v>43</v>
      </c>
      <c r="F634" s="36" t="s">
        <v>44</v>
      </c>
      <c r="G634" s="36" t="s">
        <v>31</v>
      </c>
      <c r="H634" s="36" t="s">
        <v>42</v>
      </c>
      <c r="I634" s="37">
        <v>9</v>
      </c>
      <c r="J634" s="36"/>
    </row>
    <row r="635" spans="1:10" x14ac:dyDescent="0.35">
      <c r="A635" s="36" t="s">
        <v>827</v>
      </c>
      <c r="B635" s="35">
        <v>45975</v>
      </c>
      <c r="C635" s="36" t="s">
        <v>210</v>
      </c>
      <c r="D635" s="36" t="s">
        <v>211</v>
      </c>
      <c r="E635" s="36" t="s">
        <v>76</v>
      </c>
      <c r="F635" s="36" t="s">
        <v>77</v>
      </c>
      <c r="G635" s="36" t="s">
        <v>74</v>
      </c>
      <c r="H635" s="36" t="s">
        <v>75</v>
      </c>
      <c r="I635" s="37">
        <v>11</v>
      </c>
      <c r="J635" s="36"/>
    </row>
    <row r="636" spans="1:10" x14ac:dyDescent="0.35">
      <c r="A636" s="36" t="s">
        <v>828</v>
      </c>
      <c r="B636" s="35">
        <v>45975</v>
      </c>
      <c r="C636" s="36" t="s">
        <v>210</v>
      </c>
      <c r="D636" s="36" t="s">
        <v>211</v>
      </c>
      <c r="E636" s="36" t="s">
        <v>69</v>
      </c>
      <c r="F636" s="36" t="s">
        <v>70</v>
      </c>
      <c r="G636" s="36" t="s">
        <v>66</v>
      </c>
      <c r="H636" s="36" t="s">
        <v>71</v>
      </c>
      <c r="I636" s="37">
        <v>6</v>
      </c>
      <c r="J636" s="36"/>
    </row>
    <row r="637" spans="1:10" x14ac:dyDescent="0.35">
      <c r="A637" s="36" t="s">
        <v>829</v>
      </c>
      <c r="B637" s="35">
        <v>45975</v>
      </c>
      <c r="C637" s="36" t="s">
        <v>210</v>
      </c>
      <c r="D637" s="36" t="s">
        <v>211</v>
      </c>
      <c r="E637" s="36" t="s">
        <v>94</v>
      </c>
      <c r="F637" s="36" t="s">
        <v>95</v>
      </c>
      <c r="G637" s="36" t="s">
        <v>93</v>
      </c>
      <c r="H637" s="36" t="s">
        <v>96</v>
      </c>
      <c r="I637" s="37">
        <v>9</v>
      </c>
      <c r="J637" s="36"/>
    </row>
    <row r="638" spans="1:10" x14ac:dyDescent="0.35">
      <c r="A638" s="36" t="s">
        <v>830</v>
      </c>
      <c r="B638" s="35">
        <v>45975</v>
      </c>
      <c r="C638" s="36" t="s">
        <v>210</v>
      </c>
      <c r="D638" s="36" t="s">
        <v>211</v>
      </c>
      <c r="E638" s="36" t="s">
        <v>161</v>
      </c>
      <c r="F638" s="36" t="s">
        <v>162</v>
      </c>
      <c r="G638" s="36" t="s">
        <v>159</v>
      </c>
      <c r="H638" s="36" t="s">
        <v>163</v>
      </c>
      <c r="I638" s="37">
        <v>3</v>
      </c>
      <c r="J638" s="36"/>
    </row>
    <row r="639" spans="1:10" x14ac:dyDescent="0.35">
      <c r="A639" s="36" t="s">
        <v>831</v>
      </c>
      <c r="B639" s="35">
        <v>45975</v>
      </c>
      <c r="C639" s="36" t="s">
        <v>210</v>
      </c>
      <c r="D639" s="36" t="s">
        <v>211</v>
      </c>
      <c r="E639" s="36" t="s">
        <v>135</v>
      </c>
      <c r="F639" s="36" t="s">
        <v>5</v>
      </c>
      <c r="G639" s="36" t="s">
        <v>6</v>
      </c>
      <c r="H639" s="36" t="s">
        <v>136</v>
      </c>
      <c r="I639" s="37">
        <v>7</v>
      </c>
      <c r="J639" s="36"/>
    </row>
    <row r="640" spans="1:10" x14ac:dyDescent="0.35">
      <c r="A640" s="36" t="s">
        <v>832</v>
      </c>
      <c r="B640" s="35">
        <v>45975</v>
      </c>
      <c r="C640" s="36" t="s">
        <v>210</v>
      </c>
      <c r="D640" s="36" t="s">
        <v>211</v>
      </c>
      <c r="E640" s="36" t="s">
        <v>37</v>
      </c>
      <c r="F640" s="36" t="s">
        <v>38</v>
      </c>
      <c r="G640" s="36" t="s">
        <v>31</v>
      </c>
      <c r="H640" s="36" t="s">
        <v>39</v>
      </c>
      <c r="I640" s="37">
        <v>6</v>
      </c>
      <c r="J640" s="36"/>
    </row>
    <row r="641" spans="1:10" x14ac:dyDescent="0.35">
      <c r="A641" s="36" t="s">
        <v>833</v>
      </c>
      <c r="B641" s="35">
        <v>45975</v>
      </c>
      <c r="C641" s="36" t="s">
        <v>210</v>
      </c>
      <c r="D641" s="36" t="s">
        <v>211</v>
      </c>
      <c r="E641" s="36" t="s">
        <v>97</v>
      </c>
      <c r="F641" s="36" t="s">
        <v>98</v>
      </c>
      <c r="G641" s="36" t="s">
        <v>93</v>
      </c>
      <c r="H641" s="36" t="s">
        <v>99</v>
      </c>
      <c r="I641" s="37">
        <v>10</v>
      </c>
      <c r="J641" s="36"/>
    </row>
    <row r="642" spans="1:10" x14ac:dyDescent="0.35">
      <c r="A642" s="36" t="s">
        <v>834</v>
      </c>
      <c r="B642" s="35">
        <v>45975</v>
      </c>
      <c r="C642" s="36" t="s">
        <v>210</v>
      </c>
      <c r="D642" s="36" t="s">
        <v>211</v>
      </c>
      <c r="E642" s="36" t="s">
        <v>100</v>
      </c>
      <c r="F642" s="36" t="s">
        <v>101</v>
      </c>
      <c r="G642" s="36" t="s">
        <v>102</v>
      </c>
      <c r="H642" s="36" t="s">
        <v>103</v>
      </c>
      <c r="I642" s="37">
        <v>12</v>
      </c>
      <c r="J642" s="36"/>
    </row>
    <row r="643" spans="1:10" x14ac:dyDescent="0.35">
      <c r="A643" s="36" t="s">
        <v>835</v>
      </c>
      <c r="B643" s="35">
        <v>45975</v>
      </c>
      <c r="C643" s="36" t="s">
        <v>210</v>
      </c>
      <c r="D643" s="36" t="s">
        <v>211</v>
      </c>
      <c r="E643" s="36" t="s">
        <v>137</v>
      </c>
      <c r="F643" s="36" t="s">
        <v>15</v>
      </c>
      <c r="G643" s="36" t="s">
        <v>6</v>
      </c>
      <c r="H643" s="36" t="s">
        <v>136</v>
      </c>
      <c r="I643" s="37">
        <v>7</v>
      </c>
      <c r="J643" s="36"/>
    </row>
    <row r="644" spans="1:10" x14ac:dyDescent="0.35">
      <c r="A644" s="36" t="s">
        <v>836</v>
      </c>
      <c r="B644" s="35">
        <v>45978</v>
      </c>
      <c r="C644" s="36" t="s">
        <v>190</v>
      </c>
      <c r="D644" s="36" t="s">
        <v>191</v>
      </c>
      <c r="E644" s="36" t="s">
        <v>153</v>
      </c>
      <c r="F644" s="36" t="s">
        <v>154</v>
      </c>
      <c r="G644" s="36" t="s">
        <v>12</v>
      </c>
      <c r="H644" s="36" t="s">
        <v>155</v>
      </c>
      <c r="I644" s="37">
        <v>6</v>
      </c>
      <c r="J644" s="36"/>
    </row>
    <row r="645" spans="1:10" x14ac:dyDescent="0.35">
      <c r="A645" s="36" t="s">
        <v>837</v>
      </c>
      <c r="B645" s="35">
        <v>45978</v>
      </c>
      <c r="C645" s="36" t="s">
        <v>190</v>
      </c>
      <c r="D645" s="36" t="s">
        <v>191</v>
      </c>
      <c r="E645" s="36" t="s">
        <v>128</v>
      </c>
      <c r="F645" s="36" t="s">
        <v>9</v>
      </c>
      <c r="G645" s="36" t="s">
        <v>10</v>
      </c>
      <c r="H645" s="36" t="s">
        <v>129</v>
      </c>
      <c r="I645" s="37">
        <v>8</v>
      </c>
      <c r="J645" s="36"/>
    </row>
    <row r="646" spans="1:10" x14ac:dyDescent="0.35">
      <c r="A646" s="36" t="s">
        <v>838</v>
      </c>
      <c r="B646" s="35">
        <v>45978</v>
      </c>
      <c r="C646" s="36" t="s">
        <v>190</v>
      </c>
      <c r="D646" s="36" t="s">
        <v>191</v>
      </c>
      <c r="E646" s="36" t="s">
        <v>132</v>
      </c>
      <c r="F646" s="36" t="s">
        <v>133</v>
      </c>
      <c r="G646" s="36" t="s">
        <v>10</v>
      </c>
      <c r="H646" s="36" t="s">
        <v>134</v>
      </c>
      <c r="I646" s="37">
        <v>5</v>
      </c>
      <c r="J646" s="36"/>
    </row>
    <row r="647" spans="1:10" x14ac:dyDescent="0.35">
      <c r="A647" s="36" t="s">
        <v>839</v>
      </c>
      <c r="B647" s="35">
        <v>45978</v>
      </c>
      <c r="C647" s="36" t="s">
        <v>190</v>
      </c>
      <c r="D647" s="36" t="s">
        <v>191</v>
      </c>
      <c r="E647" s="36" t="s">
        <v>91</v>
      </c>
      <c r="F647" s="36" t="s">
        <v>92</v>
      </c>
      <c r="G647" s="36" t="s">
        <v>93</v>
      </c>
      <c r="H647" s="36" t="s">
        <v>85</v>
      </c>
      <c r="I647" s="37">
        <v>8</v>
      </c>
      <c r="J647" s="36"/>
    </row>
    <row r="648" spans="1:10" x14ac:dyDescent="0.35">
      <c r="A648" s="36" t="s">
        <v>840</v>
      </c>
      <c r="B648" s="35">
        <v>45978</v>
      </c>
      <c r="C648" s="36" t="s">
        <v>190</v>
      </c>
      <c r="D648" s="36" t="s">
        <v>191</v>
      </c>
      <c r="E648" s="36" t="s">
        <v>161</v>
      </c>
      <c r="F648" s="36" t="s">
        <v>162</v>
      </c>
      <c r="G648" s="36" t="s">
        <v>159</v>
      </c>
      <c r="H648" s="36" t="s">
        <v>163</v>
      </c>
      <c r="I648" s="37">
        <v>8</v>
      </c>
      <c r="J648" s="36"/>
    </row>
    <row r="649" spans="1:10" x14ac:dyDescent="0.35">
      <c r="A649" s="36" t="s">
        <v>841</v>
      </c>
      <c r="B649" s="35">
        <v>45978</v>
      </c>
      <c r="C649" s="36" t="s">
        <v>190</v>
      </c>
      <c r="D649" s="36" t="s">
        <v>191</v>
      </c>
      <c r="E649" s="36" t="s">
        <v>78</v>
      </c>
      <c r="F649" s="36" t="s">
        <v>79</v>
      </c>
      <c r="G649" s="36" t="s">
        <v>74</v>
      </c>
      <c r="H649" s="36" t="s">
        <v>80</v>
      </c>
      <c r="I649" s="37">
        <v>15</v>
      </c>
      <c r="J649" s="36"/>
    </row>
    <row r="650" spans="1:10" x14ac:dyDescent="0.35">
      <c r="A650" s="36" t="s">
        <v>842</v>
      </c>
      <c r="B650" s="35">
        <v>45978</v>
      </c>
      <c r="C650" s="36" t="s">
        <v>190</v>
      </c>
      <c r="D650" s="36" t="s">
        <v>191</v>
      </c>
      <c r="E650" s="36" t="s">
        <v>69</v>
      </c>
      <c r="F650" s="36" t="s">
        <v>70</v>
      </c>
      <c r="G650" s="36" t="s">
        <v>66</v>
      </c>
      <c r="H650" s="36" t="s">
        <v>71</v>
      </c>
      <c r="I650" s="37">
        <v>12</v>
      </c>
      <c r="J650" s="36"/>
    </row>
    <row r="651" spans="1:10" x14ac:dyDescent="0.35">
      <c r="A651" s="36" t="s">
        <v>843</v>
      </c>
      <c r="B651" s="35">
        <v>45978</v>
      </c>
      <c r="C651" s="36" t="s">
        <v>190</v>
      </c>
      <c r="D651" s="36" t="s">
        <v>191</v>
      </c>
      <c r="E651" s="36" t="s">
        <v>135</v>
      </c>
      <c r="F651" s="36" t="s">
        <v>5</v>
      </c>
      <c r="G651" s="36" t="s">
        <v>6</v>
      </c>
      <c r="H651" s="36" t="s">
        <v>136</v>
      </c>
      <c r="I651" s="37">
        <v>11</v>
      </c>
      <c r="J651" s="36"/>
    </row>
    <row r="652" spans="1:10" x14ac:dyDescent="0.35">
      <c r="A652" s="36" t="s">
        <v>844</v>
      </c>
      <c r="B652" s="35">
        <v>45978</v>
      </c>
      <c r="C652" s="36" t="s">
        <v>190</v>
      </c>
      <c r="D652" s="36" t="s">
        <v>191</v>
      </c>
      <c r="E652" s="36" t="s">
        <v>64</v>
      </c>
      <c r="F652" s="36" t="s">
        <v>65</v>
      </c>
      <c r="G652" s="36" t="s">
        <v>66</v>
      </c>
      <c r="H652" s="36" t="s">
        <v>42</v>
      </c>
      <c r="I652" s="37">
        <v>8</v>
      </c>
      <c r="J652" s="36"/>
    </row>
    <row r="653" spans="1:10" x14ac:dyDescent="0.35">
      <c r="A653" s="36" t="s">
        <v>845</v>
      </c>
      <c r="B653" s="35">
        <v>45984</v>
      </c>
      <c r="C653" s="36" t="s">
        <v>210</v>
      </c>
      <c r="D653" s="36" t="s">
        <v>211</v>
      </c>
      <c r="E653" s="36" t="s">
        <v>161</v>
      </c>
      <c r="F653" s="36" t="s">
        <v>162</v>
      </c>
      <c r="G653" s="36" t="s">
        <v>159</v>
      </c>
      <c r="H653" s="36" t="s">
        <v>163</v>
      </c>
      <c r="I653" s="37">
        <v>4</v>
      </c>
      <c r="J653" s="36"/>
    </row>
    <row r="654" spans="1:10" x14ac:dyDescent="0.35">
      <c r="A654" s="36" t="s">
        <v>846</v>
      </c>
      <c r="B654" s="35">
        <v>45984</v>
      </c>
      <c r="C654" s="36" t="s">
        <v>210</v>
      </c>
      <c r="D654" s="36" t="s">
        <v>211</v>
      </c>
      <c r="E654" s="36" t="s">
        <v>72</v>
      </c>
      <c r="F654" s="36" t="s">
        <v>73</v>
      </c>
      <c r="G654" s="36" t="s">
        <v>74</v>
      </c>
      <c r="H654" s="36" t="s">
        <v>75</v>
      </c>
      <c r="I654" s="37">
        <v>10</v>
      </c>
      <c r="J654" s="36"/>
    </row>
    <row r="655" spans="1:10" x14ac:dyDescent="0.35">
      <c r="A655" s="36" t="s">
        <v>847</v>
      </c>
      <c r="B655" s="35">
        <v>45984</v>
      </c>
      <c r="C655" s="36" t="s">
        <v>210</v>
      </c>
      <c r="D655" s="36" t="s">
        <v>211</v>
      </c>
      <c r="E655" s="36" t="s">
        <v>88</v>
      </c>
      <c r="F655" s="36" t="s">
        <v>89</v>
      </c>
      <c r="G655" s="36" t="s">
        <v>74</v>
      </c>
      <c r="H655" s="36" t="s">
        <v>90</v>
      </c>
      <c r="I655" s="37">
        <v>6</v>
      </c>
      <c r="J655" s="36"/>
    </row>
    <row r="656" spans="1:10" x14ac:dyDescent="0.35">
      <c r="A656" s="36" t="s">
        <v>848</v>
      </c>
      <c r="B656" s="35">
        <v>45984</v>
      </c>
      <c r="C656" s="36" t="s">
        <v>210</v>
      </c>
      <c r="D656" s="36" t="s">
        <v>211</v>
      </c>
      <c r="E656" s="36" t="s">
        <v>111</v>
      </c>
      <c r="F656" s="36" t="s">
        <v>112</v>
      </c>
      <c r="G656" s="36" t="s">
        <v>102</v>
      </c>
      <c r="H656" s="36" t="s">
        <v>113</v>
      </c>
      <c r="I656" s="37">
        <v>10</v>
      </c>
      <c r="J656" s="36"/>
    </row>
    <row r="657" spans="1:10" x14ac:dyDescent="0.35">
      <c r="A657" s="36" t="s">
        <v>849</v>
      </c>
      <c r="B657" s="35">
        <v>45984</v>
      </c>
      <c r="C657" s="36" t="s">
        <v>210</v>
      </c>
      <c r="D657" s="36" t="s">
        <v>211</v>
      </c>
      <c r="E657" s="36" t="s">
        <v>146</v>
      </c>
      <c r="F657" s="36" t="s">
        <v>147</v>
      </c>
      <c r="G657" s="36" t="s">
        <v>8</v>
      </c>
      <c r="H657" s="36" t="s">
        <v>148</v>
      </c>
      <c r="I657" s="37">
        <v>7</v>
      </c>
      <c r="J657" s="36"/>
    </row>
    <row r="658" spans="1:10" x14ac:dyDescent="0.35">
      <c r="A658" s="36" t="s">
        <v>850</v>
      </c>
      <c r="B658" s="35">
        <v>45984</v>
      </c>
      <c r="C658" s="36" t="s">
        <v>210</v>
      </c>
      <c r="D658" s="36" t="s">
        <v>211</v>
      </c>
      <c r="E658" s="36" t="s">
        <v>153</v>
      </c>
      <c r="F658" s="36" t="s">
        <v>154</v>
      </c>
      <c r="G658" s="36" t="s">
        <v>12</v>
      </c>
      <c r="H658" s="36" t="s">
        <v>155</v>
      </c>
      <c r="I658" s="37">
        <v>4</v>
      </c>
      <c r="J658" s="36"/>
    </row>
    <row r="659" spans="1:10" x14ac:dyDescent="0.35">
      <c r="A659" s="36" t="s">
        <v>851</v>
      </c>
      <c r="B659" s="35">
        <v>45984</v>
      </c>
      <c r="C659" s="36" t="s">
        <v>210</v>
      </c>
      <c r="D659" s="36" t="s">
        <v>211</v>
      </c>
      <c r="E659" s="36" t="s">
        <v>132</v>
      </c>
      <c r="F659" s="36" t="s">
        <v>133</v>
      </c>
      <c r="G659" s="36" t="s">
        <v>10</v>
      </c>
      <c r="H659" s="36" t="s">
        <v>134</v>
      </c>
      <c r="I659" s="37">
        <v>5</v>
      </c>
      <c r="J659" s="36"/>
    </row>
    <row r="660" spans="1:10" x14ac:dyDescent="0.35">
      <c r="A660" s="36" t="s">
        <v>852</v>
      </c>
      <c r="B660" s="35">
        <v>45984</v>
      </c>
      <c r="C660" s="36" t="s">
        <v>210</v>
      </c>
      <c r="D660" s="36" t="s">
        <v>211</v>
      </c>
      <c r="E660" s="36" t="s">
        <v>34</v>
      </c>
      <c r="F660" s="36" t="s">
        <v>35</v>
      </c>
      <c r="G660" s="36" t="s">
        <v>31</v>
      </c>
      <c r="H660" s="36" t="s">
        <v>36</v>
      </c>
      <c r="I660" s="37">
        <v>11</v>
      </c>
      <c r="J660" s="36"/>
    </row>
    <row r="661" spans="1:10" x14ac:dyDescent="0.35">
      <c r="A661" s="36" t="s">
        <v>853</v>
      </c>
      <c r="B661" s="35">
        <v>45984</v>
      </c>
      <c r="C661" s="36" t="s">
        <v>210</v>
      </c>
      <c r="D661" s="36" t="s">
        <v>211</v>
      </c>
      <c r="E661" s="36" t="s">
        <v>114</v>
      </c>
      <c r="F661" s="36" t="s">
        <v>13</v>
      </c>
      <c r="G661" s="36" t="s">
        <v>14</v>
      </c>
      <c r="H661" s="36" t="s">
        <v>115</v>
      </c>
      <c r="I661" s="37">
        <v>4</v>
      </c>
      <c r="J661" s="36"/>
    </row>
    <row r="662" spans="1:10" x14ac:dyDescent="0.35">
      <c r="A662" s="36" t="s">
        <v>854</v>
      </c>
      <c r="B662" s="35">
        <v>45984</v>
      </c>
      <c r="C662" s="36" t="s">
        <v>210</v>
      </c>
      <c r="D662" s="36" t="s">
        <v>211</v>
      </c>
      <c r="E662" s="36" t="s">
        <v>51</v>
      </c>
      <c r="F662" s="36" t="s">
        <v>52</v>
      </c>
      <c r="G662" s="36" t="s">
        <v>53</v>
      </c>
      <c r="H662" s="36" t="s">
        <v>42</v>
      </c>
      <c r="I662" s="37">
        <v>10</v>
      </c>
      <c r="J662" s="36"/>
    </row>
    <row r="663" spans="1:10" x14ac:dyDescent="0.35">
      <c r="A663" s="36" t="s">
        <v>855</v>
      </c>
      <c r="B663" s="35">
        <v>45984</v>
      </c>
      <c r="C663" s="36" t="s">
        <v>210</v>
      </c>
      <c r="D663" s="36" t="s">
        <v>211</v>
      </c>
      <c r="E663" s="36" t="s">
        <v>76</v>
      </c>
      <c r="F663" s="36" t="s">
        <v>77</v>
      </c>
      <c r="G663" s="36" t="s">
        <v>74</v>
      </c>
      <c r="H663" s="36" t="s">
        <v>75</v>
      </c>
      <c r="I663" s="37">
        <v>7</v>
      </c>
      <c r="J663" s="36"/>
    </row>
    <row r="664" spans="1:10" x14ac:dyDescent="0.35">
      <c r="A664" s="36" t="s">
        <v>856</v>
      </c>
      <c r="B664" s="35">
        <v>45984</v>
      </c>
      <c r="C664" s="36" t="s">
        <v>210</v>
      </c>
      <c r="D664" s="36" t="s">
        <v>211</v>
      </c>
      <c r="E664" s="36" t="s">
        <v>43</v>
      </c>
      <c r="F664" s="36" t="s">
        <v>44</v>
      </c>
      <c r="G664" s="36" t="s">
        <v>31</v>
      </c>
      <c r="H664" s="36" t="s">
        <v>42</v>
      </c>
      <c r="I664" s="37">
        <v>10</v>
      </c>
      <c r="J664" s="36"/>
    </row>
    <row r="665" spans="1:10" x14ac:dyDescent="0.35">
      <c r="A665" s="36" t="s">
        <v>857</v>
      </c>
      <c r="B665" s="35">
        <v>45984</v>
      </c>
      <c r="C665" s="36" t="s">
        <v>238</v>
      </c>
      <c r="D665" s="36" t="s">
        <v>239</v>
      </c>
      <c r="E665" s="36" t="s">
        <v>43</v>
      </c>
      <c r="F665" s="36" t="s">
        <v>44</v>
      </c>
      <c r="G665" s="36" t="s">
        <v>31</v>
      </c>
      <c r="H665" s="36" t="s">
        <v>42</v>
      </c>
      <c r="I665" s="37">
        <v>11</v>
      </c>
      <c r="J665" s="36"/>
    </row>
    <row r="666" spans="1:10" x14ac:dyDescent="0.35">
      <c r="A666" s="36" t="s">
        <v>858</v>
      </c>
      <c r="B666" s="35">
        <v>45984</v>
      </c>
      <c r="C666" s="36" t="s">
        <v>238</v>
      </c>
      <c r="D666" s="36" t="s">
        <v>239</v>
      </c>
      <c r="E666" s="36" t="s">
        <v>128</v>
      </c>
      <c r="F666" s="36" t="s">
        <v>9</v>
      </c>
      <c r="G666" s="36" t="s">
        <v>10</v>
      </c>
      <c r="H666" s="36" t="s">
        <v>129</v>
      </c>
      <c r="I666" s="37">
        <v>3</v>
      </c>
      <c r="J666" s="36"/>
    </row>
    <row r="667" spans="1:10" x14ac:dyDescent="0.35">
      <c r="A667" s="36" t="s">
        <v>859</v>
      </c>
      <c r="B667" s="35">
        <v>45984</v>
      </c>
      <c r="C667" s="36" t="s">
        <v>238</v>
      </c>
      <c r="D667" s="36" t="s">
        <v>239</v>
      </c>
      <c r="E667" s="36" t="s">
        <v>61</v>
      </c>
      <c r="F667" s="36" t="s">
        <v>62</v>
      </c>
      <c r="G667" s="36" t="s">
        <v>53</v>
      </c>
      <c r="H667" s="36" t="s">
        <v>42</v>
      </c>
      <c r="I667" s="37">
        <v>10</v>
      </c>
      <c r="J667" s="36"/>
    </row>
    <row r="668" spans="1:10" x14ac:dyDescent="0.35">
      <c r="A668" s="36" t="s">
        <v>860</v>
      </c>
      <c r="B668" s="35">
        <v>45984</v>
      </c>
      <c r="C668" s="36" t="s">
        <v>238</v>
      </c>
      <c r="D668" s="36" t="s">
        <v>239</v>
      </c>
      <c r="E668" s="36" t="s">
        <v>114</v>
      </c>
      <c r="F668" s="36" t="s">
        <v>13</v>
      </c>
      <c r="G668" s="36" t="s">
        <v>14</v>
      </c>
      <c r="H668" s="36" t="s">
        <v>115</v>
      </c>
      <c r="I668" s="37">
        <v>1</v>
      </c>
      <c r="J668" s="36"/>
    </row>
    <row r="669" spans="1:10" x14ac:dyDescent="0.35">
      <c r="A669" s="36" t="s">
        <v>861</v>
      </c>
      <c r="B669" s="35">
        <v>45984</v>
      </c>
      <c r="C669" s="36" t="s">
        <v>238</v>
      </c>
      <c r="D669" s="36" t="s">
        <v>239</v>
      </c>
      <c r="E669" s="36" t="s">
        <v>86</v>
      </c>
      <c r="F669" s="36" t="s">
        <v>87</v>
      </c>
      <c r="G669" s="36" t="s">
        <v>74</v>
      </c>
      <c r="H669" s="36" t="s">
        <v>75</v>
      </c>
      <c r="I669" s="37">
        <v>4</v>
      </c>
      <c r="J669" s="36"/>
    </row>
    <row r="670" spans="1:10" x14ac:dyDescent="0.35">
      <c r="A670" s="36" t="s">
        <v>862</v>
      </c>
      <c r="B670" s="35">
        <v>45984</v>
      </c>
      <c r="C670" s="36" t="s">
        <v>238</v>
      </c>
      <c r="D670" s="36" t="s">
        <v>239</v>
      </c>
      <c r="E670" s="36" t="s">
        <v>91</v>
      </c>
      <c r="F670" s="36" t="s">
        <v>92</v>
      </c>
      <c r="G670" s="36" t="s">
        <v>93</v>
      </c>
      <c r="H670" s="36" t="s">
        <v>85</v>
      </c>
      <c r="I670" s="37">
        <v>5</v>
      </c>
      <c r="J670" s="36"/>
    </row>
    <row r="671" spans="1:10" x14ac:dyDescent="0.35">
      <c r="A671" s="36" t="s">
        <v>863</v>
      </c>
      <c r="B671" s="35">
        <v>45984</v>
      </c>
      <c r="C671" s="36" t="s">
        <v>238</v>
      </c>
      <c r="D671" s="36" t="s">
        <v>239</v>
      </c>
      <c r="E671" s="36" t="s">
        <v>67</v>
      </c>
      <c r="F671" s="36" t="s">
        <v>68</v>
      </c>
      <c r="G671" s="36" t="s">
        <v>66</v>
      </c>
      <c r="H671" s="36" t="s">
        <v>42</v>
      </c>
      <c r="I671" s="37">
        <v>5</v>
      </c>
      <c r="J671" s="36"/>
    </row>
    <row r="672" spans="1:10" x14ac:dyDescent="0.35">
      <c r="A672" s="36" t="s">
        <v>864</v>
      </c>
      <c r="B672" s="35">
        <v>45984</v>
      </c>
      <c r="C672" s="36" t="s">
        <v>238</v>
      </c>
      <c r="D672" s="36" t="s">
        <v>239</v>
      </c>
      <c r="E672" s="36" t="s">
        <v>130</v>
      </c>
      <c r="F672" s="36" t="s">
        <v>16</v>
      </c>
      <c r="G672" s="36" t="s">
        <v>10</v>
      </c>
      <c r="H672" s="36" t="s">
        <v>131</v>
      </c>
      <c r="I672" s="37">
        <v>2</v>
      </c>
      <c r="J672" s="36"/>
    </row>
    <row r="673" spans="1:10" x14ac:dyDescent="0.35">
      <c r="A673" s="36" t="s">
        <v>865</v>
      </c>
      <c r="B673" s="35">
        <v>45984</v>
      </c>
      <c r="C673" s="36" t="s">
        <v>238</v>
      </c>
      <c r="D673" s="36" t="s">
        <v>239</v>
      </c>
      <c r="E673" s="36" t="s">
        <v>78</v>
      </c>
      <c r="F673" s="36" t="s">
        <v>79</v>
      </c>
      <c r="G673" s="36" t="s">
        <v>74</v>
      </c>
      <c r="H673" s="36" t="s">
        <v>80</v>
      </c>
      <c r="I673" s="37">
        <v>4</v>
      </c>
      <c r="J673" s="36"/>
    </row>
    <row r="674" spans="1:10" x14ac:dyDescent="0.35">
      <c r="A674" s="36" t="s">
        <v>866</v>
      </c>
      <c r="B674" s="35">
        <v>45984</v>
      </c>
      <c r="C674" s="36" t="s">
        <v>238</v>
      </c>
      <c r="D674" s="36" t="s">
        <v>239</v>
      </c>
      <c r="E674" s="36" t="s">
        <v>156</v>
      </c>
      <c r="F674" s="36" t="s">
        <v>11</v>
      </c>
      <c r="G674" s="36" t="s">
        <v>12</v>
      </c>
      <c r="H674" s="36" t="s">
        <v>155</v>
      </c>
      <c r="I674" s="37">
        <v>2</v>
      </c>
      <c r="J674" s="36"/>
    </row>
    <row r="675" spans="1:10" x14ac:dyDescent="0.35">
      <c r="A675" s="36" t="s">
        <v>867</v>
      </c>
      <c r="B675" s="35">
        <v>45984</v>
      </c>
      <c r="C675" s="36" t="s">
        <v>238</v>
      </c>
      <c r="D675" s="36" t="s">
        <v>239</v>
      </c>
      <c r="E675" s="36" t="s">
        <v>46</v>
      </c>
      <c r="F675" s="36" t="s">
        <v>47</v>
      </c>
      <c r="G675" s="36" t="s">
        <v>31</v>
      </c>
      <c r="H675" s="36" t="s">
        <v>42</v>
      </c>
      <c r="I675" s="37">
        <v>10</v>
      </c>
      <c r="J675" s="36"/>
    </row>
    <row r="676" spans="1:10" x14ac:dyDescent="0.35">
      <c r="A676" s="36" t="s">
        <v>868</v>
      </c>
      <c r="B676" s="35">
        <v>45984</v>
      </c>
      <c r="C676" s="36" t="s">
        <v>238</v>
      </c>
      <c r="D676" s="36" t="s">
        <v>239</v>
      </c>
      <c r="E676" s="36" t="s">
        <v>146</v>
      </c>
      <c r="F676" s="36" t="s">
        <v>147</v>
      </c>
      <c r="G676" s="36" t="s">
        <v>8</v>
      </c>
      <c r="H676" s="36" t="s">
        <v>148</v>
      </c>
      <c r="I676" s="37">
        <v>3</v>
      </c>
      <c r="J676" s="36"/>
    </row>
    <row r="677" spans="1:10" x14ac:dyDescent="0.35">
      <c r="A677" s="36" t="s">
        <v>869</v>
      </c>
      <c r="B677" s="35">
        <v>45984</v>
      </c>
      <c r="C677" s="36" t="s">
        <v>238</v>
      </c>
      <c r="D677" s="36" t="s">
        <v>239</v>
      </c>
      <c r="E677" s="36" t="s">
        <v>144</v>
      </c>
      <c r="F677" s="36" t="s">
        <v>7</v>
      </c>
      <c r="G677" s="36" t="s">
        <v>8</v>
      </c>
      <c r="H677" s="36" t="s">
        <v>145</v>
      </c>
      <c r="I677" s="37">
        <v>1</v>
      </c>
      <c r="J677" s="36"/>
    </row>
    <row r="678" spans="1:10" x14ac:dyDescent="0.35">
      <c r="A678" s="36" t="s">
        <v>870</v>
      </c>
      <c r="B678" s="35">
        <v>45984</v>
      </c>
      <c r="C678" s="36" t="s">
        <v>238</v>
      </c>
      <c r="D678" s="36" t="s">
        <v>239</v>
      </c>
      <c r="E678" s="36" t="s">
        <v>117</v>
      </c>
      <c r="F678" s="36" t="s">
        <v>118</v>
      </c>
      <c r="G678" s="36" t="s">
        <v>14</v>
      </c>
      <c r="H678" s="36" t="s">
        <v>119</v>
      </c>
      <c r="I678" s="37">
        <v>1</v>
      </c>
      <c r="J678" s="36"/>
    </row>
    <row r="679" spans="1:10" x14ac:dyDescent="0.35">
      <c r="A679" s="36" t="s">
        <v>871</v>
      </c>
      <c r="B679" s="35">
        <v>45984</v>
      </c>
      <c r="C679" s="36" t="s">
        <v>238</v>
      </c>
      <c r="D679" s="36" t="s">
        <v>239</v>
      </c>
      <c r="E679" s="36" t="s">
        <v>137</v>
      </c>
      <c r="F679" s="36" t="s">
        <v>15</v>
      </c>
      <c r="G679" s="36" t="s">
        <v>6</v>
      </c>
      <c r="H679" s="36" t="s">
        <v>136</v>
      </c>
      <c r="I679" s="37">
        <v>6</v>
      </c>
      <c r="J679" s="36"/>
    </row>
    <row r="680" spans="1:10" x14ac:dyDescent="0.35">
      <c r="A680" s="36" t="s">
        <v>872</v>
      </c>
      <c r="B680" s="35">
        <v>45984</v>
      </c>
      <c r="C680" s="36" t="s">
        <v>238</v>
      </c>
      <c r="D680" s="36" t="s">
        <v>239</v>
      </c>
      <c r="E680" s="36" t="s">
        <v>29</v>
      </c>
      <c r="F680" s="36" t="s">
        <v>30</v>
      </c>
      <c r="G680" s="36" t="s">
        <v>31</v>
      </c>
      <c r="H680" s="36" t="s">
        <v>32</v>
      </c>
      <c r="I680" s="37">
        <v>8</v>
      </c>
      <c r="J680" s="36"/>
    </row>
    <row r="681" spans="1:10" x14ac:dyDescent="0.35">
      <c r="A681" s="36" t="s">
        <v>873</v>
      </c>
      <c r="B681" s="35">
        <v>45984</v>
      </c>
      <c r="C681" s="36" t="s">
        <v>190</v>
      </c>
      <c r="D681" s="36" t="s">
        <v>191</v>
      </c>
      <c r="E681" s="36" t="s">
        <v>117</v>
      </c>
      <c r="F681" s="36" t="s">
        <v>118</v>
      </c>
      <c r="G681" s="36" t="s">
        <v>14</v>
      </c>
      <c r="H681" s="36" t="s">
        <v>119</v>
      </c>
      <c r="I681" s="37">
        <v>4</v>
      </c>
      <c r="J681" s="36"/>
    </row>
    <row r="682" spans="1:10" x14ac:dyDescent="0.35">
      <c r="A682" s="36" t="s">
        <v>874</v>
      </c>
      <c r="B682" s="35">
        <v>45984</v>
      </c>
      <c r="C682" s="36" t="s">
        <v>190</v>
      </c>
      <c r="D682" s="36" t="s">
        <v>191</v>
      </c>
      <c r="E682" s="36" t="s">
        <v>61</v>
      </c>
      <c r="F682" s="36" t="s">
        <v>62</v>
      </c>
      <c r="G682" s="36" t="s">
        <v>53</v>
      </c>
      <c r="H682" s="36" t="s">
        <v>42</v>
      </c>
      <c r="I682" s="37">
        <v>21</v>
      </c>
      <c r="J682" s="36"/>
    </row>
    <row r="683" spans="1:10" x14ac:dyDescent="0.35">
      <c r="A683" s="36" t="s">
        <v>875</v>
      </c>
      <c r="B683" s="35">
        <v>45984</v>
      </c>
      <c r="C683" s="36" t="s">
        <v>190</v>
      </c>
      <c r="D683" s="36" t="s">
        <v>191</v>
      </c>
      <c r="E683" s="36" t="s">
        <v>120</v>
      </c>
      <c r="F683" s="36" t="s">
        <v>121</v>
      </c>
      <c r="G683" s="36" t="s">
        <v>14</v>
      </c>
      <c r="H683" s="36" t="s">
        <v>119</v>
      </c>
      <c r="I683" s="37">
        <v>5</v>
      </c>
      <c r="J683" s="36"/>
    </row>
    <row r="684" spans="1:10" x14ac:dyDescent="0.35">
      <c r="A684" s="36" t="s">
        <v>876</v>
      </c>
      <c r="B684" s="35">
        <v>45984</v>
      </c>
      <c r="C684" s="36" t="s">
        <v>190</v>
      </c>
      <c r="D684" s="36" t="s">
        <v>191</v>
      </c>
      <c r="E684" s="36" t="s">
        <v>78</v>
      </c>
      <c r="F684" s="36" t="s">
        <v>79</v>
      </c>
      <c r="G684" s="36" t="s">
        <v>74</v>
      </c>
      <c r="H684" s="36" t="s">
        <v>80</v>
      </c>
      <c r="I684" s="37">
        <v>9</v>
      </c>
      <c r="J684" s="36"/>
    </row>
    <row r="685" spans="1:10" x14ac:dyDescent="0.35">
      <c r="A685" s="36" t="s">
        <v>877</v>
      </c>
      <c r="B685" s="35">
        <v>45984</v>
      </c>
      <c r="C685" s="36" t="s">
        <v>190</v>
      </c>
      <c r="D685" s="36" t="s">
        <v>191</v>
      </c>
      <c r="E685" s="36" t="s">
        <v>100</v>
      </c>
      <c r="F685" s="36" t="s">
        <v>101</v>
      </c>
      <c r="G685" s="36" t="s">
        <v>102</v>
      </c>
      <c r="H685" s="36" t="s">
        <v>103</v>
      </c>
      <c r="I685" s="37">
        <v>14</v>
      </c>
      <c r="J685" s="36"/>
    </row>
    <row r="686" spans="1:10" x14ac:dyDescent="0.35">
      <c r="A686" s="36" t="s">
        <v>878</v>
      </c>
      <c r="B686" s="35">
        <v>45984</v>
      </c>
      <c r="C686" s="36" t="s">
        <v>190</v>
      </c>
      <c r="D686" s="36" t="s">
        <v>191</v>
      </c>
      <c r="E686" s="36" t="s">
        <v>69</v>
      </c>
      <c r="F686" s="36" t="s">
        <v>70</v>
      </c>
      <c r="G686" s="36" t="s">
        <v>66</v>
      </c>
      <c r="H686" s="36" t="s">
        <v>71</v>
      </c>
      <c r="I686" s="37">
        <v>16</v>
      </c>
      <c r="J686" s="36"/>
    </row>
    <row r="687" spans="1:10" x14ac:dyDescent="0.35">
      <c r="A687" s="36" t="s">
        <v>879</v>
      </c>
      <c r="B687" s="35">
        <v>45984</v>
      </c>
      <c r="C687" s="36" t="s">
        <v>190</v>
      </c>
      <c r="D687" s="36" t="s">
        <v>191</v>
      </c>
      <c r="E687" s="36" t="s">
        <v>130</v>
      </c>
      <c r="F687" s="36" t="s">
        <v>16</v>
      </c>
      <c r="G687" s="36" t="s">
        <v>10</v>
      </c>
      <c r="H687" s="36" t="s">
        <v>131</v>
      </c>
      <c r="I687" s="37">
        <v>10</v>
      </c>
      <c r="J687" s="36"/>
    </row>
    <row r="688" spans="1:10" x14ac:dyDescent="0.35">
      <c r="A688" s="36" t="s">
        <v>880</v>
      </c>
      <c r="B688" s="35">
        <v>45984</v>
      </c>
      <c r="C688" s="36" t="s">
        <v>190</v>
      </c>
      <c r="D688" s="36" t="s">
        <v>191</v>
      </c>
      <c r="E688" s="36" t="s">
        <v>54</v>
      </c>
      <c r="F688" s="36" t="s">
        <v>55</v>
      </c>
      <c r="G688" s="36" t="s">
        <v>53</v>
      </c>
      <c r="H688" s="36" t="s">
        <v>56</v>
      </c>
      <c r="I688" s="37">
        <v>21</v>
      </c>
      <c r="J688" s="36"/>
    </row>
    <row r="689" spans="1:10" x14ac:dyDescent="0.35">
      <c r="A689" s="36" t="s">
        <v>881</v>
      </c>
      <c r="B689" s="35">
        <v>45984</v>
      </c>
      <c r="C689" s="36" t="s">
        <v>190</v>
      </c>
      <c r="D689" s="36" t="s">
        <v>191</v>
      </c>
      <c r="E689" s="36" t="s">
        <v>40</v>
      </c>
      <c r="F689" s="36" t="s">
        <v>41</v>
      </c>
      <c r="G689" s="36" t="s">
        <v>31</v>
      </c>
      <c r="H689" s="36" t="s">
        <v>42</v>
      </c>
      <c r="I689" s="37">
        <v>13</v>
      </c>
      <c r="J689" s="36"/>
    </row>
    <row r="690" spans="1:10" x14ac:dyDescent="0.35">
      <c r="A690" s="36" t="s">
        <v>882</v>
      </c>
      <c r="B690" s="35">
        <v>45984</v>
      </c>
      <c r="C690" s="36" t="s">
        <v>298</v>
      </c>
      <c r="D690" s="36" t="s">
        <v>299</v>
      </c>
      <c r="E690" s="36" t="s">
        <v>29</v>
      </c>
      <c r="F690" s="36" t="s">
        <v>30</v>
      </c>
      <c r="G690" s="36" t="s">
        <v>31</v>
      </c>
      <c r="H690" s="36" t="s">
        <v>32</v>
      </c>
      <c r="I690" s="37">
        <v>3</v>
      </c>
      <c r="J690" s="36"/>
    </row>
    <row r="691" spans="1:10" x14ac:dyDescent="0.35">
      <c r="A691" s="36" t="s">
        <v>883</v>
      </c>
      <c r="B691" s="35">
        <v>45984</v>
      </c>
      <c r="C691" s="36" t="s">
        <v>298</v>
      </c>
      <c r="D691" s="36" t="s">
        <v>299</v>
      </c>
      <c r="E691" s="36" t="s">
        <v>146</v>
      </c>
      <c r="F691" s="36" t="s">
        <v>147</v>
      </c>
      <c r="G691" s="36" t="s">
        <v>8</v>
      </c>
      <c r="H691" s="36" t="s">
        <v>148</v>
      </c>
      <c r="I691" s="37">
        <v>2</v>
      </c>
      <c r="J691" s="36"/>
    </row>
    <row r="692" spans="1:10" x14ac:dyDescent="0.35">
      <c r="A692" s="36" t="s">
        <v>884</v>
      </c>
      <c r="B692" s="35">
        <v>45984</v>
      </c>
      <c r="C692" s="36" t="s">
        <v>298</v>
      </c>
      <c r="D692" s="36" t="s">
        <v>299</v>
      </c>
      <c r="E692" s="36" t="s">
        <v>67</v>
      </c>
      <c r="F692" s="36" t="s">
        <v>68</v>
      </c>
      <c r="G692" s="36" t="s">
        <v>66</v>
      </c>
      <c r="H692" s="36" t="s">
        <v>42</v>
      </c>
      <c r="I692" s="37">
        <v>5</v>
      </c>
      <c r="J692" s="36"/>
    </row>
    <row r="693" spans="1:10" x14ac:dyDescent="0.35">
      <c r="A693" s="36" t="s">
        <v>885</v>
      </c>
      <c r="B693" s="35">
        <v>45984</v>
      </c>
      <c r="C693" s="36" t="s">
        <v>298</v>
      </c>
      <c r="D693" s="36" t="s">
        <v>299</v>
      </c>
      <c r="E693" s="36" t="s">
        <v>97</v>
      </c>
      <c r="F693" s="36" t="s">
        <v>98</v>
      </c>
      <c r="G693" s="36" t="s">
        <v>93</v>
      </c>
      <c r="H693" s="36" t="s">
        <v>99</v>
      </c>
      <c r="I693" s="37">
        <v>2</v>
      </c>
      <c r="J693" s="36"/>
    </row>
    <row r="694" spans="1:10" x14ac:dyDescent="0.35">
      <c r="A694" s="36" t="s">
        <v>886</v>
      </c>
      <c r="B694" s="35">
        <v>45984</v>
      </c>
      <c r="C694" s="36" t="s">
        <v>298</v>
      </c>
      <c r="D694" s="36" t="s">
        <v>299</v>
      </c>
      <c r="E694" s="36" t="s">
        <v>132</v>
      </c>
      <c r="F694" s="36" t="s">
        <v>133</v>
      </c>
      <c r="G694" s="36" t="s">
        <v>10</v>
      </c>
      <c r="H694" s="36" t="s">
        <v>134</v>
      </c>
      <c r="I694" s="37">
        <v>2</v>
      </c>
      <c r="J694" s="36"/>
    </row>
    <row r="695" spans="1:10" x14ac:dyDescent="0.35">
      <c r="A695" s="36" t="s">
        <v>887</v>
      </c>
      <c r="B695" s="35">
        <v>45984</v>
      </c>
      <c r="C695" s="36" t="s">
        <v>210</v>
      </c>
      <c r="D695" s="36" t="s">
        <v>211</v>
      </c>
      <c r="E695" s="36" t="s">
        <v>114</v>
      </c>
      <c r="F695" s="36" t="s">
        <v>13</v>
      </c>
      <c r="G695" s="36" t="s">
        <v>14</v>
      </c>
      <c r="H695" s="36" t="s">
        <v>115</v>
      </c>
      <c r="I695" s="37">
        <v>4</v>
      </c>
      <c r="J695" s="36"/>
    </row>
    <row r="696" spans="1:10" x14ac:dyDescent="0.35">
      <c r="A696" s="36" t="s">
        <v>888</v>
      </c>
      <c r="B696" s="35">
        <v>45984</v>
      </c>
      <c r="C696" s="36" t="s">
        <v>210</v>
      </c>
      <c r="D696" s="36" t="s">
        <v>211</v>
      </c>
      <c r="E696" s="36" t="s">
        <v>137</v>
      </c>
      <c r="F696" s="36" t="s">
        <v>15</v>
      </c>
      <c r="G696" s="36" t="s">
        <v>6</v>
      </c>
      <c r="H696" s="36" t="s">
        <v>136</v>
      </c>
      <c r="I696" s="37">
        <v>6</v>
      </c>
      <c r="J696" s="36"/>
    </row>
    <row r="697" spans="1:10" x14ac:dyDescent="0.35">
      <c r="A697" s="36" t="s">
        <v>889</v>
      </c>
      <c r="B697" s="35">
        <v>45984</v>
      </c>
      <c r="C697" s="36" t="s">
        <v>210</v>
      </c>
      <c r="D697" s="36" t="s">
        <v>211</v>
      </c>
      <c r="E697" s="36" t="s">
        <v>88</v>
      </c>
      <c r="F697" s="36" t="s">
        <v>89</v>
      </c>
      <c r="G697" s="36" t="s">
        <v>74</v>
      </c>
      <c r="H697" s="36" t="s">
        <v>90</v>
      </c>
      <c r="I697" s="37">
        <v>11</v>
      </c>
      <c r="J697" s="36"/>
    </row>
    <row r="698" spans="1:10" x14ac:dyDescent="0.35">
      <c r="A698" s="36" t="s">
        <v>890</v>
      </c>
      <c r="B698" s="35">
        <v>45984</v>
      </c>
      <c r="C698" s="36" t="s">
        <v>210</v>
      </c>
      <c r="D698" s="36" t="s">
        <v>211</v>
      </c>
      <c r="E698" s="36" t="s">
        <v>94</v>
      </c>
      <c r="F698" s="36" t="s">
        <v>95</v>
      </c>
      <c r="G698" s="36" t="s">
        <v>93</v>
      </c>
      <c r="H698" s="36" t="s">
        <v>96</v>
      </c>
      <c r="I698" s="37">
        <v>6</v>
      </c>
      <c r="J698" s="36"/>
    </row>
    <row r="699" spans="1:10" x14ac:dyDescent="0.35">
      <c r="A699" s="36" t="s">
        <v>891</v>
      </c>
      <c r="B699" s="35">
        <v>45984</v>
      </c>
      <c r="C699" s="36" t="s">
        <v>210</v>
      </c>
      <c r="D699" s="36" t="s">
        <v>211</v>
      </c>
      <c r="E699" s="36" t="s">
        <v>61</v>
      </c>
      <c r="F699" s="36" t="s">
        <v>62</v>
      </c>
      <c r="G699" s="36" t="s">
        <v>53</v>
      </c>
      <c r="H699" s="36" t="s">
        <v>42</v>
      </c>
      <c r="I699" s="37">
        <v>9</v>
      </c>
      <c r="J699" s="36"/>
    </row>
    <row r="700" spans="1:10" x14ac:dyDescent="0.35">
      <c r="A700" s="36" t="s">
        <v>892</v>
      </c>
      <c r="B700" s="35">
        <v>45984</v>
      </c>
      <c r="C700" s="36" t="s">
        <v>210</v>
      </c>
      <c r="D700" s="36" t="s">
        <v>211</v>
      </c>
      <c r="E700" s="36" t="s">
        <v>117</v>
      </c>
      <c r="F700" s="36" t="s">
        <v>118</v>
      </c>
      <c r="G700" s="36" t="s">
        <v>14</v>
      </c>
      <c r="H700" s="36" t="s">
        <v>119</v>
      </c>
      <c r="I700" s="37">
        <v>2</v>
      </c>
      <c r="J700" s="36"/>
    </row>
    <row r="701" spans="1:10" x14ac:dyDescent="0.35">
      <c r="A701" s="36" t="s">
        <v>893</v>
      </c>
      <c r="B701" s="35">
        <v>45984</v>
      </c>
      <c r="C701" s="36" t="s">
        <v>210</v>
      </c>
      <c r="D701" s="36" t="s">
        <v>211</v>
      </c>
      <c r="E701" s="36" t="s">
        <v>106</v>
      </c>
      <c r="F701" s="36" t="s">
        <v>107</v>
      </c>
      <c r="G701" s="36" t="s">
        <v>102</v>
      </c>
      <c r="H701" s="36" t="s">
        <v>108</v>
      </c>
      <c r="I701" s="37">
        <v>9</v>
      </c>
      <c r="J701" s="36"/>
    </row>
    <row r="702" spans="1:10" x14ac:dyDescent="0.35">
      <c r="A702" s="36" t="s">
        <v>894</v>
      </c>
      <c r="B702" s="35">
        <v>45984</v>
      </c>
      <c r="C702" s="36" t="s">
        <v>210</v>
      </c>
      <c r="D702" s="36" t="s">
        <v>211</v>
      </c>
      <c r="E702" s="36" t="s">
        <v>67</v>
      </c>
      <c r="F702" s="36" t="s">
        <v>68</v>
      </c>
      <c r="G702" s="36" t="s">
        <v>66</v>
      </c>
      <c r="H702" s="36" t="s">
        <v>42</v>
      </c>
      <c r="I702" s="37">
        <v>7</v>
      </c>
      <c r="J702" s="36"/>
    </row>
    <row r="703" spans="1:10" x14ac:dyDescent="0.35">
      <c r="A703" s="36" t="s">
        <v>895</v>
      </c>
      <c r="B703" s="35">
        <v>45984</v>
      </c>
      <c r="C703" s="36" t="s">
        <v>210</v>
      </c>
      <c r="D703" s="36" t="s">
        <v>211</v>
      </c>
      <c r="E703" s="36" t="s">
        <v>104</v>
      </c>
      <c r="F703" s="36" t="s">
        <v>105</v>
      </c>
      <c r="G703" s="36" t="s">
        <v>102</v>
      </c>
      <c r="H703" s="36" t="s">
        <v>103</v>
      </c>
      <c r="I703" s="37">
        <v>6</v>
      </c>
      <c r="J703" s="36"/>
    </row>
    <row r="704" spans="1:10" x14ac:dyDescent="0.35">
      <c r="A704" s="36" t="s">
        <v>896</v>
      </c>
      <c r="B704" s="35">
        <v>45987</v>
      </c>
      <c r="C704" s="36" t="s">
        <v>298</v>
      </c>
      <c r="D704" s="36" t="s">
        <v>299</v>
      </c>
      <c r="E704" s="36" t="s">
        <v>94</v>
      </c>
      <c r="F704" s="36" t="s">
        <v>95</v>
      </c>
      <c r="G704" s="36" t="s">
        <v>93</v>
      </c>
      <c r="H704" s="36" t="s">
        <v>96</v>
      </c>
      <c r="I704" s="37">
        <v>2</v>
      </c>
      <c r="J704" s="36"/>
    </row>
    <row r="705" spans="1:10" x14ac:dyDescent="0.35">
      <c r="A705" s="36" t="s">
        <v>897</v>
      </c>
      <c r="B705" s="35">
        <v>45987</v>
      </c>
      <c r="C705" s="36" t="s">
        <v>298</v>
      </c>
      <c r="D705" s="36" t="s">
        <v>299</v>
      </c>
      <c r="E705" s="36" t="s">
        <v>128</v>
      </c>
      <c r="F705" s="36" t="s">
        <v>9</v>
      </c>
      <c r="G705" s="36" t="s">
        <v>10</v>
      </c>
      <c r="H705" s="36" t="s">
        <v>129</v>
      </c>
      <c r="I705" s="37">
        <v>2</v>
      </c>
      <c r="J705" s="36"/>
    </row>
    <row r="706" spans="1:10" x14ac:dyDescent="0.35">
      <c r="A706" s="36" t="s">
        <v>898</v>
      </c>
      <c r="B706" s="35">
        <v>45987</v>
      </c>
      <c r="C706" s="36" t="s">
        <v>298</v>
      </c>
      <c r="D706" s="36" t="s">
        <v>299</v>
      </c>
      <c r="E706" s="36" t="s">
        <v>157</v>
      </c>
      <c r="F706" s="36" t="s">
        <v>158</v>
      </c>
      <c r="G706" s="36" t="s">
        <v>159</v>
      </c>
      <c r="H706" s="36" t="s">
        <v>160</v>
      </c>
      <c r="I706" s="37">
        <v>2</v>
      </c>
      <c r="J706" s="36"/>
    </row>
    <row r="707" spans="1:10" x14ac:dyDescent="0.35">
      <c r="A707" s="36" t="s">
        <v>899</v>
      </c>
      <c r="B707" s="35">
        <v>45987</v>
      </c>
      <c r="C707" s="36" t="s">
        <v>298</v>
      </c>
      <c r="D707" s="36" t="s">
        <v>299</v>
      </c>
      <c r="E707" s="36" t="s">
        <v>76</v>
      </c>
      <c r="F707" s="36" t="s">
        <v>77</v>
      </c>
      <c r="G707" s="36" t="s">
        <v>74</v>
      </c>
      <c r="H707" s="36" t="s">
        <v>75</v>
      </c>
      <c r="I707" s="37">
        <v>2</v>
      </c>
      <c r="J707" s="36"/>
    </row>
    <row r="708" spans="1:10" x14ac:dyDescent="0.35">
      <c r="A708" s="36" t="s">
        <v>900</v>
      </c>
      <c r="B708" s="35">
        <v>45987</v>
      </c>
      <c r="C708" s="36" t="s">
        <v>298</v>
      </c>
      <c r="D708" s="36" t="s">
        <v>299</v>
      </c>
      <c r="E708" s="36" t="s">
        <v>91</v>
      </c>
      <c r="F708" s="36" t="s">
        <v>92</v>
      </c>
      <c r="G708" s="36" t="s">
        <v>93</v>
      </c>
      <c r="H708" s="36" t="s">
        <v>85</v>
      </c>
      <c r="I708" s="37">
        <v>4</v>
      </c>
      <c r="J708" s="36"/>
    </row>
    <row r="709" spans="1:10" x14ac:dyDescent="0.35">
      <c r="A709" s="36" t="s">
        <v>901</v>
      </c>
      <c r="B709" s="35">
        <v>45987</v>
      </c>
      <c r="C709" s="36" t="s">
        <v>298</v>
      </c>
      <c r="D709" s="36" t="s">
        <v>299</v>
      </c>
      <c r="E709" s="36" t="s">
        <v>34</v>
      </c>
      <c r="F709" s="36" t="s">
        <v>35</v>
      </c>
      <c r="G709" s="36" t="s">
        <v>31</v>
      </c>
      <c r="H709" s="36" t="s">
        <v>36</v>
      </c>
      <c r="I709" s="37">
        <v>4</v>
      </c>
      <c r="J709" s="36"/>
    </row>
    <row r="710" spans="1:10" x14ac:dyDescent="0.35">
      <c r="A710" s="36" t="s">
        <v>902</v>
      </c>
      <c r="B710" s="35">
        <v>45987</v>
      </c>
      <c r="C710" s="36" t="s">
        <v>298</v>
      </c>
      <c r="D710" s="36" t="s">
        <v>299</v>
      </c>
      <c r="E710" s="36" t="s">
        <v>104</v>
      </c>
      <c r="F710" s="36" t="s">
        <v>105</v>
      </c>
      <c r="G710" s="36" t="s">
        <v>102</v>
      </c>
      <c r="H710" s="36" t="s">
        <v>103</v>
      </c>
      <c r="I710" s="37">
        <v>6</v>
      </c>
      <c r="J710" s="36"/>
    </row>
    <row r="711" spans="1:10" x14ac:dyDescent="0.35">
      <c r="A711" s="36" t="s">
        <v>903</v>
      </c>
      <c r="B711" s="35">
        <v>45987</v>
      </c>
      <c r="C711" s="36" t="s">
        <v>298</v>
      </c>
      <c r="D711" s="36" t="s">
        <v>299</v>
      </c>
      <c r="E711" s="36" t="s">
        <v>51</v>
      </c>
      <c r="F711" s="36" t="s">
        <v>52</v>
      </c>
      <c r="G711" s="36" t="s">
        <v>53</v>
      </c>
      <c r="H711" s="36" t="s">
        <v>42</v>
      </c>
      <c r="I711" s="37">
        <v>8</v>
      </c>
      <c r="J711" s="36"/>
    </row>
    <row r="712" spans="1:10" x14ac:dyDescent="0.35">
      <c r="A712" s="36" t="s">
        <v>904</v>
      </c>
      <c r="B712" s="35">
        <v>45987</v>
      </c>
      <c r="C712" s="36" t="s">
        <v>298</v>
      </c>
      <c r="D712" s="36" t="s">
        <v>299</v>
      </c>
      <c r="E712" s="36" t="s">
        <v>151</v>
      </c>
      <c r="F712" s="36" t="s">
        <v>152</v>
      </c>
      <c r="G712" s="36" t="s">
        <v>8</v>
      </c>
      <c r="H712" s="36" t="s">
        <v>143</v>
      </c>
      <c r="I712" s="37">
        <v>3</v>
      </c>
      <c r="J712" s="36"/>
    </row>
    <row r="713" spans="1:10" x14ac:dyDescent="0.35">
      <c r="A713" s="36" t="s">
        <v>905</v>
      </c>
      <c r="B713" s="35">
        <v>45987</v>
      </c>
      <c r="C713" s="36" t="s">
        <v>298</v>
      </c>
      <c r="D713" s="36" t="s">
        <v>299</v>
      </c>
      <c r="E713" s="36" t="s">
        <v>135</v>
      </c>
      <c r="F713" s="36" t="s">
        <v>5</v>
      </c>
      <c r="G713" s="36" t="s">
        <v>6</v>
      </c>
      <c r="H713" s="36" t="s">
        <v>136</v>
      </c>
      <c r="I713" s="37">
        <v>4</v>
      </c>
      <c r="J713" s="36"/>
    </row>
    <row r="714" spans="1:10" x14ac:dyDescent="0.35">
      <c r="A714" s="36" t="s">
        <v>906</v>
      </c>
      <c r="B714" s="35">
        <v>45987</v>
      </c>
      <c r="C714" s="36" t="s">
        <v>238</v>
      </c>
      <c r="D714" s="36" t="s">
        <v>239</v>
      </c>
      <c r="E714" s="36" t="s">
        <v>137</v>
      </c>
      <c r="F714" s="36" t="s">
        <v>15</v>
      </c>
      <c r="G714" s="36" t="s">
        <v>6</v>
      </c>
      <c r="H714" s="36" t="s">
        <v>136</v>
      </c>
      <c r="I714" s="37">
        <v>5</v>
      </c>
      <c r="J714" s="36"/>
    </row>
    <row r="715" spans="1:10" x14ac:dyDescent="0.35">
      <c r="A715" s="36" t="s">
        <v>907</v>
      </c>
      <c r="B715" s="35">
        <v>45987</v>
      </c>
      <c r="C715" s="36" t="s">
        <v>238</v>
      </c>
      <c r="D715" s="36" t="s">
        <v>239</v>
      </c>
      <c r="E715" s="36" t="s">
        <v>81</v>
      </c>
      <c r="F715" s="36" t="s">
        <v>82</v>
      </c>
      <c r="G715" s="36" t="s">
        <v>74</v>
      </c>
      <c r="H715" s="36" t="s">
        <v>80</v>
      </c>
      <c r="I715" s="37">
        <v>6</v>
      </c>
      <c r="J715" s="36"/>
    </row>
    <row r="716" spans="1:10" x14ac:dyDescent="0.35">
      <c r="A716" s="36" t="s">
        <v>908</v>
      </c>
      <c r="B716" s="35">
        <v>45987</v>
      </c>
      <c r="C716" s="36" t="s">
        <v>238</v>
      </c>
      <c r="D716" s="36" t="s">
        <v>239</v>
      </c>
      <c r="E716" s="36" t="s">
        <v>111</v>
      </c>
      <c r="F716" s="36" t="s">
        <v>112</v>
      </c>
      <c r="G716" s="36" t="s">
        <v>102</v>
      </c>
      <c r="H716" s="36" t="s">
        <v>113</v>
      </c>
      <c r="I716" s="37">
        <v>4</v>
      </c>
      <c r="J716" s="36"/>
    </row>
    <row r="717" spans="1:10" x14ac:dyDescent="0.35">
      <c r="A717" s="36" t="s">
        <v>909</v>
      </c>
      <c r="B717" s="35">
        <v>45987</v>
      </c>
      <c r="C717" s="36" t="s">
        <v>238</v>
      </c>
      <c r="D717" s="36" t="s">
        <v>239</v>
      </c>
      <c r="E717" s="36" t="s">
        <v>138</v>
      </c>
      <c r="F717" s="36" t="s">
        <v>139</v>
      </c>
      <c r="G717" s="36" t="s">
        <v>6</v>
      </c>
      <c r="H717" s="36" t="s">
        <v>140</v>
      </c>
      <c r="I717" s="37">
        <v>4</v>
      </c>
      <c r="J717" s="36"/>
    </row>
    <row r="718" spans="1:10" x14ac:dyDescent="0.35">
      <c r="A718" s="36" t="s">
        <v>910</v>
      </c>
      <c r="B718" s="35">
        <v>45987</v>
      </c>
      <c r="C718" s="36" t="s">
        <v>238</v>
      </c>
      <c r="D718" s="36" t="s">
        <v>239</v>
      </c>
      <c r="E718" s="36" t="s">
        <v>57</v>
      </c>
      <c r="F718" s="36" t="s">
        <v>58</v>
      </c>
      <c r="G718" s="36" t="s">
        <v>53</v>
      </c>
      <c r="H718" s="36" t="s">
        <v>42</v>
      </c>
      <c r="I718" s="37">
        <v>6</v>
      </c>
      <c r="J718" s="36"/>
    </row>
    <row r="719" spans="1:10" x14ac:dyDescent="0.35">
      <c r="A719" s="36" t="s">
        <v>911</v>
      </c>
      <c r="B719" s="35">
        <v>45987</v>
      </c>
      <c r="C719" s="36" t="s">
        <v>238</v>
      </c>
      <c r="D719" s="36" t="s">
        <v>239</v>
      </c>
      <c r="E719" s="36" t="s">
        <v>59</v>
      </c>
      <c r="F719" s="36" t="s">
        <v>60</v>
      </c>
      <c r="G719" s="36" t="s">
        <v>53</v>
      </c>
      <c r="H719" s="36" t="s">
        <v>56</v>
      </c>
      <c r="I719" s="37">
        <v>6</v>
      </c>
      <c r="J719" s="36"/>
    </row>
    <row r="720" spans="1:10" x14ac:dyDescent="0.35">
      <c r="A720" s="36" t="s">
        <v>912</v>
      </c>
      <c r="B720" s="35">
        <v>45987</v>
      </c>
      <c r="C720" s="36" t="s">
        <v>238</v>
      </c>
      <c r="D720" s="36" t="s">
        <v>239</v>
      </c>
      <c r="E720" s="36" t="s">
        <v>153</v>
      </c>
      <c r="F720" s="36" t="s">
        <v>154</v>
      </c>
      <c r="G720" s="36" t="s">
        <v>12</v>
      </c>
      <c r="H720" s="36" t="s">
        <v>155</v>
      </c>
      <c r="I720" s="37">
        <v>2</v>
      </c>
      <c r="J720" s="36"/>
    </row>
    <row r="721" spans="1:10" x14ac:dyDescent="0.35">
      <c r="A721" s="36" t="s">
        <v>913</v>
      </c>
      <c r="B721" s="35">
        <v>45987</v>
      </c>
      <c r="C721" s="36" t="s">
        <v>238</v>
      </c>
      <c r="D721" s="36" t="s">
        <v>239</v>
      </c>
      <c r="E721" s="36" t="s">
        <v>88</v>
      </c>
      <c r="F721" s="36" t="s">
        <v>89</v>
      </c>
      <c r="G721" s="36" t="s">
        <v>74</v>
      </c>
      <c r="H721" s="36" t="s">
        <v>90</v>
      </c>
      <c r="I721" s="37">
        <v>4</v>
      </c>
      <c r="J721" s="36"/>
    </row>
    <row r="722" spans="1:10" x14ac:dyDescent="0.35">
      <c r="A722" s="36" t="s">
        <v>914</v>
      </c>
      <c r="B722" s="35">
        <v>45987</v>
      </c>
      <c r="C722" s="36" t="s">
        <v>238</v>
      </c>
      <c r="D722" s="36" t="s">
        <v>239</v>
      </c>
      <c r="E722" s="36" t="s">
        <v>104</v>
      </c>
      <c r="F722" s="36" t="s">
        <v>105</v>
      </c>
      <c r="G722" s="36" t="s">
        <v>102</v>
      </c>
      <c r="H722" s="36" t="s">
        <v>103</v>
      </c>
      <c r="I722" s="37">
        <v>8</v>
      </c>
      <c r="J722" s="36"/>
    </row>
    <row r="723" spans="1:10" x14ac:dyDescent="0.35">
      <c r="A723" s="36" t="s">
        <v>915</v>
      </c>
      <c r="B723" s="35">
        <v>45987</v>
      </c>
      <c r="C723" s="36" t="s">
        <v>238</v>
      </c>
      <c r="D723" s="36" t="s">
        <v>239</v>
      </c>
      <c r="E723" s="36" t="s">
        <v>146</v>
      </c>
      <c r="F723" s="36" t="s">
        <v>147</v>
      </c>
      <c r="G723" s="36" t="s">
        <v>8</v>
      </c>
      <c r="H723" s="36" t="s">
        <v>148</v>
      </c>
      <c r="I723" s="37">
        <v>2</v>
      </c>
      <c r="J723" s="36"/>
    </row>
    <row r="724" spans="1:10" x14ac:dyDescent="0.35">
      <c r="A724" s="36" t="s">
        <v>916</v>
      </c>
      <c r="B724" s="35">
        <v>45987</v>
      </c>
      <c r="C724" s="36" t="s">
        <v>238</v>
      </c>
      <c r="D724" s="36" t="s">
        <v>239</v>
      </c>
      <c r="E724" s="36" t="s">
        <v>161</v>
      </c>
      <c r="F724" s="36" t="s">
        <v>162</v>
      </c>
      <c r="G724" s="36" t="s">
        <v>159</v>
      </c>
      <c r="H724" s="36" t="s">
        <v>163</v>
      </c>
      <c r="I724" s="37">
        <v>3</v>
      </c>
      <c r="J724" s="36"/>
    </row>
    <row r="725" spans="1:10" x14ac:dyDescent="0.35">
      <c r="A725" s="36" t="s">
        <v>917</v>
      </c>
      <c r="B725" s="35">
        <v>45993</v>
      </c>
      <c r="C725" s="36" t="s">
        <v>210</v>
      </c>
      <c r="D725" s="36" t="s">
        <v>211</v>
      </c>
      <c r="E725" s="36" t="s">
        <v>64</v>
      </c>
      <c r="F725" s="36" t="s">
        <v>65</v>
      </c>
      <c r="G725" s="36" t="s">
        <v>66</v>
      </c>
      <c r="H725" s="36" t="s">
        <v>42</v>
      </c>
      <c r="I725" s="37">
        <v>9</v>
      </c>
      <c r="J725" s="36"/>
    </row>
    <row r="726" spans="1:10" x14ac:dyDescent="0.35">
      <c r="A726" s="36" t="s">
        <v>918</v>
      </c>
      <c r="B726" s="35">
        <v>45993</v>
      </c>
      <c r="C726" s="36" t="s">
        <v>210</v>
      </c>
      <c r="D726" s="36" t="s">
        <v>211</v>
      </c>
      <c r="E726" s="36" t="s">
        <v>57</v>
      </c>
      <c r="F726" s="36" t="s">
        <v>58</v>
      </c>
      <c r="G726" s="36" t="s">
        <v>53</v>
      </c>
      <c r="H726" s="36" t="s">
        <v>42</v>
      </c>
      <c r="I726" s="37">
        <v>11</v>
      </c>
      <c r="J726" s="36"/>
    </row>
    <row r="727" spans="1:10" x14ac:dyDescent="0.35">
      <c r="A727" s="36" t="s">
        <v>919</v>
      </c>
      <c r="B727" s="35">
        <v>45993</v>
      </c>
      <c r="C727" s="36" t="s">
        <v>210</v>
      </c>
      <c r="D727" s="36" t="s">
        <v>211</v>
      </c>
      <c r="E727" s="36" t="s">
        <v>156</v>
      </c>
      <c r="F727" s="36" t="s">
        <v>11</v>
      </c>
      <c r="G727" s="36" t="s">
        <v>12</v>
      </c>
      <c r="H727" s="36" t="s">
        <v>155</v>
      </c>
      <c r="I727" s="37">
        <v>4</v>
      </c>
      <c r="J727" s="36"/>
    </row>
    <row r="728" spans="1:10" x14ac:dyDescent="0.35">
      <c r="A728" s="36" t="s">
        <v>920</v>
      </c>
      <c r="B728" s="35">
        <v>45993</v>
      </c>
      <c r="C728" s="36" t="s">
        <v>210</v>
      </c>
      <c r="D728" s="36" t="s">
        <v>211</v>
      </c>
      <c r="E728" s="36" t="s">
        <v>157</v>
      </c>
      <c r="F728" s="36" t="s">
        <v>158</v>
      </c>
      <c r="G728" s="36" t="s">
        <v>159</v>
      </c>
      <c r="H728" s="36" t="s">
        <v>160</v>
      </c>
      <c r="I728" s="37">
        <v>3</v>
      </c>
      <c r="J728" s="36"/>
    </row>
    <row r="729" spans="1:10" x14ac:dyDescent="0.35">
      <c r="A729" s="36" t="s">
        <v>921</v>
      </c>
      <c r="B729" s="35">
        <v>45993</v>
      </c>
      <c r="C729" s="36" t="s">
        <v>210</v>
      </c>
      <c r="D729" s="36" t="s">
        <v>211</v>
      </c>
      <c r="E729" s="36" t="s">
        <v>114</v>
      </c>
      <c r="F729" s="36" t="s">
        <v>13</v>
      </c>
      <c r="G729" s="36" t="s">
        <v>14</v>
      </c>
      <c r="H729" s="36" t="s">
        <v>115</v>
      </c>
      <c r="I729" s="37">
        <v>4</v>
      </c>
      <c r="J729" s="36"/>
    </row>
    <row r="730" spans="1:10" x14ac:dyDescent="0.35">
      <c r="A730" s="36" t="s">
        <v>922</v>
      </c>
      <c r="B730" s="35">
        <v>45993</v>
      </c>
      <c r="C730" s="36" t="s">
        <v>210</v>
      </c>
      <c r="D730" s="36" t="s">
        <v>211</v>
      </c>
      <c r="E730" s="36" t="s">
        <v>29</v>
      </c>
      <c r="F730" s="36" t="s">
        <v>30</v>
      </c>
      <c r="G730" s="36" t="s">
        <v>31</v>
      </c>
      <c r="H730" s="36" t="s">
        <v>32</v>
      </c>
      <c r="I730" s="37">
        <v>7</v>
      </c>
      <c r="J730" s="36"/>
    </row>
    <row r="731" spans="1:10" x14ac:dyDescent="0.35">
      <c r="A731" s="36" t="s">
        <v>923</v>
      </c>
      <c r="B731" s="35">
        <v>45993</v>
      </c>
      <c r="C731" s="36" t="s">
        <v>210</v>
      </c>
      <c r="D731" s="36" t="s">
        <v>211</v>
      </c>
      <c r="E731" s="36" t="s">
        <v>61</v>
      </c>
      <c r="F731" s="36" t="s">
        <v>62</v>
      </c>
      <c r="G731" s="36" t="s">
        <v>53</v>
      </c>
      <c r="H731" s="36" t="s">
        <v>42</v>
      </c>
      <c r="I731" s="37">
        <v>9</v>
      </c>
      <c r="J731" s="36"/>
    </row>
    <row r="732" spans="1:10" x14ac:dyDescent="0.35">
      <c r="A732" s="36" t="s">
        <v>924</v>
      </c>
      <c r="B732" s="35">
        <v>45993</v>
      </c>
      <c r="C732" s="36" t="s">
        <v>210</v>
      </c>
      <c r="D732" s="36" t="s">
        <v>211</v>
      </c>
      <c r="E732" s="36" t="s">
        <v>104</v>
      </c>
      <c r="F732" s="36" t="s">
        <v>105</v>
      </c>
      <c r="G732" s="36" t="s">
        <v>102</v>
      </c>
      <c r="H732" s="36" t="s">
        <v>103</v>
      </c>
      <c r="I732" s="37">
        <v>6</v>
      </c>
      <c r="J732" s="36"/>
    </row>
    <row r="733" spans="1:10" x14ac:dyDescent="0.35">
      <c r="A733" s="36" t="s">
        <v>925</v>
      </c>
      <c r="B733" s="35">
        <v>45993</v>
      </c>
      <c r="C733" s="36" t="s">
        <v>210</v>
      </c>
      <c r="D733" s="36" t="s">
        <v>211</v>
      </c>
      <c r="E733" s="36" t="s">
        <v>117</v>
      </c>
      <c r="F733" s="36" t="s">
        <v>118</v>
      </c>
      <c r="G733" s="36" t="s">
        <v>14</v>
      </c>
      <c r="H733" s="36" t="s">
        <v>119</v>
      </c>
      <c r="I733" s="37">
        <v>2</v>
      </c>
      <c r="J733" s="36"/>
    </row>
    <row r="734" spans="1:10" x14ac:dyDescent="0.35">
      <c r="A734" s="36" t="s">
        <v>926</v>
      </c>
      <c r="B734" s="35">
        <v>45993</v>
      </c>
      <c r="C734" s="36" t="s">
        <v>210</v>
      </c>
      <c r="D734" s="36" t="s">
        <v>211</v>
      </c>
      <c r="E734" s="36" t="s">
        <v>54</v>
      </c>
      <c r="F734" s="36" t="s">
        <v>55</v>
      </c>
      <c r="G734" s="36" t="s">
        <v>53</v>
      </c>
      <c r="H734" s="36" t="s">
        <v>56</v>
      </c>
      <c r="I734" s="37">
        <v>10</v>
      </c>
      <c r="J734" s="36"/>
    </row>
    <row r="735" spans="1:10" x14ac:dyDescent="0.35">
      <c r="A735" s="36" t="s">
        <v>927</v>
      </c>
      <c r="B735" s="35">
        <v>45993</v>
      </c>
      <c r="C735" s="36" t="s">
        <v>210</v>
      </c>
      <c r="D735" s="36" t="s">
        <v>211</v>
      </c>
      <c r="E735" s="36" t="s">
        <v>122</v>
      </c>
      <c r="F735" s="36" t="s">
        <v>123</v>
      </c>
      <c r="G735" s="36" t="s">
        <v>14</v>
      </c>
      <c r="H735" s="36" t="s">
        <v>124</v>
      </c>
      <c r="I735" s="37">
        <v>4</v>
      </c>
      <c r="J735" s="36"/>
    </row>
    <row r="736" spans="1:10" x14ac:dyDescent="0.35">
      <c r="A736" s="36" t="s">
        <v>928</v>
      </c>
      <c r="B736" s="35">
        <v>45993</v>
      </c>
      <c r="C736" s="36" t="s">
        <v>210</v>
      </c>
      <c r="D736" s="36" t="s">
        <v>211</v>
      </c>
      <c r="E736" s="36" t="s">
        <v>61</v>
      </c>
      <c r="F736" s="36" t="s">
        <v>62</v>
      </c>
      <c r="G736" s="36" t="s">
        <v>53</v>
      </c>
      <c r="H736" s="36" t="s">
        <v>42</v>
      </c>
      <c r="I736" s="37">
        <v>18</v>
      </c>
      <c r="J736" s="36"/>
    </row>
    <row r="737" spans="1:10" x14ac:dyDescent="0.35">
      <c r="A737" s="36" t="s">
        <v>929</v>
      </c>
      <c r="B737" s="35">
        <v>45993</v>
      </c>
      <c r="C737" s="36" t="s">
        <v>210</v>
      </c>
      <c r="D737" s="36" t="s">
        <v>211</v>
      </c>
      <c r="E737" s="36" t="s">
        <v>34</v>
      </c>
      <c r="F737" s="36" t="s">
        <v>35</v>
      </c>
      <c r="G737" s="36" t="s">
        <v>31</v>
      </c>
      <c r="H737" s="36" t="s">
        <v>36</v>
      </c>
      <c r="I737" s="37">
        <v>13</v>
      </c>
      <c r="J737" s="36"/>
    </row>
    <row r="738" spans="1:10" x14ac:dyDescent="0.35">
      <c r="A738" s="36" t="s">
        <v>930</v>
      </c>
      <c r="B738" s="35">
        <v>45993</v>
      </c>
      <c r="C738" s="36" t="s">
        <v>210</v>
      </c>
      <c r="D738" s="36" t="s">
        <v>211</v>
      </c>
      <c r="E738" s="36" t="s">
        <v>54</v>
      </c>
      <c r="F738" s="36" t="s">
        <v>55</v>
      </c>
      <c r="G738" s="36" t="s">
        <v>53</v>
      </c>
      <c r="H738" s="36" t="s">
        <v>56</v>
      </c>
      <c r="I738" s="37">
        <v>8</v>
      </c>
      <c r="J738" s="36"/>
    </row>
    <row r="739" spans="1:10" x14ac:dyDescent="0.35">
      <c r="A739" s="36" t="s">
        <v>931</v>
      </c>
      <c r="B739" s="35">
        <v>45993</v>
      </c>
      <c r="C739" s="36" t="s">
        <v>210</v>
      </c>
      <c r="D739" s="36" t="s">
        <v>211</v>
      </c>
      <c r="E739" s="36" t="s">
        <v>153</v>
      </c>
      <c r="F739" s="36" t="s">
        <v>154</v>
      </c>
      <c r="G739" s="36" t="s">
        <v>12</v>
      </c>
      <c r="H739" s="36" t="s">
        <v>155</v>
      </c>
      <c r="I739" s="37">
        <v>3</v>
      </c>
      <c r="J739" s="36"/>
    </row>
    <row r="740" spans="1:10" x14ac:dyDescent="0.35">
      <c r="A740" s="36" t="s">
        <v>932</v>
      </c>
      <c r="B740" s="35">
        <v>45993</v>
      </c>
      <c r="C740" s="36" t="s">
        <v>210</v>
      </c>
      <c r="D740" s="36" t="s">
        <v>211</v>
      </c>
      <c r="E740" s="36" t="s">
        <v>72</v>
      </c>
      <c r="F740" s="36" t="s">
        <v>73</v>
      </c>
      <c r="G740" s="36" t="s">
        <v>74</v>
      </c>
      <c r="H740" s="36" t="s">
        <v>75</v>
      </c>
      <c r="I740" s="37">
        <v>5</v>
      </c>
      <c r="J740" s="36"/>
    </row>
    <row r="741" spans="1:10" x14ac:dyDescent="0.35">
      <c r="A741" s="36" t="s">
        <v>933</v>
      </c>
      <c r="B741" s="35">
        <v>45993</v>
      </c>
      <c r="C741" s="36" t="s">
        <v>210</v>
      </c>
      <c r="D741" s="36" t="s">
        <v>211</v>
      </c>
      <c r="E741" s="36" t="s">
        <v>144</v>
      </c>
      <c r="F741" s="36" t="s">
        <v>7</v>
      </c>
      <c r="G741" s="36" t="s">
        <v>8</v>
      </c>
      <c r="H741" s="36" t="s">
        <v>145</v>
      </c>
      <c r="I741" s="37">
        <v>3</v>
      </c>
      <c r="J741" s="36"/>
    </row>
    <row r="742" spans="1:10" x14ac:dyDescent="0.35">
      <c r="A742" s="36" t="s">
        <v>934</v>
      </c>
      <c r="B742" s="35">
        <v>45993</v>
      </c>
      <c r="C742" s="36" t="s">
        <v>210</v>
      </c>
      <c r="D742" s="36" t="s">
        <v>211</v>
      </c>
      <c r="E742" s="36" t="s">
        <v>76</v>
      </c>
      <c r="F742" s="36" t="s">
        <v>77</v>
      </c>
      <c r="G742" s="36" t="s">
        <v>74</v>
      </c>
      <c r="H742" s="36" t="s">
        <v>75</v>
      </c>
      <c r="I742" s="37">
        <v>11</v>
      </c>
      <c r="J742" s="36"/>
    </row>
    <row r="743" spans="1:10" x14ac:dyDescent="0.35">
      <c r="A743" s="36" t="s">
        <v>935</v>
      </c>
      <c r="B743" s="35">
        <v>45993</v>
      </c>
      <c r="C743" s="36" t="s">
        <v>238</v>
      </c>
      <c r="D743" s="36" t="s">
        <v>239</v>
      </c>
      <c r="E743" s="36" t="s">
        <v>34</v>
      </c>
      <c r="F743" s="36" t="s">
        <v>35</v>
      </c>
      <c r="G743" s="36" t="s">
        <v>31</v>
      </c>
      <c r="H743" s="36" t="s">
        <v>36</v>
      </c>
      <c r="I743" s="37">
        <v>11</v>
      </c>
      <c r="J743" s="36"/>
    </row>
    <row r="744" spans="1:10" x14ac:dyDescent="0.35">
      <c r="A744" s="36" t="s">
        <v>936</v>
      </c>
      <c r="B744" s="35">
        <v>45993</v>
      </c>
      <c r="C744" s="36" t="s">
        <v>238</v>
      </c>
      <c r="D744" s="36" t="s">
        <v>239</v>
      </c>
      <c r="E744" s="36" t="s">
        <v>161</v>
      </c>
      <c r="F744" s="36" t="s">
        <v>162</v>
      </c>
      <c r="G744" s="36" t="s">
        <v>159</v>
      </c>
      <c r="H744" s="36" t="s">
        <v>163</v>
      </c>
      <c r="I744" s="37">
        <v>2</v>
      </c>
      <c r="J744" s="36"/>
    </row>
    <row r="745" spans="1:10" x14ac:dyDescent="0.35">
      <c r="A745" s="36" t="s">
        <v>937</v>
      </c>
      <c r="B745" s="35">
        <v>45993</v>
      </c>
      <c r="C745" s="36" t="s">
        <v>238</v>
      </c>
      <c r="D745" s="36" t="s">
        <v>239</v>
      </c>
      <c r="E745" s="36" t="s">
        <v>100</v>
      </c>
      <c r="F745" s="36" t="s">
        <v>101</v>
      </c>
      <c r="G745" s="36" t="s">
        <v>102</v>
      </c>
      <c r="H745" s="36" t="s">
        <v>103</v>
      </c>
      <c r="I745" s="37">
        <v>8</v>
      </c>
      <c r="J745" s="36"/>
    </row>
    <row r="746" spans="1:10" x14ac:dyDescent="0.35">
      <c r="A746" s="36" t="s">
        <v>938</v>
      </c>
      <c r="B746" s="35">
        <v>45993</v>
      </c>
      <c r="C746" s="36" t="s">
        <v>238</v>
      </c>
      <c r="D746" s="36" t="s">
        <v>239</v>
      </c>
      <c r="E746" s="36" t="s">
        <v>122</v>
      </c>
      <c r="F746" s="36" t="s">
        <v>123</v>
      </c>
      <c r="G746" s="36" t="s">
        <v>14</v>
      </c>
      <c r="H746" s="36" t="s">
        <v>124</v>
      </c>
      <c r="I746" s="37">
        <v>1</v>
      </c>
      <c r="J746" s="36"/>
    </row>
    <row r="747" spans="1:10" x14ac:dyDescent="0.35">
      <c r="A747" s="36" t="s">
        <v>939</v>
      </c>
      <c r="B747" s="35">
        <v>45993</v>
      </c>
      <c r="C747" s="36" t="s">
        <v>238</v>
      </c>
      <c r="D747" s="36" t="s">
        <v>239</v>
      </c>
      <c r="E747" s="36" t="s">
        <v>157</v>
      </c>
      <c r="F747" s="36" t="s">
        <v>158</v>
      </c>
      <c r="G747" s="36" t="s">
        <v>159</v>
      </c>
      <c r="H747" s="36" t="s">
        <v>160</v>
      </c>
      <c r="I747" s="37">
        <v>4</v>
      </c>
      <c r="J747" s="36"/>
    </row>
    <row r="748" spans="1:10" x14ac:dyDescent="0.35">
      <c r="A748" s="36" t="s">
        <v>940</v>
      </c>
      <c r="B748" s="35">
        <v>45995</v>
      </c>
      <c r="C748" s="36" t="s">
        <v>210</v>
      </c>
      <c r="D748" s="36" t="s">
        <v>211</v>
      </c>
      <c r="E748" s="36" t="s">
        <v>91</v>
      </c>
      <c r="F748" s="36" t="s">
        <v>92</v>
      </c>
      <c r="G748" s="36" t="s">
        <v>93</v>
      </c>
      <c r="H748" s="36" t="s">
        <v>85</v>
      </c>
      <c r="I748" s="37">
        <v>6</v>
      </c>
      <c r="J748" s="36"/>
    </row>
    <row r="749" spans="1:10" x14ac:dyDescent="0.35">
      <c r="A749" s="36" t="s">
        <v>941</v>
      </c>
      <c r="B749" s="35">
        <v>45995</v>
      </c>
      <c r="C749" s="36" t="s">
        <v>210</v>
      </c>
      <c r="D749" s="36" t="s">
        <v>211</v>
      </c>
      <c r="E749" s="36" t="s">
        <v>114</v>
      </c>
      <c r="F749" s="36" t="s">
        <v>13</v>
      </c>
      <c r="G749" s="36" t="s">
        <v>14</v>
      </c>
      <c r="H749" s="36" t="s">
        <v>115</v>
      </c>
      <c r="I749" s="37">
        <v>3</v>
      </c>
      <c r="J749" s="36"/>
    </row>
    <row r="750" spans="1:10" x14ac:dyDescent="0.35">
      <c r="A750" s="36" t="s">
        <v>942</v>
      </c>
      <c r="B750" s="35">
        <v>45995</v>
      </c>
      <c r="C750" s="36" t="s">
        <v>210</v>
      </c>
      <c r="D750" s="36" t="s">
        <v>211</v>
      </c>
      <c r="E750" s="36" t="s">
        <v>125</v>
      </c>
      <c r="F750" s="36" t="s">
        <v>126</v>
      </c>
      <c r="G750" s="36" t="s">
        <v>14</v>
      </c>
      <c r="H750" s="36" t="s">
        <v>127</v>
      </c>
      <c r="I750" s="37">
        <v>2</v>
      </c>
      <c r="J750" s="36"/>
    </row>
    <row r="751" spans="1:10" x14ac:dyDescent="0.35">
      <c r="A751" s="36" t="s">
        <v>943</v>
      </c>
      <c r="B751" s="35">
        <v>45995</v>
      </c>
      <c r="C751" s="36" t="s">
        <v>210</v>
      </c>
      <c r="D751" s="36" t="s">
        <v>211</v>
      </c>
      <c r="E751" s="36" t="s">
        <v>69</v>
      </c>
      <c r="F751" s="36" t="s">
        <v>70</v>
      </c>
      <c r="G751" s="36" t="s">
        <v>66</v>
      </c>
      <c r="H751" s="36" t="s">
        <v>71</v>
      </c>
      <c r="I751" s="37">
        <v>12</v>
      </c>
      <c r="J751" s="36"/>
    </row>
    <row r="752" spans="1:10" x14ac:dyDescent="0.35">
      <c r="A752" s="36" t="s">
        <v>944</v>
      </c>
      <c r="B752" s="35">
        <v>45995</v>
      </c>
      <c r="C752" s="36" t="s">
        <v>210</v>
      </c>
      <c r="D752" s="36" t="s">
        <v>211</v>
      </c>
      <c r="E752" s="36" t="s">
        <v>46</v>
      </c>
      <c r="F752" s="36" t="s">
        <v>47</v>
      </c>
      <c r="G752" s="36" t="s">
        <v>31</v>
      </c>
      <c r="H752" s="36" t="s">
        <v>42</v>
      </c>
      <c r="I752" s="37">
        <v>14</v>
      </c>
      <c r="J752" s="36"/>
    </row>
    <row r="753" spans="1:10" x14ac:dyDescent="0.35">
      <c r="A753" s="36" t="s">
        <v>945</v>
      </c>
      <c r="B753" s="35">
        <v>45995</v>
      </c>
      <c r="C753" s="36" t="s">
        <v>210</v>
      </c>
      <c r="D753" s="36" t="s">
        <v>211</v>
      </c>
      <c r="E753" s="36" t="s">
        <v>109</v>
      </c>
      <c r="F753" s="36" t="s">
        <v>110</v>
      </c>
      <c r="G753" s="36" t="s">
        <v>102</v>
      </c>
      <c r="H753" s="36" t="s">
        <v>42</v>
      </c>
      <c r="I753" s="37">
        <v>7</v>
      </c>
      <c r="J753" s="36"/>
    </row>
    <row r="754" spans="1:10" x14ac:dyDescent="0.35">
      <c r="A754" s="36" t="s">
        <v>946</v>
      </c>
      <c r="B754" s="35">
        <v>45995</v>
      </c>
      <c r="C754" s="36" t="s">
        <v>210</v>
      </c>
      <c r="D754" s="36" t="s">
        <v>211</v>
      </c>
      <c r="E754" s="36" t="s">
        <v>83</v>
      </c>
      <c r="F754" s="36" t="s">
        <v>84</v>
      </c>
      <c r="G754" s="36" t="s">
        <v>74</v>
      </c>
      <c r="H754" s="36" t="s">
        <v>85</v>
      </c>
      <c r="I754" s="37">
        <v>8</v>
      </c>
      <c r="J754" s="36"/>
    </row>
    <row r="755" spans="1:10" x14ac:dyDescent="0.35">
      <c r="A755" s="36" t="s">
        <v>947</v>
      </c>
      <c r="B755" s="35">
        <v>45995</v>
      </c>
      <c r="C755" s="36" t="s">
        <v>210</v>
      </c>
      <c r="D755" s="36" t="s">
        <v>211</v>
      </c>
      <c r="E755" s="36" t="s">
        <v>94</v>
      </c>
      <c r="F755" s="36" t="s">
        <v>95</v>
      </c>
      <c r="G755" s="36" t="s">
        <v>93</v>
      </c>
      <c r="H755" s="36" t="s">
        <v>96</v>
      </c>
      <c r="I755" s="37">
        <v>4</v>
      </c>
      <c r="J755" s="36"/>
    </row>
    <row r="756" spans="1:10" x14ac:dyDescent="0.35">
      <c r="A756" s="36" t="s">
        <v>948</v>
      </c>
      <c r="B756" s="35">
        <v>45995</v>
      </c>
      <c r="C756" s="36" t="s">
        <v>210</v>
      </c>
      <c r="D756" s="36" t="s">
        <v>211</v>
      </c>
      <c r="E756" s="36" t="s">
        <v>104</v>
      </c>
      <c r="F756" s="36" t="s">
        <v>105</v>
      </c>
      <c r="G756" s="36" t="s">
        <v>102</v>
      </c>
      <c r="H756" s="36" t="s">
        <v>103</v>
      </c>
      <c r="I756" s="37">
        <v>12</v>
      </c>
      <c r="J756" s="36"/>
    </row>
    <row r="757" spans="1:10" x14ac:dyDescent="0.35">
      <c r="A757" s="36" t="s">
        <v>949</v>
      </c>
      <c r="B757" s="35">
        <v>45995</v>
      </c>
      <c r="C757" s="36" t="s">
        <v>298</v>
      </c>
      <c r="D757" s="36" t="s">
        <v>299</v>
      </c>
      <c r="E757" s="36" t="s">
        <v>83</v>
      </c>
      <c r="F757" s="36" t="s">
        <v>84</v>
      </c>
      <c r="G757" s="36" t="s">
        <v>74</v>
      </c>
      <c r="H757" s="36" t="s">
        <v>85</v>
      </c>
      <c r="I757" s="37">
        <v>3</v>
      </c>
      <c r="J757" s="36"/>
    </row>
    <row r="758" spans="1:10" x14ac:dyDescent="0.35">
      <c r="A758" s="36" t="s">
        <v>950</v>
      </c>
      <c r="B758" s="35">
        <v>45995</v>
      </c>
      <c r="C758" s="36" t="s">
        <v>298</v>
      </c>
      <c r="D758" s="36" t="s">
        <v>299</v>
      </c>
      <c r="E758" s="36" t="s">
        <v>29</v>
      </c>
      <c r="F758" s="36" t="s">
        <v>30</v>
      </c>
      <c r="G758" s="36" t="s">
        <v>31</v>
      </c>
      <c r="H758" s="36" t="s">
        <v>32</v>
      </c>
      <c r="I758" s="37">
        <v>4</v>
      </c>
      <c r="J758" s="36"/>
    </row>
    <row r="759" spans="1:10" x14ac:dyDescent="0.35">
      <c r="A759" s="36" t="s">
        <v>951</v>
      </c>
      <c r="B759" s="35">
        <v>45995</v>
      </c>
      <c r="C759" s="36" t="s">
        <v>298</v>
      </c>
      <c r="D759" s="36" t="s">
        <v>299</v>
      </c>
      <c r="E759" s="36" t="s">
        <v>106</v>
      </c>
      <c r="F759" s="36" t="s">
        <v>107</v>
      </c>
      <c r="G759" s="36" t="s">
        <v>102</v>
      </c>
      <c r="H759" s="36" t="s">
        <v>108</v>
      </c>
      <c r="I759" s="37">
        <v>6</v>
      </c>
      <c r="J759" s="36"/>
    </row>
    <row r="760" spans="1:10" x14ac:dyDescent="0.35">
      <c r="A760" s="36" t="s">
        <v>952</v>
      </c>
      <c r="B760" s="35">
        <v>45995</v>
      </c>
      <c r="C760" s="36" t="s">
        <v>298</v>
      </c>
      <c r="D760" s="36" t="s">
        <v>299</v>
      </c>
      <c r="E760" s="36" t="s">
        <v>81</v>
      </c>
      <c r="F760" s="36" t="s">
        <v>82</v>
      </c>
      <c r="G760" s="36" t="s">
        <v>74</v>
      </c>
      <c r="H760" s="36" t="s">
        <v>80</v>
      </c>
      <c r="I760" s="37">
        <v>3</v>
      </c>
      <c r="J760" s="36"/>
    </row>
    <row r="761" spans="1:10" x14ac:dyDescent="0.35">
      <c r="A761" s="36" t="s">
        <v>953</v>
      </c>
      <c r="B761" s="35">
        <v>45995</v>
      </c>
      <c r="C761" s="36" t="s">
        <v>298</v>
      </c>
      <c r="D761" s="36" t="s">
        <v>299</v>
      </c>
      <c r="E761" s="36" t="s">
        <v>135</v>
      </c>
      <c r="F761" s="36" t="s">
        <v>5</v>
      </c>
      <c r="G761" s="36" t="s">
        <v>6</v>
      </c>
      <c r="H761" s="36" t="s">
        <v>136</v>
      </c>
      <c r="I761" s="37">
        <v>4</v>
      </c>
      <c r="J761" s="36"/>
    </row>
    <row r="762" spans="1:10" x14ac:dyDescent="0.35">
      <c r="A762" s="36" t="s">
        <v>954</v>
      </c>
      <c r="B762" s="35">
        <v>45995</v>
      </c>
      <c r="C762" s="36" t="s">
        <v>298</v>
      </c>
      <c r="D762" s="36" t="s">
        <v>299</v>
      </c>
      <c r="E762" s="36" t="s">
        <v>69</v>
      </c>
      <c r="F762" s="36" t="s">
        <v>70</v>
      </c>
      <c r="G762" s="36" t="s">
        <v>66</v>
      </c>
      <c r="H762" s="36" t="s">
        <v>71</v>
      </c>
      <c r="I762" s="37">
        <v>3</v>
      </c>
      <c r="J762" s="36"/>
    </row>
    <row r="763" spans="1:10" x14ac:dyDescent="0.35">
      <c r="A763" s="36" t="s">
        <v>955</v>
      </c>
      <c r="B763" s="35">
        <v>45995</v>
      </c>
      <c r="C763" s="36" t="s">
        <v>298</v>
      </c>
      <c r="D763" s="36" t="s">
        <v>299</v>
      </c>
      <c r="E763" s="36" t="s">
        <v>157</v>
      </c>
      <c r="F763" s="36" t="s">
        <v>158</v>
      </c>
      <c r="G763" s="36" t="s">
        <v>159</v>
      </c>
      <c r="H763" s="36" t="s">
        <v>160</v>
      </c>
      <c r="I763" s="37">
        <v>1</v>
      </c>
      <c r="J763" s="36"/>
    </row>
    <row r="764" spans="1:10" x14ac:dyDescent="0.35">
      <c r="A764" s="36" t="s">
        <v>956</v>
      </c>
      <c r="B764" s="35">
        <v>45995</v>
      </c>
      <c r="C764" s="36" t="s">
        <v>298</v>
      </c>
      <c r="D764" s="36" t="s">
        <v>299</v>
      </c>
      <c r="E764" s="36" t="s">
        <v>128</v>
      </c>
      <c r="F764" s="36" t="s">
        <v>9</v>
      </c>
      <c r="G764" s="36" t="s">
        <v>10</v>
      </c>
      <c r="H764" s="36" t="s">
        <v>129</v>
      </c>
      <c r="I764" s="37">
        <v>2</v>
      </c>
      <c r="J764" s="36"/>
    </row>
    <row r="765" spans="1:10" x14ac:dyDescent="0.35">
      <c r="A765" s="36" t="s">
        <v>957</v>
      </c>
      <c r="B765" s="35">
        <v>45995</v>
      </c>
      <c r="C765" s="36" t="s">
        <v>298</v>
      </c>
      <c r="D765" s="36" t="s">
        <v>299</v>
      </c>
      <c r="E765" s="36" t="s">
        <v>94</v>
      </c>
      <c r="F765" s="36" t="s">
        <v>95</v>
      </c>
      <c r="G765" s="36" t="s">
        <v>93</v>
      </c>
      <c r="H765" s="36" t="s">
        <v>96</v>
      </c>
      <c r="I765" s="37">
        <v>3</v>
      </c>
      <c r="J765" s="36"/>
    </row>
    <row r="766" spans="1:10" x14ac:dyDescent="0.35">
      <c r="A766" s="36" t="s">
        <v>958</v>
      </c>
      <c r="B766" s="35">
        <v>45995</v>
      </c>
      <c r="C766" s="36" t="s">
        <v>298</v>
      </c>
      <c r="D766" s="36" t="s">
        <v>299</v>
      </c>
      <c r="E766" s="36" t="s">
        <v>64</v>
      </c>
      <c r="F766" s="36" t="s">
        <v>65</v>
      </c>
      <c r="G766" s="36" t="s">
        <v>66</v>
      </c>
      <c r="H766" s="36" t="s">
        <v>42</v>
      </c>
      <c r="I766" s="37">
        <v>5</v>
      </c>
      <c r="J766" s="36"/>
    </row>
    <row r="767" spans="1:10" x14ac:dyDescent="0.35">
      <c r="A767" s="36" t="s">
        <v>959</v>
      </c>
      <c r="B767" s="35">
        <v>45995</v>
      </c>
      <c r="C767" s="36" t="s">
        <v>298</v>
      </c>
      <c r="D767" s="36" t="s">
        <v>299</v>
      </c>
      <c r="E767" s="36" t="s">
        <v>104</v>
      </c>
      <c r="F767" s="36" t="s">
        <v>105</v>
      </c>
      <c r="G767" s="36" t="s">
        <v>102</v>
      </c>
      <c r="H767" s="36" t="s">
        <v>103</v>
      </c>
      <c r="I767" s="37">
        <v>5</v>
      </c>
      <c r="J767" s="36"/>
    </row>
    <row r="768" spans="1:10" x14ac:dyDescent="0.35">
      <c r="A768" s="36" t="s">
        <v>960</v>
      </c>
      <c r="B768" s="35">
        <v>45995</v>
      </c>
      <c r="C768" s="36" t="s">
        <v>298</v>
      </c>
      <c r="D768" s="36" t="s">
        <v>299</v>
      </c>
      <c r="E768" s="36" t="s">
        <v>144</v>
      </c>
      <c r="F768" s="36" t="s">
        <v>7</v>
      </c>
      <c r="G768" s="36" t="s">
        <v>8</v>
      </c>
      <c r="H768" s="36" t="s">
        <v>145</v>
      </c>
      <c r="I768" s="37">
        <v>3</v>
      </c>
      <c r="J768" s="36"/>
    </row>
    <row r="769" spans="1:10" x14ac:dyDescent="0.35">
      <c r="A769" s="36" t="s">
        <v>961</v>
      </c>
      <c r="B769" s="35">
        <v>45996</v>
      </c>
      <c r="C769" s="36" t="s">
        <v>238</v>
      </c>
      <c r="D769" s="36" t="s">
        <v>239</v>
      </c>
      <c r="E769" s="36" t="s">
        <v>109</v>
      </c>
      <c r="F769" s="36" t="s">
        <v>110</v>
      </c>
      <c r="G769" s="36" t="s">
        <v>102</v>
      </c>
      <c r="H769" s="36" t="s">
        <v>42</v>
      </c>
      <c r="I769" s="37">
        <v>9</v>
      </c>
      <c r="J769" s="36"/>
    </row>
    <row r="770" spans="1:10" x14ac:dyDescent="0.35">
      <c r="A770" s="36" t="s">
        <v>962</v>
      </c>
      <c r="B770" s="35">
        <v>45996</v>
      </c>
      <c r="C770" s="36" t="s">
        <v>238</v>
      </c>
      <c r="D770" s="36" t="s">
        <v>239</v>
      </c>
      <c r="E770" s="36" t="s">
        <v>138</v>
      </c>
      <c r="F770" s="36" t="s">
        <v>139</v>
      </c>
      <c r="G770" s="36" t="s">
        <v>6</v>
      </c>
      <c r="H770" s="36" t="s">
        <v>140</v>
      </c>
      <c r="I770" s="37">
        <v>4</v>
      </c>
      <c r="J770" s="36"/>
    </row>
    <row r="771" spans="1:10" x14ac:dyDescent="0.35">
      <c r="A771" s="36" t="s">
        <v>963</v>
      </c>
      <c r="B771" s="35">
        <v>45996</v>
      </c>
      <c r="C771" s="36" t="s">
        <v>238</v>
      </c>
      <c r="D771" s="36" t="s">
        <v>239</v>
      </c>
      <c r="E771" s="36" t="s">
        <v>54</v>
      </c>
      <c r="F771" s="36" t="s">
        <v>55</v>
      </c>
      <c r="G771" s="36" t="s">
        <v>53</v>
      </c>
      <c r="H771" s="36" t="s">
        <v>56</v>
      </c>
      <c r="I771" s="37">
        <v>7</v>
      </c>
      <c r="J771" s="36"/>
    </row>
    <row r="772" spans="1:10" x14ac:dyDescent="0.35">
      <c r="A772" s="36" t="s">
        <v>964</v>
      </c>
      <c r="B772" s="35">
        <v>45996</v>
      </c>
      <c r="C772" s="36" t="s">
        <v>238</v>
      </c>
      <c r="D772" s="36" t="s">
        <v>239</v>
      </c>
      <c r="E772" s="36" t="s">
        <v>156</v>
      </c>
      <c r="F772" s="36" t="s">
        <v>11</v>
      </c>
      <c r="G772" s="36" t="s">
        <v>12</v>
      </c>
      <c r="H772" s="36" t="s">
        <v>155</v>
      </c>
      <c r="I772" s="37">
        <v>4</v>
      </c>
      <c r="J772" s="36"/>
    </row>
    <row r="773" spans="1:10" x14ac:dyDescent="0.35">
      <c r="A773" s="36" t="s">
        <v>965</v>
      </c>
      <c r="B773" s="35">
        <v>45996</v>
      </c>
      <c r="C773" s="36" t="s">
        <v>238</v>
      </c>
      <c r="D773" s="36" t="s">
        <v>239</v>
      </c>
      <c r="E773" s="36" t="s">
        <v>122</v>
      </c>
      <c r="F773" s="36" t="s">
        <v>123</v>
      </c>
      <c r="G773" s="36" t="s">
        <v>14</v>
      </c>
      <c r="H773" s="36" t="s">
        <v>124</v>
      </c>
      <c r="I773" s="37">
        <v>1</v>
      </c>
      <c r="J773" s="36"/>
    </row>
    <row r="774" spans="1:10" x14ac:dyDescent="0.35">
      <c r="A774" s="36" t="s">
        <v>966</v>
      </c>
      <c r="B774" s="35">
        <v>45996</v>
      </c>
      <c r="C774" s="36" t="s">
        <v>238</v>
      </c>
      <c r="D774" s="36" t="s">
        <v>239</v>
      </c>
      <c r="E774" s="36" t="s">
        <v>59</v>
      </c>
      <c r="F774" s="36" t="s">
        <v>60</v>
      </c>
      <c r="G774" s="36" t="s">
        <v>53</v>
      </c>
      <c r="H774" s="36" t="s">
        <v>56</v>
      </c>
      <c r="I774" s="37">
        <v>6</v>
      </c>
      <c r="J774" s="36"/>
    </row>
    <row r="775" spans="1:10" x14ac:dyDescent="0.35">
      <c r="A775" s="36" t="s">
        <v>967</v>
      </c>
      <c r="B775" s="35">
        <v>45996</v>
      </c>
      <c r="C775" s="36" t="s">
        <v>238</v>
      </c>
      <c r="D775" s="36" t="s">
        <v>239</v>
      </c>
      <c r="E775" s="36" t="s">
        <v>34</v>
      </c>
      <c r="F775" s="36" t="s">
        <v>35</v>
      </c>
      <c r="G775" s="36" t="s">
        <v>31</v>
      </c>
      <c r="H775" s="36" t="s">
        <v>36</v>
      </c>
      <c r="I775" s="37">
        <v>7</v>
      </c>
      <c r="J775" s="36"/>
    </row>
    <row r="776" spans="1:10" x14ac:dyDescent="0.35">
      <c r="A776" s="36" t="s">
        <v>968</v>
      </c>
      <c r="B776" s="35">
        <v>45996</v>
      </c>
      <c r="C776" s="36" t="s">
        <v>238</v>
      </c>
      <c r="D776" s="36" t="s">
        <v>239</v>
      </c>
      <c r="E776" s="36" t="s">
        <v>37</v>
      </c>
      <c r="F776" s="36" t="s">
        <v>38</v>
      </c>
      <c r="G776" s="36" t="s">
        <v>31</v>
      </c>
      <c r="H776" s="36" t="s">
        <v>39</v>
      </c>
      <c r="I776" s="37">
        <v>11</v>
      </c>
      <c r="J776" s="36"/>
    </row>
    <row r="777" spans="1:10" x14ac:dyDescent="0.35">
      <c r="A777" s="36" t="s">
        <v>969</v>
      </c>
      <c r="B777" s="35">
        <v>45996</v>
      </c>
      <c r="C777" s="36" t="s">
        <v>238</v>
      </c>
      <c r="D777" s="36" t="s">
        <v>239</v>
      </c>
      <c r="E777" s="36" t="s">
        <v>91</v>
      </c>
      <c r="F777" s="36" t="s">
        <v>92</v>
      </c>
      <c r="G777" s="36" t="s">
        <v>93</v>
      </c>
      <c r="H777" s="36" t="s">
        <v>85</v>
      </c>
      <c r="I777" s="37">
        <v>5</v>
      </c>
      <c r="J777" s="36"/>
    </row>
    <row r="778" spans="1:10" x14ac:dyDescent="0.35">
      <c r="A778" s="36" t="s">
        <v>970</v>
      </c>
      <c r="B778" s="35">
        <v>45996</v>
      </c>
      <c r="C778" s="36" t="s">
        <v>298</v>
      </c>
      <c r="D778" s="36" t="s">
        <v>299</v>
      </c>
      <c r="E778" s="36" t="s">
        <v>43</v>
      </c>
      <c r="F778" s="36" t="s">
        <v>44</v>
      </c>
      <c r="G778" s="36" t="s">
        <v>31</v>
      </c>
      <c r="H778" s="36" t="s">
        <v>42</v>
      </c>
      <c r="I778" s="37">
        <v>5</v>
      </c>
      <c r="J778" s="36"/>
    </row>
    <row r="779" spans="1:10" x14ac:dyDescent="0.35">
      <c r="A779" s="36" t="s">
        <v>971</v>
      </c>
      <c r="B779" s="35">
        <v>45996</v>
      </c>
      <c r="C779" s="36" t="s">
        <v>298</v>
      </c>
      <c r="D779" s="36" t="s">
        <v>299</v>
      </c>
      <c r="E779" s="36" t="s">
        <v>61</v>
      </c>
      <c r="F779" s="36" t="s">
        <v>62</v>
      </c>
      <c r="G779" s="36" t="s">
        <v>53</v>
      </c>
      <c r="H779" s="36" t="s">
        <v>42</v>
      </c>
      <c r="I779" s="37">
        <v>9</v>
      </c>
      <c r="J779" s="36"/>
    </row>
    <row r="780" spans="1:10" x14ac:dyDescent="0.35">
      <c r="A780" s="36" t="s">
        <v>972</v>
      </c>
      <c r="B780" s="35">
        <v>45996</v>
      </c>
      <c r="C780" s="36" t="s">
        <v>298</v>
      </c>
      <c r="D780" s="36" t="s">
        <v>299</v>
      </c>
      <c r="E780" s="36" t="s">
        <v>54</v>
      </c>
      <c r="F780" s="36" t="s">
        <v>55</v>
      </c>
      <c r="G780" s="36" t="s">
        <v>53</v>
      </c>
      <c r="H780" s="36" t="s">
        <v>56</v>
      </c>
      <c r="I780" s="37">
        <v>8</v>
      </c>
      <c r="J780" s="36"/>
    </row>
    <row r="781" spans="1:10" x14ac:dyDescent="0.35">
      <c r="A781" s="36" t="s">
        <v>973</v>
      </c>
      <c r="B781" s="35">
        <v>45996</v>
      </c>
      <c r="C781" s="36" t="s">
        <v>298</v>
      </c>
      <c r="D781" s="36" t="s">
        <v>299</v>
      </c>
      <c r="E781" s="36" t="s">
        <v>81</v>
      </c>
      <c r="F781" s="36" t="s">
        <v>82</v>
      </c>
      <c r="G781" s="36" t="s">
        <v>74</v>
      </c>
      <c r="H781" s="36" t="s">
        <v>80</v>
      </c>
      <c r="I781" s="37">
        <v>2</v>
      </c>
      <c r="J781" s="36"/>
    </row>
    <row r="782" spans="1:10" x14ac:dyDescent="0.35">
      <c r="A782" s="36" t="s">
        <v>974</v>
      </c>
      <c r="B782" s="35">
        <v>45996</v>
      </c>
      <c r="C782" s="36" t="s">
        <v>298</v>
      </c>
      <c r="D782" s="36" t="s">
        <v>299</v>
      </c>
      <c r="E782" s="36" t="s">
        <v>51</v>
      </c>
      <c r="F782" s="36" t="s">
        <v>52</v>
      </c>
      <c r="G782" s="36" t="s">
        <v>53</v>
      </c>
      <c r="H782" s="36" t="s">
        <v>42</v>
      </c>
      <c r="I782" s="37">
        <v>5</v>
      </c>
      <c r="J782" s="36"/>
    </row>
    <row r="783" spans="1:10" x14ac:dyDescent="0.35">
      <c r="A783" s="36" t="s">
        <v>975</v>
      </c>
      <c r="B783" s="35">
        <v>45996</v>
      </c>
      <c r="C783" s="36" t="s">
        <v>298</v>
      </c>
      <c r="D783" s="36" t="s">
        <v>299</v>
      </c>
      <c r="E783" s="36" t="s">
        <v>138</v>
      </c>
      <c r="F783" s="36" t="s">
        <v>139</v>
      </c>
      <c r="G783" s="36" t="s">
        <v>6</v>
      </c>
      <c r="H783" s="36" t="s">
        <v>140</v>
      </c>
      <c r="I783" s="37">
        <v>5</v>
      </c>
      <c r="J783" s="36"/>
    </row>
    <row r="784" spans="1:10" x14ac:dyDescent="0.35">
      <c r="A784" s="36" t="s">
        <v>976</v>
      </c>
      <c r="B784" s="35">
        <v>45996</v>
      </c>
      <c r="C784" s="36" t="s">
        <v>298</v>
      </c>
      <c r="D784" s="36" t="s">
        <v>299</v>
      </c>
      <c r="E784" s="36" t="s">
        <v>111</v>
      </c>
      <c r="F784" s="36" t="s">
        <v>112</v>
      </c>
      <c r="G784" s="36" t="s">
        <v>102</v>
      </c>
      <c r="H784" s="36" t="s">
        <v>113</v>
      </c>
      <c r="I784" s="37">
        <v>3</v>
      </c>
      <c r="J784" s="36"/>
    </row>
    <row r="785" spans="1:10" x14ac:dyDescent="0.35">
      <c r="A785" s="36" t="s">
        <v>977</v>
      </c>
      <c r="B785" s="35">
        <v>45996</v>
      </c>
      <c r="C785" s="36" t="s">
        <v>298</v>
      </c>
      <c r="D785" s="36" t="s">
        <v>299</v>
      </c>
      <c r="E785" s="36" t="s">
        <v>137</v>
      </c>
      <c r="F785" s="36" t="s">
        <v>15</v>
      </c>
      <c r="G785" s="36" t="s">
        <v>6</v>
      </c>
      <c r="H785" s="36" t="s">
        <v>136</v>
      </c>
      <c r="I785" s="37">
        <v>5</v>
      </c>
      <c r="J785" s="36"/>
    </row>
    <row r="786" spans="1:10" x14ac:dyDescent="0.35">
      <c r="A786" s="36" t="s">
        <v>978</v>
      </c>
      <c r="B786" s="35">
        <v>45996</v>
      </c>
      <c r="C786" s="36" t="s">
        <v>238</v>
      </c>
      <c r="D786" s="36" t="s">
        <v>239</v>
      </c>
      <c r="E786" s="36" t="s">
        <v>78</v>
      </c>
      <c r="F786" s="36" t="s">
        <v>79</v>
      </c>
      <c r="G786" s="36" t="s">
        <v>74</v>
      </c>
      <c r="H786" s="36" t="s">
        <v>80</v>
      </c>
      <c r="I786" s="37">
        <v>5</v>
      </c>
      <c r="J786" s="36"/>
    </row>
    <row r="787" spans="1:10" x14ac:dyDescent="0.35">
      <c r="A787" s="36" t="s">
        <v>979</v>
      </c>
      <c r="B787" s="35">
        <v>45996</v>
      </c>
      <c r="C787" s="36" t="s">
        <v>238</v>
      </c>
      <c r="D787" s="36" t="s">
        <v>239</v>
      </c>
      <c r="E787" s="36" t="s">
        <v>54</v>
      </c>
      <c r="F787" s="36" t="s">
        <v>55</v>
      </c>
      <c r="G787" s="36" t="s">
        <v>53</v>
      </c>
      <c r="H787" s="36" t="s">
        <v>56</v>
      </c>
      <c r="I787" s="37">
        <v>6</v>
      </c>
      <c r="J787" s="36"/>
    </row>
    <row r="788" spans="1:10" x14ac:dyDescent="0.35">
      <c r="A788" s="36" t="s">
        <v>980</v>
      </c>
      <c r="B788" s="35">
        <v>45996</v>
      </c>
      <c r="C788" s="36" t="s">
        <v>238</v>
      </c>
      <c r="D788" s="36" t="s">
        <v>239</v>
      </c>
      <c r="E788" s="36" t="s">
        <v>151</v>
      </c>
      <c r="F788" s="36" t="s">
        <v>152</v>
      </c>
      <c r="G788" s="36" t="s">
        <v>8</v>
      </c>
      <c r="H788" s="36" t="s">
        <v>143</v>
      </c>
      <c r="I788" s="37">
        <v>2</v>
      </c>
      <c r="J788" s="36"/>
    </row>
    <row r="789" spans="1:10" x14ac:dyDescent="0.35">
      <c r="A789" s="36" t="s">
        <v>981</v>
      </c>
      <c r="B789" s="35">
        <v>45996</v>
      </c>
      <c r="C789" s="36" t="s">
        <v>238</v>
      </c>
      <c r="D789" s="36" t="s">
        <v>239</v>
      </c>
      <c r="E789" s="36" t="s">
        <v>109</v>
      </c>
      <c r="F789" s="36" t="s">
        <v>110</v>
      </c>
      <c r="G789" s="36" t="s">
        <v>102</v>
      </c>
      <c r="H789" s="36" t="s">
        <v>42</v>
      </c>
      <c r="I789" s="37">
        <v>9</v>
      </c>
      <c r="J789" s="36"/>
    </row>
    <row r="790" spans="1:10" x14ac:dyDescent="0.35">
      <c r="A790" s="36" t="s">
        <v>982</v>
      </c>
      <c r="B790" s="35">
        <v>45996</v>
      </c>
      <c r="C790" s="36" t="s">
        <v>238</v>
      </c>
      <c r="D790" s="36" t="s">
        <v>239</v>
      </c>
      <c r="E790" s="36" t="s">
        <v>29</v>
      </c>
      <c r="F790" s="36" t="s">
        <v>30</v>
      </c>
      <c r="G790" s="36" t="s">
        <v>31</v>
      </c>
      <c r="H790" s="36" t="s">
        <v>32</v>
      </c>
      <c r="I790" s="37">
        <v>11</v>
      </c>
      <c r="J790" s="36"/>
    </row>
    <row r="791" spans="1:10" x14ac:dyDescent="0.35">
      <c r="A791" s="36" t="s">
        <v>983</v>
      </c>
      <c r="B791" s="35">
        <v>45996</v>
      </c>
      <c r="C791" s="36" t="s">
        <v>238</v>
      </c>
      <c r="D791" s="36" t="s">
        <v>239</v>
      </c>
      <c r="E791" s="36" t="s">
        <v>69</v>
      </c>
      <c r="F791" s="36" t="s">
        <v>70</v>
      </c>
      <c r="G791" s="36" t="s">
        <v>66</v>
      </c>
      <c r="H791" s="36" t="s">
        <v>71</v>
      </c>
      <c r="I791" s="37">
        <v>4</v>
      </c>
      <c r="J791" s="36"/>
    </row>
    <row r="792" spans="1:10" x14ac:dyDescent="0.35">
      <c r="A792" s="36" t="s">
        <v>984</v>
      </c>
      <c r="B792" s="35">
        <v>45996</v>
      </c>
      <c r="C792" s="36" t="s">
        <v>238</v>
      </c>
      <c r="D792" s="36" t="s">
        <v>239</v>
      </c>
      <c r="E792" s="36" t="s">
        <v>46</v>
      </c>
      <c r="F792" s="36" t="s">
        <v>47</v>
      </c>
      <c r="G792" s="36" t="s">
        <v>31</v>
      </c>
      <c r="H792" s="36" t="s">
        <v>42</v>
      </c>
      <c r="I792" s="37">
        <v>10</v>
      </c>
      <c r="J792" s="36"/>
    </row>
    <row r="793" spans="1:10" x14ac:dyDescent="0.35">
      <c r="A793" s="36" t="s">
        <v>985</v>
      </c>
      <c r="B793" s="35">
        <v>45996</v>
      </c>
      <c r="C793" s="36" t="s">
        <v>238</v>
      </c>
      <c r="D793" s="36" t="s">
        <v>239</v>
      </c>
      <c r="E793" s="36" t="s">
        <v>57</v>
      </c>
      <c r="F793" s="36" t="s">
        <v>58</v>
      </c>
      <c r="G793" s="36" t="s">
        <v>53</v>
      </c>
      <c r="H793" s="36" t="s">
        <v>42</v>
      </c>
      <c r="I793" s="37">
        <v>6</v>
      </c>
      <c r="J793" s="36"/>
    </row>
    <row r="794" spans="1:10" x14ac:dyDescent="0.35">
      <c r="A794" s="36" t="s">
        <v>986</v>
      </c>
      <c r="B794" s="35">
        <v>45996</v>
      </c>
      <c r="C794" s="36" t="s">
        <v>238</v>
      </c>
      <c r="D794" s="36" t="s">
        <v>239</v>
      </c>
      <c r="E794" s="36" t="s">
        <v>156</v>
      </c>
      <c r="F794" s="36" t="s">
        <v>11</v>
      </c>
      <c r="G794" s="36" t="s">
        <v>12</v>
      </c>
      <c r="H794" s="36" t="s">
        <v>155</v>
      </c>
      <c r="I794" s="37">
        <v>4</v>
      </c>
      <c r="J794" s="36"/>
    </row>
    <row r="795" spans="1:10" x14ac:dyDescent="0.35">
      <c r="A795" s="36" t="s">
        <v>987</v>
      </c>
      <c r="B795" s="35">
        <v>46001</v>
      </c>
      <c r="C795" s="36" t="s">
        <v>210</v>
      </c>
      <c r="D795" s="36" t="s">
        <v>211</v>
      </c>
      <c r="E795" s="36" t="s">
        <v>61</v>
      </c>
      <c r="F795" s="36" t="s">
        <v>62</v>
      </c>
      <c r="G795" s="36" t="s">
        <v>53</v>
      </c>
      <c r="H795" s="36" t="s">
        <v>42</v>
      </c>
      <c r="I795" s="37">
        <v>13</v>
      </c>
      <c r="J795" s="36"/>
    </row>
    <row r="796" spans="1:10" x14ac:dyDescent="0.35">
      <c r="A796" s="36" t="s">
        <v>988</v>
      </c>
      <c r="B796" s="35">
        <v>46001</v>
      </c>
      <c r="C796" s="36" t="s">
        <v>210</v>
      </c>
      <c r="D796" s="36" t="s">
        <v>211</v>
      </c>
      <c r="E796" s="36" t="s">
        <v>64</v>
      </c>
      <c r="F796" s="36" t="s">
        <v>65</v>
      </c>
      <c r="G796" s="36" t="s">
        <v>66</v>
      </c>
      <c r="H796" s="36" t="s">
        <v>42</v>
      </c>
      <c r="I796" s="37">
        <v>11</v>
      </c>
      <c r="J796" s="36"/>
    </row>
    <row r="797" spans="1:10" x14ac:dyDescent="0.35">
      <c r="A797" s="36" t="s">
        <v>989</v>
      </c>
      <c r="B797" s="35">
        <v>46001</v>
      </c>
      <c r="C797" s="36" t="s">
        <v>210</v>
      </c>
      <c r="D797" s="36" t="s">
        <v>211</v>
      </c>
      <c r="E797" s="36" t="s">
        <v>76</v>
      </c>
      <c r="F797" s="36" t="s">
        <v>77</v>
      </c>
      <c r="G797" s="36" t="s">
        <v>74</v>
      </c>
      <c r="H797" s="36" t="s">
        <v>75</v>
      </c>
      <c r="I797" s="37">
        <v>8</v>
      </c>
      <c r="J797" s="36"/>
    </row>
    <row r="798" spans="1:10" x14ac:dyDescent="0.35">
      <c r="A798" s="36" t="s">
        <v>990</v>
      </c>
      <c r="B798" s="35">
        <v>46001</v>
      </c>
      <c r="C798" s="36" t="s">
        <v>210</v>
      </c>
      <c r="D798" s="36" t="s">
        <v>211</v>
      </c>
      <c r="E798" s="36" t="s">
        <v>97</v>
      </c>
      <c r="F798" s="36" t="s">
        <v>98</v>
      </c>
      <c r="G798" s="36" t="s">
        <v>93</v>
      </c>
      <c r="H798" s="36" t="s">
        <v>99</v>
      </c>
      <c r="I798" s="37">
        <v>11</v>
      </c>
      <c r="J798" s="36"/>
    </row>
    <row r="799" spans="1:10" x14ac:dyDescent="0.35">
      <c r="A799" s="36" t="s">
        <v>991</v>
      </c>
      <c r="B799" s="35">
        <v>46001</v>
      </c>
      <c r="C799" s="36" t="s">
        <v>210</v>
      </c>
      <c r="D799" s="36" t="s">
        <v>211</v>
      </c>
      <c r="E799" s="36" t="s">
        <v>29</v>
      </c>
      <c r="F799" s="36" t="s">
        <v>30</v>
      </c>
      <c r="G799" s="36" t="s">
        <v>31</v>
      </c>
      <c r="H799" s="36" t="s">
        <v>32</v>
      </c>
      <c r="I799" s="37">
        <v>10</v>
      </c>
      <c r="J799" s="36"/>
    </row>
    <row r="800" spans="1:10" x14ac:dyDescent="0.35">
      <c r="A800" s="36" t="s">
        <v>992</v>
      </c>
      <c r="B800" s="35">
        <v>46001</v>
      </c>
      <c r="C800" s="36" t="s">
        <v>210</v>
      </c>
      <c r="D800" s="36" t="s">
        <v>211</v>
      </c>
      <c r="E800" s="36" t="s">
        <v>51</v>
      </c>
      <c r="F800" s="36" t="s">
        <v>52</v>
      </c>
      <c r="G800" s="36" t="s">
        <v>53</v>
      </c>
      <c r="H800" s="36" t="s">
        <v>42</v>
      </c>
      <c r="I800" s="37">
        <v>15</v>
      </c>
      <c r="J800" s="36"/>
    </row>
    <row r="801" spans="1:10" x14ac:dyDescent="0.35">
      <c r="A801" s="36" t="s">
        <v>993</v>
      </c>
      <c r="B801" s="35">
        <v>46001</v>
      </c>
      <c r="C801" s="36" t="s">
        <v>210</v>
      </c>
      <c r="D801" s="36" t="s">
        <v>211</v>
      </c>
      <c r="E801" s="36" t="s">
        <v>72</v>
      </c>
      <c r="F801" s="36" t="s">
        <v>73</v>
      </c>
      <c r="G801" s="36" t="s">
        <v>74</v>
      </c>
      <c r="H801" s="36" t="s">
        <v>75</v>
      </c>
      <c r="I801" s="37">
        <v>7</v>
      </c>
      <c r="J801" s="36"/>
    </row>
    <row r="802" spans="1:10" x14ac:dyDescent="0.35">
      <c r="A802" s="36" t="s">
        <v>994</v>
      </c>
      <c r="B802" s="35">
        <v>46001</v>
      </c>
      <c r="C802" s="36" t="s">
        <v>210</v>
      </c>
      <c r="D802" s="36" t="s">
        <v>211</v>
      </c>
      <c r="E802" s="36" t="s">
        <v>153</v>
      </c>
      <c r="F802" s="36" t="s">
        <v>154</v>
      </c>
      <c r="G802" s="36" t="s">
        <v>12</v>
      </c>
      <c r="H802" s="36" t="s">
        <v>155</v>
      </c>
      <c r="I802" s="37">
        <v>3</v>
      </c>
      <c r="J802" s="36"/>
    </row>
    <row r="803" spans="1:10" x14ac:dyDescent="0.35">
      <c r="A803" s="36" t="s">
        <v>995</v>
      </c>
      <c r="B803" s="35">
        <v>46001</v>
      </c>
      <c r="C803" s="36" t="s">
        <v>210</v>
      </c>
      <c r="D803" s="36" t="s">
        <v>211</v>
      </c>
      <c r="E803" s="36" t="s">
        <v>109</v>
      </c>
      <c r="F803" s="36" t="s">
        <v>110</v>
      </c>
      <c r="G803" s="36" t="s">
        <v>102</v>
      </c>
      <c r="H803" s="36" t="s">
        <v>42</v>
      </c>
      <c r="I803" s="37">
        <v>9</v>
      </c>
      <c r="J803" s="36"/>
    </row>
    <row r="804" spans="1:10" x14ac:dyDescent="0.35">
      <c r="A804" s="36" t="s">
        <v>996</v>
      </c>
      <c r="B804" s="35">
        <v>46001</v>
      </c>
      <c r="C804" s="36" t="s">
        <v>210</v>
      </c>
      <c r="D804" s="36" t="s">
        <v>211</v>
      </c>
      <c r="E804" s="36" t="s">
        <v>146</v>
      </c>
      <c r="F804" s="36" t="s">
        <v>147</v>
      </c>
      <c r="G804" s="36" t="s">
        <v>8</v>
      </c>
      <c r="H804" s="36" t="s">
        <v>148</v>
      </c>
      <c r="I804" s="37">
        <v>3</v>
      </c>
      <c r="J804" s="36"/>
    </row>
    <row r="805" spans="1:10" x14ac:dyDescent="0.35">
      <c r="A805" s="36" t="s">
        <v>997</v>
      </c>
      <c r="B805" s="35">
        <v>46001</v>
      </c>
      <c r="C805" s="36" t="s">
        <v>210</v>
      </c>
      <c r="D805" s="36" t="s">
        <v>211</v>
      </c>
      <c r="E805" s="36" t="s">
        <v>37</v>
      </c>
      <c r="F805" s="36" t="s">
        <v>38</v>
      </c>
      <c r="G805" s="36" t="s">
        <v>31</v>
      </c>
      <c r="H805" s="36" t="s">
        <v>39</v>
      </c>
      <c r="I805" s="37">
        <v>15</v>
      </c>
      <c r="J805" s="36"/>
    </row>
    <row r="806" spans="1:10" x14ac:dyDescent="0.35">
      <c r="A806" s="36" t="s">
        <v>998</v>
      </c>
      <c r="B806" s="35">
        <v>46001</v>
      </c>
      <c r="C806" s="36" t="s">
        <v>210</v>
      </c>
      <c r="D806" s="36" t="s">
        <v>211</v>
      </c>
      <c r="E806" s="36" t="s">
        <v>157</v>
      </c>
      <c r="F806" s="36" t="s">
        <v>158</v>
      </c>
      <c r="G806" s="36" t="s">
        <v>159</v>
      </c>
      <c r="H806" s="36" t="s">
        <v>160</v>
      </c>
      <c r="I806" s="37">
        <v>5</v>
      </c>
      <c r="J806" s="36"/>
    </row>
    <row r="807" spans="1:10" x14ac:dyDescent="0.35">
      <c r="A807" s="36" t="s">
        <v>999</v>
      </c>
      <c r="B807" s="35">
        <v>46001</v>
      </c>
      <c r="C807" s="36" t="s">
        <v>190</v>
      </c>
      <c r="D807" s="36" t="s">
        <v>191</v>
      </c>
      <c r="E807" s="36" t="s">
        <v>114</v>
      </c>
      <c r="F807" s="36" t="s">
        <v>13</v>
      </c>
      <c r="G807" s="36" t="s">
        <v>14</v>
      </c>
      <c r="H807" s="36" t="s">
        <v>115</v>
      </c>
      <c r="I807" s="37">
        <v>3</v>
      </c>
      <c r="J807" s="36"/>
    </row>
    <row r="808" spans="1:10" x14ac:dyDescent="0.35">
      <c r="A808" s="36" t="s">
        <v>1000</v>
      </c>
      <c r="B808" s="35">
        <v>46001</v>
      </c>
      <c r="C808" s="36" t="s">
        <v>190</v>
      </c>
      <c r="D808" s="36" t="s">
        <v>191</v>
      </c>
      <c r="E808" s="36" t="s">
        <v>138</v>
      </c>
      <c r="F808" s="36" t="s">
        <v>139</v>
      </c>
      <c r="G808" s="36" t="s">
        <v>6</v>
      </c>
      <c r="H808" s="36" t="s">
        <v>140</v>
      </c>
      <c r="I808" s="37">
        <v>12</v>
      </c>
      <c r="J808" s="36"/>
    </row>
    <row r="809" spans="1:10" x14ac:dyDescent="0.35">
      <c r="A809" s="36" t="s">
        <v>1001</v>
      </c>
      <c r="B809" s="35">
        <v>46001</v>
      </c>
      <c r="C809" s="36" t="s">
        <v>190</v>
      </c>
      <c r="D809" s="36" t="s">
        <v>191</v>
      </c>
      <c r="E809" s="36" t="s">
        <v>83</v>
      </c>
      <c r="F809" s="36" t="s">
        <v>84</v>
      </c>
      <c r="G809" s="36" t="s">
        <v>74</v>
      </c>
      <c r="H809" s="36" t="s">
        <v>85</v>
      </c>
      <c r="I809" s="37">
        <v>8</v>
      </c>
      <c r="J809" s="36"/>
    </row>
    <row r="810" spans="1:10" x14ac:dyDescent="0.35">
      <c r="A810" s="36" t="s">
        <v>1002</v>
      </c>
      <c r="B810" s="35">
        <v>46001</v>
      </c>
      <c r="C810" s="36" t="s">
        <v>190</v>
      </c>
      <c r="D810" s="36" t="s">
        <v>191</v>
      </c>
      <c r="E810" s="36" t="s">
        <v>64</v>
      </c>
      <c r="F810" s="36" t="s">
        <v>65</v>
      </c>
      <c r="G810" s="36" t="s">
        <v>66</v>
      </c>
      <c r="H810" s="36" t="s">
        <v>42</v>
      </c>
      <c r="I810" s="37">
        <v>15</v>
      </c>
      <c r="J810" s="36"/>
    </row>
    <row r="811" spans="1:10" x14ac:dyDescent="0.35">
      <c r="A811" s="36" t="s">
        <v>1003</v>
      </c>
      <c r="B811" s="35">
        <v>46001</v>
      </c>
      <c r="C811" s="36" t="s">
        <v>190</v>
      </c>
      <c r="D811" s="36" t="s">
        <v>191</v>
      </c>
      <c r="E811" s="36" t="s">
        <v>94</v>
      </c>
      <c r="F811" s="36" t="s">
        <v>95</v>
      </c>
      <c r="G811" s="36" t="s">
        <v>93</v>
      </c>
      <c r="H811" s="36" t="s">
        <v>96</v>
      </c>
      <c r="I811" s="37">
        <v>11</v>
      </c>
      <c r="J811" s="36"/>
    </row>
    <row r="812" spans="1:10" x14ac:dyDescent="0.35">
      <c r="A812" s="36" t="s">
        <v>1004</v>
      </c>
      <c r="B812" s="35">
        <v>46001</v>
      </c>
      <c r="C812" s="36" t="s">
        <v>190</v>
      </c>
      <c r="D812" s="36" t="s">
        <v>191</v>
      </c>
      <c r="E812" s="36" t="s">
        <v>40</v>
      </c>
      <c r="F812" s="36" t="s">
        <v>41</v>
      </c>
      <c r="G812" s="36" t="s">
        <v>31</v>
      </c>
      <c r="H812" s="36" t="s">
        <v>42</v>
      </c>
      <c r="I812" s="37">
        <v>18</v>
      </c>
      <c r="J812" s="36"/>
    </row>
    <row r="813" spans="1:10" x14ac:dyDescent="0.35">
      <c r="A813" s="36" t="s">
        <v>1005</v>
      </c>
      <c r="B813" s="35">
        <v>46001</v>
      </c>
      <c r="C813" s="36" t="s">
        <v>190</v>
      </c>
      <c r="D813" s="36" t="s">
        <v>191</v>
      </c>
      <c r="E813" s="36" t="s">
        <v>144</v>
      </c>
      <c r="F813" s="36" t="s">
        <v>7</v>
      </c>
      <c r="G813" s="36" t="s">
        <v>8</v>
      </c>
      <c r="H813" s="36" t="s">
        <v>145</v>
      </c>
      <c r="I813" s="37">
        <v>7</v>
      </c>
      <c r="J813" s="36"/>
    </row>
    <row r="814" spans="1:10" x14ac:dyDescent="0.35">
      <c r="A814" s="36" t="s">
        <v>1006</v>
      </c>
      <c r="B814" s="35">
        <v>46001</v>
      </c>
      <c r="C814" s="36" t="s">
        <v>190</v>
      </c>
      <c r="D814" s="36" t="s">
        <v>191</v>
      </c>
      <c r="E814" s="36" t="s">
        <v>67</v>
      </c>
      <c r="F814" s="36" t="s">
        <v>68</v>
      </c>
      <c r="G814" s="36" t="s">
        <v>66</v>
      </c>
      <c r="H814" s="36" t="s">
        <v>42</v>
      </c>
      <c r="I814" s="37">
        <v>17</v>
      </c>
      <c r="J814" s="36"/>
    </row>
    <row r="815" spans="1:10" x14ac:dyDescent="0.35">
      <c r="A815" s="36" t="s">
        <v>1007</v>
      </c>
      <c r="B815" s="35">
        <v>46001</v>
      </c>
      <c r="C815" s="36" t="s">
        <v>190</v>
      </c>
      <c r="D815" s="36" t="s">
        <v>191</v>
      </c>
      <c r="E815" s="36" t="s">
        <v>51</v>
      </c>
      <c r="F815" s="36" t="s">
        <v>52</v>
      </c>
      <c r="G815" s="36" t="s">
        <v>53</v>
      </c>
      <c r="H815" s="36" t="s">
        <v>42</v>
      </c>
      <c r="I815" s="37">
        <v>23</v>
      </c>
      <c r="J815" s="36"/>
    </row>
    <row r="816" spans="1:10" x14ac:dyDescent="0.35">
      <c r="A816" s="36" t="s">
        <v>1008</v>
      </c>
      <c r="B816" s="35">
        <v>46006</v>
      </c>
      <c r="C816" s="36" t="s">
        <v>238</v>
      </c>
      <c r="D816" s="36" t="s">
        <v>239</v>
      </c>
      <c r="E816" s="36" t="s">
        <v>72</v>
      </c>
      <c r="F816" s="36" t="s">
        <v>73</v>
      </c>
      <c r="G816" s="36" t="s">
        <v>74</v>
      </c>
      <c r="H816" s="36" t="s">
        <v>75</v>
      </c>
      <c r="I816" s="37">
        <v>4</v>
      </c>
      <c r="J816" s="36"/>
    </row>
    <row r="817" spans="1:10" x14ac:dyDescent="0.35">
      <c r="A817" s="36" t="s">
        <v>1009</v>
      </c>
      <c r="B817" s="35">
        <v>46006</v>
      </c>
      <c r="C817" s="36" t="s">
        <v>238</v>
      </c>
      <c r="D817" s="36" t="s">
        <v>239</v>
      </c>
      <c r="E817" s="36" t="s">
        <v>59</v>
      </c>
      <c r="F817" s="36" t="s">
        <v>60</v>
      </c>
      <c r="G817" s="36" t="s">
        <v>53</v>
      </c>
      <c r="H817" s="36" t="s">
        <v>56</v>
      </c>
      <c r="I817" s="37">
        <v>10</v>
      </c>
      <c r="J817" s="36"/>
    </row>
    <row r="818" spans="1:10" x14ac:dyDescent="0.35">
      <c r="A818" s="36" t="s">
        <v>1010</v>
      </c>
      <c r="B818" s="35">
        <v>46006</v>
      </c>
      <c r="C818" s="36" t="s">
        <v>238</v>
      </c>
      <c r="D818" s="36" t="s">
        <v>239</v>
      </c>
      <c r="E818" s="36" t="s">
        <v>117</v>
      </c>
      <c r="F818" s="36" t="s">
        <v>118</v>
      </c>
      <c r="G818" s="36" t="s">
        <v>14</v>
      </c>
      <c r="H818" s="36" t="s">
        <v>119</v>
      </c>
      <c r="I818" s="37">
        <v>1</v>
      </c>
      <c r="J818" s="36"/>
    </row>
    <row r="819" spans="1:10" x14ac:dyDescent="0.35">
      <c r="A819" s="36" t="s">
        <v>1011</v>
      </c>
      <c r="B819" s="35">
        <v>46006</v>
      </c>
      <c r="C819" s="36" t="s">
        <v>238</v>
      </c>
      <c r="D819" s="36" t="s">
        <v>239</v>
      </c>
      <c r="E819" s="36" t="s">
        <v>46</v>
      </c>
      <c r="F819" s="36" t="s">
        <v>47</v>
      </c>
      <c r="G819" s="36" t="s">
        <v>31</v>
      </c>
      <c r="H819" s="36" t="s">
        <v>42</v>
      </c>
      <c r="I819" s="37">
        <v>5</v>
      </c>
      <c r="J819" s="36"/>
    </row>
    <row r="820" spans="1:10" x14ac:dyDescent="0.35">
      <c r="A820" s="36" t="s">
        <v>1012</v>
      </c>
      <c r="B820" s="35">
        <v>46006</v>
      </c>
      <c r="C820" s="36" t="s">
        <v>238</v>
      </c>
      <c r="D820" s="36" t="s">
        <v>239</v>
      </c>
      <c r="E820" s="36" t="s">
        <v>146</v>
      </c>
      <c r="F820" s="36" t="s">
        <v>147</v>
      </c>
      <c r="G820" s="36" t="s">
        <v>8</v>
      </c>
      <c r="H820" s="36" t="s">
        <v>148</v>
      </c>
      <c r="I820" s="37">
        <v>2</v>
      </c>
      <c r="J820" s="36"/>
    </row>
    <row r="821" spans="1:10" x14ac:dyDescent="0.35">
      <c r="A821" s="36" t="s">
        <v>1013</v>
      </c>
      <c r="B821" s="35">
        <v>46006</v>
      </c>
      <c r="C821" s="36" t="s">
        <v>238</v>
      </c>
      <c r="D821" s="36" t="s">
        <v>239</v>
      </c>
      <c r="E821" s="36" t="s">
        <v>137</v>
      </c>
      <c r="F821" s="36" t="s">
        <v>15</v>
      </c>
      <c r="G821" s="36" t="s">
        <v>6</v>
      </c>
      <c r="H821" s="36" t="s">
        <v>136</v>
      </c>
      <c r="I821" s="37">
        <v>4</v>
      </c>
      <c r="J821" s="36"/>
    </row>
    <row r="822" spans="1:10" x14ac:dyDescent="0.35">
      <c r="A822" s="36" t="s">
        <v>1014</v>
      </c>
      <c r="B822" s="35">
        <v>46006</v>
      </c>
      <c r="C822" s="36" t="s">
        <v>210</v>
      </c>
      <c r="D822" s="36" t="s">
        <v>211</v>
      </c>
      <c r="E822" s="36" t="s">
        <v>54</v>
      </c>
      <c r="F822" s="36" t="s">
        <v>55</v>
      </c>
      <c r="G822" s="36" t="s">
        <v>53</v>
      </c>
      <c r="H822" s="36" t="s">
        <v>56</v>
      </c>
      <c r="I822" s="37">
        <v>16</v>
      </c>
      <c r="J822" s="36"/>
    </row>
    <row r="823" spans="1:10" x14ac:dyDescent="0.35">
      <c r="A823" s="36" t="s">
        <v>1015</v>
      </c>
      <c r="B823" s="35">
        <v>46006</v>
      </c>
      <c r="C823" s="36" t="s">
        <v>210</v>
      </c>
      <c r="D823" s="36" t="s">
        <v>211</v>
      </c>
      <c r="E823" s="36" t="s">
        <v>117</v>
      </c>
      <c r="F823" s="36" t="s">
        <v>118</v>
      </c>
      <c r="G823" s="36" t="s">
        <v>14</v>
      </c>
      <c r="H823" s="36" t="s">
        <v>119</v>
      </c>
      <c r="I823" s="37">
        <v>4</v>
      </c>
      <c r="J823" s="36"/>
    </row>
    <row r="824" spans="1:10" x14ac:dyDescent="0.35">
      <c r="A824" s="36" t="s">
        <v>1016</v>
      </c>
      <c r="B824" s="35">
        <v>46006</v>
      </c>
      <c r="C824" s="36" t="s">
        <v>210</v>
      </c>
      <c r="D824" s="36" t="s">
        <v>211</v>
      </c>
      <c r="E824" s="36" t="s">
        <v>69</v>
      </c>
      <c r="F824" s="36" t="s">
        <v>70</v>
      </c>
      <c r="G824" s="36" t="s">
        <v>66</v>
      </c>
      <c r="H824" s="36" t="s">
        <v>71</v>
      </c>
      <c r="I824" s="37">
        <v>9</v>
      </c>
      <c r="J824" s="36"/>
    </row>
    <row r="825" spans="1:10" x14ac:dyDescent="0.35">
      <c r="A825" s="36" t="s">
        <v>1017</v>
      </c>
      <c r="B825" s="35">
        <v>46006</v>
      </c>
      <c r="C825" s="36" t="s">
        <v>210</v>
      </c>
      <c r="D825" s="36" t="s">
        <v>211</v>
      </c>
      <c r="E825" s="36" t="s">
        <v>86</v>
      </c>
      <c r="F825" s="36" t="s">
        <v>87</v>
      </c>
      <c r="G825" s="36" t="s">
        <v>74</v>
      </c>
      <c r="H825" s="36" t="s">
        <v>75</v>
      </c>
      <c r="I825" s="37">
        <v>6</v>
      </c>
      <c r="J825" s="36"/>
    </row>
    <row r="826" spans="1:10" x14ac:dyDescent="0.35">
      <c r="A826" s="36" t="s">
        <v>1018</v>
      </c>
      <c r="B826" s="35">
        <v>46006</v>
      </c>
      <c r="C826" s="36" t="s">
        <v>210</v>
      </c>
      <c r="D826" s="36" t="s">
        <v>211</v>
      </c>
      <c r="E826" s="36" t="s">
        <v>128</v>
      </c>
      <c r="F826" s="36" t="s">
        <v>9</v>
      </c>
      <c r="G826" s="36" t="s">
        <v>10</v>
      </c>
      <c r="H826" s="36" t="s">
        <v>129</v>
      </c>
      <c r="I826" s="37">
        <v>6</v>
      </c>
      <c r="J826" s="36"/>
    </row>
    <row r="827" spans="1:10" x14ac:dyDescent="0.35">
      <c r="A827" s="36" t="s">
        <v>1019</v>
      </c>
      <c r="B827" s="35">
        <v>46006</v>
      </c>
      <c r="C827" s="36" t="s">
        <v>210</v>
      </c>
      <c r="D827" s="36" t="s">
        <v>211</v>
      </c>
      <c r="E827" s="36" t="s">
        <v>141</v>
      </c>
      <c r="F827" s="36" t="s">
        <v>142</v>
      </c>
      <c r="G827" s="36" t="s">
        <v>8</v>
      </c>
      <c r="H827" s="36" t="s">
        <v>143</v>
      </c>
      <c r="I827" s="37">
        <v>5</v>
      </c>
      <c r="J827" s="36"/>
    </row>
    <row r="828" spans="1:10" x14ac:dyDescent="0.35">
      <c r="A828" s="36" t="s">
        <v>1020</v>
      </c>
      <c r="B828" s="35">
        <v>46009</v>
      </c>
      <c r="C828" s="36" t="s">
        <v>298</v>
      </c>
      <c r="D828" s="36" t="s">
        <v>299</v>
      </c>
      <c r="E828" s="36" t="s">
        <v>86</v>
      </c>
      <c r="F828" s="36" t="s">
        <v>87</v>
      </c>
      <c r="G828" s="36" t="s">
        <v>74</v>
      </c>
      <c r="H828" s="36" t="s">
        <v>75</v>
      </c>
      <c r="I828" s="37">
        <v>3</v>
      </c>
      <c r="J828" s="36"/>
    </row>
    <row r="829" spans="1:10" x14ac:dyDescent="0.35">
      <c r="A829" s="36" t="s">
        <v>1021</v>
      </c>
      <c r="B829" s="35">
        <v>46009</v>
      </c>
      <c r="C829" s="36" t="s">
        <v>298</v>
      </c>
      <c r="D829" s="36" t="s">
        <v>299</v>
      </c>
      <c r="E829" s="36" t="s">
        <v>153</v>
      </c>
      <c r="F829" s="36" t="s">
        <v>154</v>
      </c>
      <c r="G829" s="36" t="s">
        <v>12</v>
      </c>
      <c r="H829" s="36" t="s">
        <v>155</v>
      </c>
      <c r="I829" s="37">
        <v>2</v>
      </c>
      <c r="J829" s="36"/>
    </row>
    <row r="830" spans="1:10" x14ac:dyDescent="0.35">
      <c r="A830" s="36" t="s">
        <v>1022</v>
      </c>
      <c r="B830" s="35">
        <v>46009</v>
      </c>
      <c r="C830" s="36" t="s">
        <v>298</v>
      </c>
      <c r="D830" s="36" t="s">
        <v>299</v>
      </c>
      <c r="E830" s="36" t="s">
        <v>43</v>
      </c>
      <c r="F830" s="36" t="s">
        <v>44</v>
      </c>
      <c r="G830" s="36" t="s">
        <v>31</v>
      </c>
      <c r="H830" s="36" t="s">
        <v>42</v>
      </c>
      <c r="I830" s="37">
        <v>3</v>
      </c>
      <c r="J830" s="36"/>
    </row>
    <row r="831" spans="1:10" x14ac:dyDescent="0.35">
      <c r="A831" s="36" t="s">
        <v>1023</v>
      </c>
      <c r="B831" s="35">
        <v>46009</v>
      </c>
      <c r="C831" s="36" t="s">
        <v>298</v>
      </c>
      <c r="D831" s="36" t="s">
        <v>299</v>
      </c>
      <c r="E831" s="36" t="s">
        <v>144</v>
      </c>
      <c r="F831" s="36" t="s">
        <v>7</v>
      </c>
      <c r="G831" s="36" t="s">
        <v>8</v>
      </c>
      <c r="H831" s="36" t="s">
        <v>145</v>
      </c>
      <c r="I831" s="37">
        <v>2</v>
      </c>
      <c r="J831" s="36"/>
    </row>
    <row r="832" spans="1:10" x14ac:dyDescent="0.35">
      <c r="A832" s="36" t="s">
        <v>1024</v>
      </c>
      <c r="B832" s="35">
        <v>46009</v>
      </c>
      <c r="C832" s="36" t="s">
        <v>298</v>
      </c>
      <c r="D832" s="36" t="s">
        <v>299</v>
      </c>
      <c r="E832" s="36" t="s">
        <v>97</v>
      </c>
      <c r="F832" s="36" t="s">
        <v>98</v>
      </c>
      <c r="G832" s="36" t="s">
        <v>93</v>
      </c>
      <c r="H832" s="36" t="s">
        <v>99</v>
      </c>
      <c r="I832" s="37">
        <v>3</v>
      </c>
      <c r="J832" s="36"/>
    </row>
    <row r="833" spans="1:10" x14ac:dyDescent="0.35">
      <c r="A833" s="36" t="s">
        <v>1025</v>
      </c>
      <c r="B833" s="35">
        <v>46009</v>
      </c>
      <c r="C833" s="36" t="s">
        <v>298</v>
      </c>
      <c r="D833" s="36" t="s">
        <v>299</v>
      </c>
      <c r="E833" s="36" t="s">
        <v>64</v>
      </c>
      <c r="F833" s="36" t="s">
        <v>65</v>
      </c>
      <c r="G833" s="36" t="s">
        <v>66</v>
      </c>
      <c r="H833" s="36" t="s">
        <v>42</v>
      </c>
      <c r="I833" s="37">
        <v>3</v>
      </c>
      <c r="J833" s="36"/>
    </row>
    <row r="834" spans="1:10" x14ac:dyDescent="0.35">
      <c r="A834" s="36" t="s">
        <v>1026</v>
      </c>
      <c r="B834" s="35">
        <v>46010</v>
      </c>
      <c r="C834" s="36" t="s">
        <v>210</v>
      </c>
      <c r="D834" s="36" t="s">
        <v>211</v>
      </c>
      <c r="E834" s="36" t="s">
        <v>128</v>
      </c>
      <c r="F834" s="36" t="s">
        <v>9</v>
      </c>
      <c r="G834" s="36" t="s">
        <v>10</v>
      </c>
      <c r="H834" s="36" t="s">
        <v>129</v>
      </c>
      <c r="I834" s="37">
        <v>4</v>
      </c>
      <c r="J834" s="36"/>
    </row>
    <row r="835" spans="1:10" x14ac:dyDescent="0.35">
      <c r="A835" s="36" t="s">
        <v>1027</v>
      </c>
      <c r="B835" s="35">
        <v>46010</v>
      </c>
      <c r="C835" s="36" t="s">
        <v>210</v>
      </c>
      <c r="D835" s="36" t="s">
        <v>211</v>
      </c>
      <c r="E835" s="36" t="s">
        <v>81</v>
      </c>
      <c r="F835" s="36" t="s">
        <v>82</v>
      </c>
      <c r="G835" s="36" t="s">
        <v>74</v>
      </c>
      <c r="H835" s="36" t="s">
        <v>80</v>
      </c>
      <c r="I835" s="37">
        <v>10</v>
      </c>
      <c r="J835" s="36"/>
    </row>
    <row r="836" spans="1:10" x14ac:dyDescent="0.35">
      <c r="A836" s="36" t="s">
        <v>1028</v>
      </c>
      <c r="B836" s="35">
        <v>46010</v>
      </c>
      <c r="C836" s="36" t="s">
        <v>210</v>
      </c>
      <c r="D836" s="36" t="s">
        <v>211</v>
      </c>
      <c r="E836" s="36" t="s">
        <v>125</v>
      </c>
      <c r="F836" s="36" t="s">
        <v>126</v>
      </c>
      <c r="G836" s="36" t="s">
        <v>14</v>
      </c>
      <c r="H836" s="36" t="s">
        <v>127</v>
      </c>
      <c r="I836" s="37">
        <v>4</v>
      </c>
      <c r="J836" s="36"/>
    </row>
    <row r="837" spans="1:10" x14ac:dyDescent="0.35">
      <c r="A837" s="36" t="s">
        <v>1029</v>
      </c>
      <c r="B837" s="35">
        <v>46010</v>
      </c>
      <c r="C837" s="36" t="s">
        <v>210</v>
      </c>
      <c r="D837" s="36" t="s">
        <v>211</v>
      </c>
      <c r="E837" s="36" t="s">
        <v>149</v>
      </c>
      <c r="F837" s="36" t="s">
        <v>150</v>
      </c>
      <c r="G837" s="36" t="s">
        <v>8</v>
      </c>
      <c r="H837" s="36" t="s">
        <v>75</v>
      </c>
      <c r="I837" s="37">
        <v>6</v>
      </c>
      <c r="J837" s="36"/>
    </row>
    <row r="838" spans="1:10" x14ac:dyDescent="0.35">
      <c r="A838" s="36" t="s">
        <v>1030</v>
      </c>
      <c r="B838" s="35">
        <v>46010</v>
      </c>
      <c r="C838" s="36" t="s">
        <v>210</v>
      </c>
      <c r="D838" s="36" t="s">
        <v>211</v>
      </c>
      <c r="E838" s="36" t="s">
        <v>117</v>
      </c>
      <c r="F838" s="36" t="s">
        <v>118</v>
      </c>
      <c r="G838" s="36" t="s">
        <v>14</v>
      </c>
      <c r="H838" s="36" t="s">
        <v>119</v>
      </c>
      <c r="I838" s="37">
        <v>2</v>
      </c>
      <c r="J838" s="36"/>
    </row>
    <row r="839" spans="1:10" x14ac:dyDescent="0.35">
      <c r="A839" s="36" t="s">
        <v>1031</v>
      </c>
      <c r="B839" s="35">
        <v>46010</v>
      </c>
      <c r="C839" s="36" t="s">
        <v>210</v>
      </c>
      <c r="D839" s="36" t="s">
        <v>211</v>
      </c>
      <c r="E839" s="36" t="s">
        <v>64</v>
      </c>
      <c r="F839" s="36" t="s">
        <v>65</v>
      </c>
      <c r="G839" s="36" t="s">
        <v>66</v>
      </c>
      <c r="H839" s="36" t="s">
        <v>42</v>
      </c>
      <c r="I839" s="37">
        <v>7</v>
      </c>
      <c r="J839" s="36"/>
    </row>
    <row r="840" spans="1:10" x14ac:dyDescent="0.35">
      <c r="A840" s="36" t="s">
        <v>1032</v>
      </c>
      <c r="B840" s="35">
        <v>46010</v>
      </c>
      <c r="C840" s="36" t="s">
        <v>210</v>
      </c>
      <c r="D840" s="36" t="s">
        <v>211</v>
      </c>
      <c r="E840" s="36" t="s">
        <v>130</v>
      </c>
      <c r="F840" s="36" t="s">
        <v>16</v>
      </c>
      <c r="G840" s="36" t="s">
        <v>10</v>
      </c>
      <c r="H840" s="36" t="s">
        <v>131</v>
      </c>
      <c r="I840" s="37">
        <v>4</v>
      </c>
      <c r="J840" s="36"/>
    </row>
    <row r="841" spans="1:10" x14ac:dyDescent="0.35">
      <c r="A841" s="36" t="s">
        <v>1033</v>
      </c>
      <c r="B841" s="35">
        <v>46010</v>
      </c>
      <c r="C841" s="36" t="s">
        <v>210</v>
      </c>
      <c r="D841" s="36" t="s">
        <v>211</v>
      </c>
      <c r="E841" s="36" t="s">
        <v>61</v>
      </c>
      <c r="F841" s="36" t="s">
        <v>62</v>
      </c>
      <c r="G841" s="36" t="s">
        <v>53</v>
      </c>
      <c r="H841" s="36" t="s">
        <v>42</v>
      </c>
      <c r="I841" s="37">
        <v>10</v>
      </c>
      <c r="J841" s="36"/>
    </row>
    <row r="842" spans="1:10" x14ac:dyDescent="0.35">
      <c r="A842" s="36" t="s">
        <v>1034</v>
      </c>
      <c r="B842" s="35">
        <v>46010</v>
      </c>
      <c r="C842" s="36" t="s">
        <v>210</v>
      </c>
      <c r="D842" s="36" t="s">
        <v>211</v>
      </c>
      <c r="E842" s="36" t="s">
        <v>156</v>
      </c>
      <c r="F842" s="36" t="s">
        <v>11</v>
      </c>
      <c r="G842" s="36" t="s">
        <v>12</v>
      </c>
      <c r="H842" s="36" t="s">
        <v>155</v>
      </c>
      <c r="I842" s="37">
        <v>4</v>
      </c>
      <c r="J842" s="36"/>
    </row>
    <row r="843" spans="1:10" x14ac:dyDescent="0.35">
      <c r="A843" s="36" t="s">
        <v>1035</v>
      </c>
      <c r="B843" s="35">
        <v>46010</v>
      </c>
      <c r="C843" s="36" t="s">
        <v>210</v>
      </c>
      <c r="D843" s="36" t="s">
        <v>211</v>
      </c>
      <c r="E843" s="36" t="s">
        <v>91</v>
      </c>
      <c r="F843" s="36" t="s">
        <v>92</v>
      </c>
      <c r="G843" s="36" t="s">
        <v>93</v>
      </c>
      <c r="H843" s="36" t="s">
        <v>85</v>
      </c>
      <c r="I843" s="37">
        <v>4</v>
      </c>
      <c r="J843" s="36"/>
    </row>
    <row r="844" spans="1:10" x14ac:dyDescent="0.35">
      <c r="A844" s="36" t="s">
        <v>1036</v>
      </c>
      <c r="B844" s="35">
        <v>46010</v>
      </c>
      <c r="C844" s="36" t="s">
        <v>210</v>
      </c>
      <c r="D844" s="36" t="s">
        <v>211</v>
      </c>
      <c r="E844" s="36" t="s">
        <v>86</v>
      </c>
      <c r="F844" s="36" t="s">
        <v>87</v>
      </c>
      <c r="G844" s="36" t="s">
        <v>74</v>
      </c>
      <c r="H844" s="36" t="s">
        <v>75</v>
      </c>
      <c r="I844" s="37">
        <v>9</v>
      </c>
      <c r="J844" s="36"/>
    </row>
    <row r="845" spans="1:10" x14ac:dyDescent="0.35">
      <c r="A845" s="36" t="s">
        <v>1037</v>
      </c>
      <c r="B845" s="35">
        <v>46010</v>
      </c>
      <c r="C845" s="36" t="s">
        <v>210</v>
      </c>
      <c r="D845" s="36" t="s">
        <v>211</v>
      </c>
      <c r="E845" s="36" t="s">
        <v>111</v>
      </c>
      <c r="F845" s="36" t="s">
        <v>112</v>
      </c>
      <c r="G845" s="36" t="s">
        <v>102</v>
      </c>
      <c r="H845" s="36" t="s">
        <v>113</v>
      </c>
      <c r="I845" s="37">
        <v>8</v>
      </c>
      <c r="J845" s="36"/>
    </row>
    <row r="846" spans="1:10" x14ac:dyDescent="0.35">
      <c r="A846" s="36" t="s">
        <v>1038</v>
      </c>
      <c r="B846" s="35">
        <v>46016</v>
      </c>
      <c r="C846" s="36" t="s">
        <v>190</v>
      </c>
      <c r="D846" s="36" t="s">
        <v>191</v>
      </c>
      <c r="E846" s="36" t="s">
        <v>141</v>
      </c>
      <c r="F846" s="36" t="s">
        <v>142</v>
      </c>
      <c r="G846" s="36" t="s">
        <v>8</v>
      </c>
      <c r="H846" s="36" t="s">
        <v>143</v>
      </c>
      <c r="I846" s="37">
        <v>11</v>
      </c>
      <c r="J846" s="36"/>
    </row>
    <row r="847" spans="1:10" x14ac:dyDescent="0.35">
      <c r="A847" s="36" t="s">
        <v>1039</v>
      </c>
      <c r="B847" s="35">
        <v>46016</v>
      </c>
      <c r="C847" s="36" t="s">
        <v>190</v>
      </c>
      <c r="D847" s="36" t="s">
        <v>191</v>
      </c>
      <c r="E847" s="36" t="s">
        <v>117</v>
      </c>
      <c r="F847" s="36" t="s">
        <v>118</v>
      </c>
      <c r="G847" s="36" t="s">
        <v>14</v>
      </c>
      <c r="H847" s="36" t="s">
        <v>119</v>
      </c>
      <c r="I847" s="37">
        <v>5</v>
      </c>
      <c r="J847" s="36"/>
    </row>
    <row r="848" spans="1:10" x14ac:dyDescent="0.35">
      <c r="A848" s="36" t="s">
        <v>1040</v>
      </c>
      <c r="B848" s="35">
        <v>46016</v>
      </c>
      <c r="C848" s="36" t="s">
        <v>190</v>
      </c>
      <c r="D848" s="36" t="s">
        <v>191</v>
      </c>
      <c r="E848" s="36" t="s">
        <v>46</v>
      </c>
      <c r="F848" s="36" t="s">
        <v>47</v>
      </c>
      <c r="G848" s="36" t="s">
        <v>31</v>
      </c>
      <c r="H848" s="36" t="s">
        <v>42</v>
      </c>
      <c r="I848" s="37">
        <v>24</v>
      </c>
      <c r="J848" s="36"/>
    </row>
    <row r="849" spans="1:10" x14ac:dyDescent="0.35">
      <c r="A849" s="36" t="s">
        <v>1041</v>
      </c>
      <c r="B849" s="35">
        <v>46016</v>
      </c>
      <c r="C849" s="36" t="s">
        <v>190</v>
      </c>
      <c r="D849" s="36" t="s">
        <v>191</v>
      </c>
      <c r="E849" s="36" t="s">
        <v>111</v>
      </c>
      <c r="F849" s="36" t="s">
        <v>112</v>
      </c>
      <c r="G849" s="36" t="s">
        <v>102</v>
      </c>
      <c r="H849" s="36" t="s">
        <v>113</v>
      </c>
      <c r="I849" s="37">
        <v>21</v>
      </c>
      <c r="J849" s="36"/>
    </row>
    <row r="850" spans="1:10" x14ac:dyDescent="0.35">
      <c r="A850" s="36" t="s">
        <v>1042</v>
      </c>
      <c r="B850" s="35">
        <v>46016</v>
      </c>
      <c r="C850" s="36" t="s">
        <v>190</v>
      </c>
      <c r="D850" s="36" t="s">
        <v>191</v>
      </c>
      <c r="E850" s="36" t="s">
        <v>138</v>
      </c>
      <c r="F850" s="36" t="s">
        <v>139</v>
      </c>
      <c r="G850" s="36" t="s">
        <v>6</v>
      </c>
      <c r="H850" s="36" t="s">
        <v>140</v>
      </c>
      <c r="I850" s="37">
        <v>8</v>
      </c>
      <c r="J850" s="36"/>
    </row>
    <row r="851" spans="1:10" x14ac:dyDescent="0.35">
      <c r="A851" s="36" t="s">
        <v>1043</v>
      </c>
      <c r="B851" s="35">
        <v>46016</v>
      </c>
      <c r="C851" s="36" t="s">
        <v>190</v>
      </c>
      <c r="D851" s="36" t="s">
        <v>191</v>
      </c>
      <c r="E851" s="36" t="s">
        <v>40</v>
      </c>
      <c r="F851" s="36" t="s">
        <v>41</v>
      </c>
      <c r="G851" s="36" t="s">
        <v>31</v>
      </c>
      <c r="H851" s="36" t="s">
        <v>42</v>
      </c>
      <c r="I851" s="37">
        <v>21</v>
      </c>
      <c r="J851" s="36"/>
    </row>
    <row r="852" spans="1:10" x14ac:dyDescent="0.35">
      <c r="A852" s="36" t="s">
        <v>1044</v>
      </c>
      <c r="B852" s="35">
        <v>46016</v>
      </c>
      <c r="C852" s="36" t="s">
        <v>190</v>
      </c>
      <c r="D852" s="36" t="s">
        <v>191</v>
      </c>
      <c r="E852" s="36" t="s">
        <v>94</v>
      </c>
      <c r="F852" s="36" t="s">
        <v>95</v>
      </c>
      <c r="G852" s="36" t="s">
        <v>93</v>
      </c>
      <c r="H852" s="36" t="s">
        <v>96</v>
      </c>
      <c r="I852" s="37">
        <v>11</v>
      </c>
      <c r="J852" s="36"/>
    </row>
    <row r="853" spans="1:10" x14ac:dyDescent="0.35">
      <c r="A853" s="36" t="s">
        <v>1045</v>
      </c>
      <c r="B853" s="35">
        <v>46016</v>
      </c>
      <c r="C853" s="36" t="s">
        <v>190</v>
      </c>
      <c r="D853" s="36" t="s">
        <v>191</v>
      </c>
      <c r="E853" s="36" t="s">
        <v>128</v>
      </c>
      <c r="F853" s="36" t="s">
        <v>9</v>
      </c>
      <c r="G853" s="36" t="s">
        <v>10</v>
      </c>
      <c r="H853" s="36" t="s">
        <v>129</v>
      </c>
      <c r="I853" s="37">
        <v>10</v>
      </c>
      <c r="J853" s="36"/>
    </row>
    <row r="854" spans="1:10" x14ac:dyDescent="0.35">
      <c r="A854" s="36" t="s">
        <v>1046</v>
      </c>
      <c r="B854" s="35">
        <v>46019</v>
      </c>
      <c r="C854" s="36" t="s">
        <v>190</v>
      </c>
      <c r="D854" s="36" t="s">
        <v>191</v>
      </c>
      <c r="E854" s="36" t="s">
        <v>61</v>
      </c>
      <c r="F854" s="36" t="s">
        <v>62</v>
      </c>
      <c r="G854" s="36" t="s">
        <v>53</v>
      </c>
      <c r="H854" s="36" t="s">
        <v>42</v>
      </c>
      <c r="I854" s="37">
        <v>14</v>
      </c>
      <c r="J854" s="36"/>
    </row>
    <row r="855" spans="1:10" x14ac:dyDescent="0.35">
      <c r="A855" s="36" t="s">
        <v>1047</v>
      </c>
      <c r="B855" s="35">
        <v>46019</v>
      </c>
      <c r="C855" s="36" t="s">
        <v>190</v>
      </c>
      <c r="D855" s="36" t="s">
        <v>191</v>
      </c>
      <c r="E855" s="36" t="s">
        <v>37</v>
      </c>
      <c r="F855" s="36" t="s">
        <v>38</v>
      </c>
      <c r="G855" s="36" t="s">
        <v>31</v>
      </c>
      <c r="H855" s="36" t="s">
        <v>39</v>
      </c>
      <c r="I855" s="37">
        <v>22</v>
      </c>
      <c r="J855" s="36"/>
    </row>
    <row r="856" spans="1:10" x14ac:dyDescent="0.35">
      <c r="A856" s="36" t="s">
        <v>1048</v>
      </c>
      <c r="B856" s="35">
        <v>46019</v>
      </c>
      <c r="C856" s="36" t="s">
        <v>190</v>
      </c>
      <c r="D856" s="36" t="s">
        <v>191</v>
      </c>
      <c r="E856" s="36" t="s">
        <v>64</v>
      </c>
      <c r="F856" s="36" t="s">
        <v>65</v>
      </c>
      <c r="G856" s="36" t="s">
        <v>66</v>
      </c>
      <c r="H856" s="36" t="s">
        <v>42</v>
      </c>
      <c r="I856" s="37">
        <v>11</v>
      </c>
      <c r="J856" s="36"/>
    </row>
    <row r="857" spans="1:10" x14ac:dyDescent="0.35">
      <c r="A857" s="36" t="s">
        <v>1049</v>
      </c>
      <c r="B857" s="35">
        <v>46019</v>
      </c>
      <c r="C857" s="36" t="s">
        <v>190</v>
      </c>
      <c r="D857" s="36" t="s">
        <v>191</v>
      </c>
      <c r="E857" s="36" t="s">
        <v>48</v>
      </c>
      <c r="F857" s="36" t="s">
        <v>49</v>
      </c>
      <c r="G857" s="36" t="s">
        <v>31</v>
      </c>
      <c r="H857" s="36" t="s">
        <v>50</v>
      </c>
      <c r="I857" s="37">
        <v>19</v>
      </c>
      <c r="J857" s="36"/>
    </row>
    <row r="858" spans="1:10" x14ac:dyDescent="0.35">
      <c r="A858" s="36" t="s">
        <v>1050</v>
      </c>
      <c r="B858" s="35">
        <v>46019</v>
      </c>
      <c r="C858" s="36" t="s">
        <v>190</v>
      </c>
      <c r="D858" s="36" t="s">
        <v>191</v>
      </c>
      <c r="E858" s="36" t="s">
        <v>117</v>
      </c>
      <c r="F858" s="36" t="s">
        <v>118</v>
      </c>
      <c r="G858" s="36" t="s">
        <v>14</v>
      </c>
      <c r="H858" s="36" t="s">
        <v>119</v>
      </c>
      <c r="I858" s="37">
        <v>4</v>
      </c>
      <c r="J858" s="36"/>
    </row>
    <row r="859" spans="1:10" x14ac:dyDescent="0.35">
      <c r="A859" s="36" t="s">
        <v>1051</v>
      </c>
      <c r="B859" s="35">
        <v>46019</v>
      </c>
      <c r="C859" s="36" t="s">
        <v>190</v>
      </c>
      <c r="D859" s="36" t="s">
        <v>191</v>
      </c>
      <c r="E859" s="36" t="s">
        <v>156</v>
      </c>
      <c r="F859" s="36" t="s">
        <v>11</v>
      </c>
      <c r="G859" s="36" t="s">
        <v>12</v>
      </c>
      <c r="H859" s="36" t="s">
        <v>155</v>
      </c>
      <c r="I859" s="37">
        <v>6</v>
      </c>
      <c r="J859" s="36"/>
    </row>
    <row r="860" spans="1:10" x14ac:dyDescent="0.35">
      <c r="A860" s="36" t="s">
        <v>1052</v>
      </c>
      <c r="B860" s="35">
        <v>46019</v>
      </c>
      <c r="C860" s="36" t="s">
        <v>190</v>
      </c>
      <c r="D860" s="36" t="s">
        <v>191</v>
      </c>
      <c r="E860" s="36" t="s">
        <v>153</v>
      </c>
      <c r="F860" s="36" t="s">
        <v>154</v>
      </c>
      <c r="G860" s="36" t="s">
        <v>12</v>
      </c>
      <c r="H860" s="36" t="s">
        <v>155</v>
      </c>
      <c r="I860" s="37">
        <v>4</v>
      </c>
      <c r="J860" s="36"/>
    </row>
    <row r="861" spans="1:10" x14ac:dyDescent="0.35">
      <c r="A861" s="36" t="s">
        <v>1053</v>
      </c>
      <c r="B861" s="35">
        <v>46022</v>
      </c>
      <c r="C861" s="36" t="s">
        <v>190</v>
      </c>
      <c r="D861" s="36" t="s">
        <v>191</v>
      </c>
      <c r="E861" s="36" t="s">
        <v>153</v>
      </c>
      <c r="F861" s="36" t="s">
        <v>154</v>
      </c>
      <c r="G861" s="36" t="s">
        <v>12</v>
      </c>
      <c r="H861" s="36" t="s">
        <v>155</v>
      </c>
      <c r="I861" s="37">
        <v>6</v>
      </c>
      <c r="J861" s="36"/>
    </row>
    <row r="862" spans="1:10" x14ac:dyDescent="0.35">
      <c r="A862" s="36" t="s">
        <v>1054</v>
      </c>
      <c r="B862" s="35">
        <v>46022</v>
      </c>
      <c r="C862" s="36" t="s">
        <v>190</v>
      </c>
      <c r="D862" s="36" t="s">
        <v>191</v>
      </c>
      <c r="E862" s="36" t="s">
        <v>69</v>
      </c>
      <c r="F862" s="36" t="s">
        <v>70</v>
      </c>
      <c r="G862" s="36" t="s">
        <v>66</v>
      </c>
      <c r="H862" s="36" t="s">
        <v>71</v>
      </c>
      <c r="I862" s="37">
        <v>10</v>
      </c>
      <c r="J862" s="36"/>
    </row>
    <row r="863" spans="1:10" x14ac:dyDescent="0.35">
      <c r="A863" s="36" t="s">
        <v>1055</v>
      </c>
      <c r="B863" s="35">
        <v>46022</v>
      </c>
      <c r="C863" s="36" t="s">
        <v>190</v>
      </c>
      <c r="D863" s="36" t="s">
        <v>191</v>
      </c>
      <c r="E863" s="36" t="s">
        <v>125</v>
      </c>
      <c r="F863" s="36" t="s">
        <v>126</v>
      </c>
      <c r="G863" s="36" t="s">
        <v>14</v>
      </c>
      <c r="H863" s="36" t="s">
        <v>127</v>
      </c>
      <c r="I863" s="37">
        <v>4</v>
      </c>
      <c r="J863" s="36"/>
    </row>
    <row r="864" spans="1:10" x14ac:dyDescent="0.35">
      <c r="A864" s="36" t="s">
        <v>1056</v>
      </c>
      <c r="B864" s="35">
        <v>46022</v>
      </c>
      <c r="C864" s="36" t="s">
        <v>190</v>
      </c>
      <c r="D864" s="36" t="s">
        <v>191</v>
      </c>
      <c r="E864" s="36" t="s">
        <v>97</v>
      </c>
      <c r="F864" s="36" t="s">
        <v>98</v>
      </c>
      <c r="G864" s="36" t="s">
        <v>93</v>
      </c>
      <c r="H864" s="36" t="s">
        <v>99</v>
      </c>
      <c r="I864" s="37">
        <v>8</v>
      </c>
      <c r="J864" s="36"/>
    </row>
    <row r="865" spans="1:10" x14ac:dyDescent="0.35">
      <c r="A865" s="36" t="s">
        <v>1057</v>
      </c>
      <c r="B865" s="35">
        <v>46022</v>
      </c>
      <c r="C865" s="36" t="s">
        <v>190</v>
      </c>
      <c r="D865" s="36" t="s">
        <v>191</v>
      </c>
      <c r="E865" s="36" t="s">
        <v>64</v>
      </c>
      <c r="F865" s="36" t="s">
        <v>65</v>
      </c>
      <c r="G865" s="36" t="s">
        <v>66</v>
      </c>
      <c r="H865" s="36" t="s">
        <v>42</v>
      </c>
      <c r="I865" s="37">
        <v>15</v>
      </c>
      <c r="J865" s="36"/>
    </row>
    <row r="866" spans="1:10" x14ac:dyDescent="0.35">
      <c r="A866" s="36" t="s">
        <v>1058</v>
      </c>
      <c r="B866" s="35">
        <v>46022</v>
      </c>
      <c r="C866" s="36" t="s">
        <v>190</v>
      </c>
      <c r="D866" s="36" t="s">
        <v>191</v>
      </c>
      <c r="E866" s="36" t="s">
        <v>151</v>
      </c>
      <c r="F866" s="36" t="s">
        <v>152</v>
      </c>
      <c r="G866" s="36" t="s">
        <v>8</v>
      </c>
      <c r="H866" s="36" t="s">
        <v>143</v>
      </c>
      <c r="I866" s="37">
        <v>8</v>
      </c>
      <c r="J866" s="36"/>
    </row>
    <row r="867" spans="1:10" x14ac:dyDescent="0.35">
      <c r="A867" s="36" t="s">
        <v>1059</v>
      </c>
      <c r="B867" s="35">
        <v>46022</v>
      </c>
      <c r="C867" s="36" t="s">
        <v>210</v>
      </c>
      <c r="D867" s="36" t="s">
        <v>211</v>
      </c>
      <c r="E867" s="36" t="s">
        <v>48</v>
      </c>
      <c r="F867" s="36" t="s">
        <v>49</v>
      </c>
      <c r="G867" s="36" t="s">
        <v>31</v>
      </c>
      <c r="H867" s="36" t="s">
        <v>50</v>
      </c>
      <c r="I867" s="37">
        <v>10</v>
      </c>
      <c r="J867" s="36"/>
    </row>
    <row r="868" spans="1:10" x14ac:dyDescent="0.35">
      <c r="A868" s="36" t="s">
        <v>1060</v>
      </c>
      <c r="B868" s="35">
        <v>46022</v>
      </c>
      <c r="C868" s="36" t="s">
        <v>210</v>
      </c>
      <c r="D868" s="36" t="s">
        <v>211</v>
      </c>
      <c r="E868" s="36" t="s">
        <v>59</v>
      </c>
      <c r="F868" s="36" t="s">
        <v>60</v>
      </c>
      <c r="G868" s="36" t="s">
        <v>53</v>
      </c>
      <c r="H868" s="36" t="s">
        <v>56</v>
      </c>
      <c r="I868" s="37">
        <v>11</v>
      </c>
      <c r="J868" s="36"/>
    </row>
    <row r="869" spans="1:10" x14ac:dyDescent="0.35">
      <c r="A869" s="36" t="s">
        <v>1061</v>
      </c>
      <c r="B869" s="35">
        <v>46022</v>
      </c>
      <c r="C869" s="36" t="s">
        <v>210</v>
      </c>
      <c r="D869" s="36" t="s">
        <v>211</v>
      </c>
      <c r="E869" s="36" t="s">
        <v>61</v>
      </c>
      <c r="F869" s="36" t="s">
        <v>62</v>
      </c>
      <c r="G869" s="36" t="s">
        <v>53</v>
      </c>
      <c r="H869" s="36" t="s">
        <v>42</v>
      </c>
      <c r="I869" s="37">
        <v>11</v>
      </c>
      <c r="J869" s="36"/>
    </row>
    <row r="870" spans="1:10" x14ac:dyDescent="0.35">
      <c r="A870" s="36" t="s">
        <v>1062</v>
      </c>
      <c r="B870" s="35">
        <v>46022</v>
      </c>
      <c r="C870" s="36" t="s">
        <v>210</v>
      </c>
      <c r="D870" s="36" t="s">
        <v>211</v>
      </c>
      <c r="E870" s="36" t="s">
        <v>128</v>
      </c>
      <c r="F870" s="36" t="s">
        <v>9</v>
      </c>
      <c r="G870" s="36" t="s">
        <v>10</v>
      </c>
      <c r="H870" s="36" t="s">
        <v>129</v>
      </c>
      <c r="I870" s="37">
        <v>7</v>
      </c>
      <c r="J870" s="36"/>
    </row>
    <row r="871" spans="1:10" x14ac:dyDescent="0.35">
      <c r="A871" s="36" t="s">
        <v>1063</v>
      </c>
      <c r="B871" s="35">
        <v>46022</v>
      </c>
      <c r="C871" s="36" t="s">
        <v>210</v>
      </c>
      <c r="D871" s="36" t="s">
        <v>211</v>
      </c>
      <c r="E871" s="36" t="s">
        <v>100</v>
      </c>
      <c r="F871" s="36" t="s">
        <v>101</v>
      </c>
      <c r="G871" s="36" t="s">
        <v>102</v>
      </c>
      <c r="H871" s="36" t="s">
        <v>103</v>
      </c>
      <c r="I871" s="37">
        <v>7</v>
      </c>
      <c r="J871" s="36"/>
    </row>
    <row r="872" spans="1:10" x14ac:dyDescent="0.35">
      <c r="A872" s="36" t="s">
        <v>1064</v>
      </c>
      <c r="B872" s="35">
        <v>46022</v>
      </c>
      <c r="C872" s="36" t="s">
        <v>210</v>
      </c>
      <c r="D872" s="36" t="s">
        <v>211</v>
      </c>
      <c r="E872" s="36" t="s">
        <v>120</v>
      </c>
      <c r="F872" s="36" t="s">
        <v>121</v>
      </c>
      <c r="G872" s="36" t="s">
        <v>14</v>
      </c>
      <c r="H872" s="36" t="s">
        <v>119</v>
      </c>
      <c r="I872" s="37">
        <v>3</v>
      </c>
      <c r="J872" s="36"/>
    </row>
    <row r="873" spans="1:10" x14ac:dyDescent="0.35">
      <c r="A873" s="36" t="s">
        <v>1065</v>
      </c>
      <c r="B873" s="35">
        <v>46022</v>
      </c>
      <c r="C873" s="36" t="s">
        <v>210</v>
      </c>
      <c r="D873" s="36" t="s">
        <v>211</v>
      </c>
      <c r="E873" s="36" t="s">
        <v>88</v>
      </c>
      <c r="F873" s="36" t="s">
        <v>89</v>
      </c>
      <c r="G873" s="36" t="s">
        <v>74</v>
      </c>
      <c r="H873" s="36" t="s">
        <v>90</v>
      </c>
      <c r="I873" s="37">
        <v>10</v>
      </c>
      <c r="J873" s="36"/>
    </row>
    <row r="874" spans="1:10" x14ac:dyDescent="0.35">
      <c r="A874" s="36" t="s">
        <v>1066</v>
      </c>
      <c r="B874" s="35">
        <v>46022</v>
      </c>
      <c r="C874" s="36" t="s">
        <v>210</v>
      </c>
      <c r="D874" s="36" t="s">
        <v>211</v>
      </c>
      <c r="E874" s="36" t="s">
        <v>144</v>
      </c>
      <c r="F874" s="36" t="s">
        <v>7</v>
      </c>
      <c r="G874" s="36" t="s">
        <v>8</v>
      </c>
      <c r="H874" s="36" t="s">
        <v>145</v>
      </c>
      <c r="I874" s="37">
        <v>5</v>
      </c>
      <c r="J874" s="36"/>
    </row>
    <row r="875" spans="1:10" x14ac:dyDescent="0.35">
      <c r="A875" s="36" t="s">
        <v>1067</v>
      </c>
      <c r="B875" s="35">
        <v>46022</v>
      </c>
      <c r="C875" s="36" t="s">
        <v>210</v>
      </c>
      <c r="D875" s="36" t="s">
        <v>211</v>
      </c>
      <c r="E875" s="36" t="s">
        <v>157</v>
      </c>
      <c r="F875" s="36" t="s">
        <v>158</v>
      </c>
      <c r="G875" s="36" t="s">
        <v>159</v>
      </c>
      <c r="H875" s="36" t="s">
        <v>160</v>
      </c>
      <c r="I875" s="37">
        <v>5</v>
      </c>
      <c r="J875" s="36"/>
    </row>
    <row r="876" spans="1:10" x14ac:dyDescent="0.35">
      <c r="A876" s="36" t="s">
        <v>1068</v>
      </c>
      <c r="B876" s="35">
        <v>46022</v>
      </c>
      <c r="C876" s="36" t="s">
        <v>210</v>
      </c>
      <c r="D876" s="36" t="s">
        <v>211</v>
      </c>
      <c r="E876" s="36" t="s">
        <v>125</v>
      </c>
      <c r="F876" s="36" t="s">
        <v>126</v>
      </c>
      <c r="G876" s="36" t="s">
        <v>14</v>
      </c>
      <c r="H876" s="36" t="s">
        <v>127</v>
      </c>
      <c r="I876" s="37">
        <v>3</v>
      </c>
      <c r="J876" s="36"/>
    </row>
    <row r="877" spans="1:10" x14ac:dyDescent="0.35">
      <c r="A877" s="36" t="s">
        <v>1069</v>
      </c>
      <c r="B877" s="35">
        <v>46022</v>
      </c>
      <c r="C877" s="36" t="s">
        <v>210</v>
      </c>
      <c r="D877" s="36" t="s">
        <v>211</v>
      </c>
      <c r="E877" s="36" t="s">
        <v>135</v>
      </c>
      <c r="F877" s="36" t="s">
        <v>5</v>
      </c>
      <c r="G877" s="36" t="s">
        <v>6</v>
      </c>
      <c r="H877" s="36" t="s">
        <v>136</v>
      </c>
      <c r="I877" s="37">
        <v>7</v>
      </c>
      <c r="J877" s="36"/>
    </row>
    <row r="878" spans="1:10" x14ac:dyDescent="0.35">
      <c r="A878" s="36" t="s">
        <v>1070</v>
      </c>
      <c r="B878" s="35">
        <v>46022</v>
      </c>
      <c r="C878" s="36" t="s">
        <v>298</v>
      </c>
      <c r="D878" s="36" t="s">
        <v>299</v>
      </c>
      <c r="E878" s="36" t="s">
        <v>97</v>
      </c>
      <c r="F878" s="36" t="s">
        <v>98</v>
      </c>
      <c r="G878" s="36" t="s">
        <v>93</v>
      </c>
      <c r="H878" s="36" t="s">
        <v>99</v>
      </c>
      <c r="I878" s="37">
        <v>2</v>
      </c>
      <c r="J878" s="36"/>
    </row>
    <row r="879" spans="1:10" x14ac:dyDescent="0.35">
      <c r="A879" s="36" t="s">
        <v>1071</v>
      </c>
      <c r="B879" s="35">
        <v>46022</v>
      </c>
      <c r="C879" s="36" t="s">
        <v>298</v>
      </c>
      <c r="D879" s="36" t="s">
        <v>299</v>
      </c>
      <c r="E879" s="36" t="s">
        <v>128</v>
      </c>
      <c r="F879" s="36" t="s">
        <v>9</v>
      </c>
      <c r="G879" s="36" t="s">
        <v>10</v>
      </c>
      <c r="H879" s="36" t="s">
        <v>129</v>
      </c>
      <c r="I879" s="37">
        <v>1</v>
      </c>
      <c r="J879" s="36"/>
    </row>
    <row r="880" spans="1:10" x14ac:dyDescent="0.35">
      <c r="A880" s="36" t="s">
        <v>1072</v>
      </c>
      <c r="B880" s="35">
        <v>46022</v>
      </c>
      <c r="C880" s="36" t="s">
        <v>298</v>
      </c>
      <c r="D880" s="36" t="s">
        <v>299</v>
      </c>
      <c r="E880" s="36" t="s">
        <v>156</v>
      </c>
      <c r="F880" s="36" t="s">
        <v>11</v>
      </c>
      <c r="G880" s="36" t="s">
        <v>12</v>
      </c>
      <c r="H880" s="36" t="s">
        <v>155</v>
      </c>
      <c r="I880" s="37">
        <v>1</v>
      </c>
      <c r="J880" s="36"/>
    </row>
    <row r="881" spans="1:10" x14ac:dyDescent="0.35">
      <c r="A881" s="36" t="s">
        <v>1073</v>
      </c>
      <c r="B881" s="35">
        <v>46022</v>
      </c>
      <c r="C881" s="36" t="s">
        <v>298</v>
      </c>
      <c r="D881" s="36" t="s">
        <v>299</v>
      </c>
      <c r="E881" s="36" t="s">
        <v>76</v>
      </c>
      <c r="F881" s="36" t="s">
        <v>77</v>
      </c>
      <c r="G881" s="36" t="s">
        <v>74</v>
      </c>
      <c r="H881" s="36" t="s">
        <v>75</v>
      </c>
      <c r="I881" s="37">
        <v>2</v>
      </c>
      <c r="J881" s="36"/>
    </row>
    <row r="882" spans="1:10" x14ac:dyDescent="0.35">
      <c r="A882" s="36" t="s">
        <v>1074</v>
      </c>
      <c r="B882" s="35">
        <v>46022</v>
      </c>
      <c r="C882" s="36" t="s">
        <v>298</v>
      </c>
      <c r="D882" s="36" t="s">
        <v>299</v>
      </c>
      <c r="E882" s="36" t="s">
        <v>94</v>
      </c>
      <c r="F882" s="36" t="s">
        <v>95</v>
      </c>
      <c r="G882" s="36" t="s">
        <v>93</v>
      </c>
      <c r="H882" s="36" t="s">
        <v>96</v>
      </c>
      <c r="I882" s="37">
        <v>2</v>
      </c>
      <c r="J882" s="36"/>
    </row>
    <row r="883" spans="1:10" x14ac:dyDescent="0.35">
      <c r="A883" s="36" t="s">
        <v>1075</v>
      </c>
      <c r="B883" s="35">
        <v>46022</v>
      </c>
      <c r="C883" s="36" t="s">
        <v>298</v>
      </c>
      <c r="D883" s="36" t="s">
        <v>299</v>
      </c>
      <c r="E883" s="36" t="s">
        <v>109</v>
      </c>
      <c r="F883" s="36" t="s">
        <v>110</v>
      </c>
      <c r="G883" s="36" t="s">
        <v>102</v>
      </c>
      <c r="H883" s="36" t="s">
        <v>42</v>
      </c>
      <c r="I883" s="37">
        <v>8</v>
      </c>
      <c r="J883" s="36"/>
    </row>
    <row r="884" spans="1:10" x14ac:dyDescent="0.35">
      <c r="A884" s="36" t="s">
        <v>1076</v>
      </c>
      <c r="B884" s="35">
        <v>46022</v>
      </c>
      <c r="C884" s="36" t="s">
        <v>298</v>
      </c>
      <c r="D884" s="36" t="s">
        <v>299</v>
      </c>
      <c r="E884" s="36" t="s">
        <v>149</v>
      </c>
      <c r="F884" s="36" t="s">
        <v>150</v>
      </c>
      <c r="G884" s="36" t="s">
        <v>8</v>
      </c>
      <c r="H884" s="36" t="s">
        <v>75</v>
      </c>
      <c r="I884" s="37">
        <v>1</v>
      </c>
      <c r="J884" s="36"/>
    </row>
    <row r="885" spans="1:10" x14ac:dyDescent="0.35">
      <c r="A885" s="36" t="s">
        <v>1077</v>
      </c>
      <c r="B885" s="35">
        <v>46022</v>
      </c>
      <c r="C885" s="36" t="s">
        <v>298</v>
      </c>
      <c r="D885" s="36" t="s">
        <v>299</v>
      </c>
      <c r="E885" s="36" t="s">
        <v>100</v>
      </c>
      <c r="F885" s="36" t="s">
        <v>101</v>
      </c>
      <c r="G885" s="36" t="s">
        <v>102</v>
      </c>
      <c r="H885" s="36" t="s">
        <v>103</v>
      </c>
      <c r="I885" s="37">
        <v>8</v>
      </c>
      <c r="J885" s="36"/>
    </row>
    <row r="886" spans="1:10" x14ac:dyDescent="0.35">
      <c r="A886" s="36" t="s">
        <v>1078</v>
      </c>
      <c r="B886" s="35">
        <v>46023</v>
      </c>
      <c r="C886" s="36" t="s">
        <v>190</v>
      </c>
      <c r="D886" s="36" t="s">
        <v>191</v>
      </c>
      <c r="E886" s="36" t="s">
        <v>128</v>
      </c>
      <c r="F886" s="36" t="s">
        <v>9</v>
      </c>
      <c r="G886" s="36" t="s">
        <v>10</v>
      </c>
      <c r="H886" s="36" t="s">
        <v>129</v>
      </c>
      <c r="I886" s="37">
        <v>7</v>
      </c>
      <c r="J886" s="36"/>
    </row>
    <row r="887" spans="1:10" x14ac:dyDescent="0.35">
      <c r="A887" s="36" t="s">
        <v>1079</v>
      </c>
      <c r="B887" s="35">
        <v>46023</v>
      </c>
      <c r="C887" s="36" t="s">
        <v>190</v>
      </c>
      <c r="D887" s="36" t="s">
        <v>191</v>
      </c>
      <c r="E887" s="36" t="s">
        <v>120</v>
      </c>
      <c r="F887" s="36" t="s">
        <v>121</v>
      </c>
      <c r="G887" s="36" t="s">
        <v>14</v>
      </c>
      <c r="H887" s="36" t="s">
        <v>119</v>
      </c>
      <c r="I887" s="37">
        <v>2</v>
      </c>
      <c r="J887" s="36"/>
    </row>
    <row r="888" spans="1:10" x14ac:dyDescent="0.35">
      <c r="A888" s="36" t="s">
        <v>1080</v>
      </c>
      <c r="B888" s="35">
        <v>46023</v>
      </c>
      <c r="C888" s="36" t="s">
        <v>190</v>
      </c>
      <c r="D888" s="36" t="s">
        <v>191</v>
      </c>
      <c r="E888" s="36" t="s">
        <v>161</v>
      </c>
      <c r="F888" s="36" t="s">
        <v>162</v>
      </c>
      <c r="G888" s="36" t="s">
        <v>159</v>
      </c>
      <c r="H888" s="36" t="s">
        <v>163</v>
      </c>
      <c r="I888" s="37">
        <v>7</v>
      </c>
      <c r="J888" s="36"/>
    </row>
    <row r="889" spans="1:10" x14ac:dyDescent="0.35">
      <c r="A889" s="36" t="s">
        <v>1081</v>
      </c>
      <c r="B889" s="35">
        <v>46023</v>
      </c>
      <c r="C889" s="36" t="s">
        <v>190</v>
      </c>
      <c r="D889" s="36" t="s">
        <v>191</v>
      </c>
      <c r="E889" s="36" t="s">
        <v>130</v>
      </c>
      <c r="F889" s="36" t="s">
        <v>16</v>
      </c>
      <c r="G889" s="36" t="s">
        <v>10</v>
      </c>
      <c r="H889" s="36" t="s">
        <v>131</v>
      </c>
      <c r="I889" s="37">
        <v>9</v>
      </c>
      <c r="J889" s="36"/>
    </row>
    <row r="890" spans="1:10" x14ac:dyDescent="0.35">
      <c r="A890" s="36" t="s">
        <v>1082</v>
      </c>
      <c r="B890" s="35">
        <v>46023</v>
      </c>
      <c r="C890" s="36" t="s">
        <v>190</v>
      </c>
      <c r="D890" s="36" t="s">
        <v>191</v>
      </c>
      <c r="E890" s="36" t="s">
        <v>153</v>
      </c>
      <c r="F890" s="36" t="s">
        <v>154</v>
      </c>
      <c r="G890" s="36" t="s">
        <v>12</v>
      </c>
      <c r="H890" s="36" t="s">
        <v>155</v>
      </c>
      <c r="I890" s="37">
        <v>4</v>
      </c>
      <c r="J890" s="36"/>
    </row>
    <row r="891" spans="1:10" x14ac:dyDescent="0.35">
      <c r="A891" s="36" t="s">
        <v>1083</v>
      </c>
      <c r="B891" s="35">
        <v>46023</v>
      </c>
      <c r="C891" s="36" t="s">
        <v>190</v>
      </c>
      <c r="D891" s="36" t="s">
        <v>191</v>
      </c>
      <c r="E891" s="36" t="s">
        <v>57</v>
      </c>
      <c r="F891" s="36" t="s">
        <v>58</v>
      </c>
      <c r="G891" s="36" t="s">
        <v>53</v>
      </c>
      <c r="H891" s="36" t="s">
        <v>42</v>
      </c>
      <c r="I891" s="37">
        <v>27</v>
      </c>
      <c r="J891" s="36"/>
    </row>
    <row r="892" spans="1:10" x14ac:dyDescent="0.35">
      <c r="A892" s="36" t="s">
        <v>1084</v>
      </c>
      <c r="B892" s="35">
        <v>46023</v>
      </c>
      <c r="C892" s="36" t="s">
        <v>190</v>
      </c>
      <c r="D892" s="36" t="s">
        <v>191</v>
      </c>
      <c r="E892" s="36" t="s">
        <v>48</v>
      </c>
      <c r="F892" s="36" t="s">
        <v>49</v>
      </c>
      <c r="G892" s="36" t="s">
        <v>31</v>
      </c>
      <c r="H892" s="36" t="s">
        <v>50</v>
      </c>
      <c r="I892" s="37">
        <v>13</v>
      </c>
      <c r="J892" s="36"/>
    </row>
    <row r="893" spans="1:10" x14ac:dyDescent="0.35">
      <c r="A893" s="36" t="s">
        <v>1085</v>
      </c>
      <c r="B893" s="35">
        <v>46023</v>
      </c>
      <c r="C893" s="36" t="s">
        <v>190</v>
      </c>
      <c r="D893" s="36" t="s">
        <v>191</v>
      </c>
      <c r="E893" s="36" t="s">
        <v>37</v>
      </c>
      <c r="F893" s="36" t="s">
        <v>38</v>
      </c>
      <c r="G893" s="36" t="s">
        <v>31</v>
      </c>
      <c r="H893" s="36" t="s">
        <v>39</v>
      </c>
      <c r="I893" s="37">
        <v>18</v>
      </c>
      <c r="J893" s="36"/>
    </row>
    <row r="894" spans="1:10" x14ac:dyDescent="0.35">
      <c r="A894" s="36" t="s">
        <v>1086</v>
      </c>
      <c r="B894" s="35">
        <v>46023</v>
      </c>
      <c r="C894" s="36" t="s">
        <v>190</v>
      </c>
      <c r="D894" s="36" t="s">
        <v>191</v>
      </c>
      <c r="E894" s="36" t="s">
        <v>111</v>
      </c>
      <c r="F894" s="36" t="s">
        <v>112</v>
      </c>
      <c r="G894" s="36" t="s">
        <v>102</v>
      </c>
      <c r="H894" s="36" t="s">
        <v>113</v>
      </c>
      <c r="I894" s="37">
        <v>22</v>
      </c>
      <c r="J894" s="36"/>
    </row>
    <row r="895" spans="1:10" x14ac:dyDescent="0.35">
      <c r="A895" s="36" t="s">
        <v>1087</v>
      </c>
      <c r="B895" s="35">
        <v>46023</v>
      </c>
      <c r="C895" s="36" t="s">
        <v>298</v>
      </c>
      <c r="D895" s="36" t="s">
        <v>299</v>
      </c>
      <c r="E895" s="36" t="s">
        <v>153</v>
      </c>
      <c r="F895" s="36" t="s">
        <v>154</v>
      </c>
      <c r="G895" s="36" t="s">
        <v>12</v>
      </c>
      <c r="H895" s="36" t="s">
        <v>155</v>
      </c>
      <c r="I895" s="37">
        <v>2</v>
      </c>
      <c r="J895" s="36"/>
    </row>
    <row r="896" spans="1:10" x14ac:dyDescent="0.35">
      <c r="A896" s="36" t="s">
        <v>1088</v>
      </c>
      <c r="B896" s="35">
        <v>46023</v>
      </c>
      <c r="C896" s="36" t="s">
        <v>298</v>
      </c>
      <c r="D896" s="36" t="s">
        <v>299</v>
      </c>
      <c r="E896" s="36" t="s">
        <v>86</v>
      </c>
      <c r="F896" s="36" t="s">
        <v>87</v>
      </c>
      <c r="G896" s="36" t="s">
        <v>74</v>
      </c>
      <c r="H896" s="36" t="s">
        <v>75</v>
      </c>
      <c r="I896" s="37">
        <v>4</v>
      </c>
      <c r="J896" s="36"/>
    </row>
    <row r="897" spans="1:10" x14ac:dyDescent="0.35">
      <c r="A897" s="36" t="s">
        <v>1089</v>
      </c>
      <c r="B897" s="35">
        <v>46023</v>
      </c>
      <c r="C897" s="36" t="s">
        <v>298</v>
      </c>
      <c r="D897" s="36" t="s">
        <v>299</v>
      </c>
      <c r="E897" s="36" t="s">
        <v>61</v>
      </c>
      <c r="F897" s="36" t="s">
        <v>62</v>
      </c>
      <c r="G897" s="36" t="s">
        <v>53</v>
      </c>
      <c r="H897" s="36" t="s">
        <v>42</v>
      </c>
      <c r="I897" s="37">
        <v>5</v>
      </c>
      <c r="J897" s="36"/>
    </row>
    <row r="898" spans="1:10" x14ac:dyDescent="0.35">
      <c r="A898" s="36" t="s">
        <v>1090</v>
      </c>
      <c r="B898" s="35">
        <v>46023</v>
      </c>
      <c r="C898" s="36" t="s">
        <v>298</v>
      </c>
      <c r="D898" s="36" t="s">
        <v>299</v>
      </c>
      <c r="E898" s="36" t="s">
        <v>149</v>
      </c>
      <c r="F898" s="36" t="s">
        <v>150</v>
      </c>
      <c r="G898" s="36" t="s">
        <v>8</v>
      </c>
      <c r="H898" s="36" t="s">
        <v>75</v>
      </c>
      <c r="I898" s="37">
        <v>2</v>
      </c>
      <c r="J898" s="36"/>
    </row>
    <row r="899" spans="1:10" x14ac:dyDescent="0.35">
      <c r="A899" s="36" t="s">
        <v>1091</v>
      </c>
      <c r="B899" s="35">
        <v>46030</v>
      </c>
      <c r="C899" s="36" t="s">
        <v>238</v>
      </c>
      <c r="D899" s="36" t="s">
        <v>239</v>
      </c>
      <c r="E899" s="36" t="s">
        <v>78</v>
      </c>
      <c r="F899" s="36" t="s">
        <v>79</v>
      </c>
      <c r="G899" s="36" t="s">
        <v>74</v>
      </c>
      <c r="H899" s="36" t="s">
        <v>80</v>
      </c>
      <c r="I899" s="37">
        <v>3</v>
      </c>
      <c r="J899" s="36"/>
    </row>
    <row r="900" spans="1:10" x14ac:dyDescent="0.35">
      <c r="A900" s="36" t="s">
        <v>1092</v>
      </c>
      <c r="B900" s="35">
        <v>46030</v>
      </c>
      <c r="C900" s="36" t="s">
        <v>238</v>
      </c>
      <c r="D900" s="36" t="s">
        <v>239</v>
      </c>
      <c r="E900" s="36" t="s">
        <v>106</v>
      </c>
      <c r="F900" s="36" t="s">
        <v>107</v>
      </c>
      <c r="G900" s="36" t="s">
        <v>102</v>
      </c>
      <c r="H900" s="36" t="s">
        <v>108</v>
      </c>
      <c r="I900" s="37">
        <v>7</v>
      </c>
      <c r="J900" s="36"/>
    </row>
    <row r="901" spans="1:10" x14ac:dyDescent="0.35">
      <c r="A901" s="36" t="s">
        <v>1093</v>
      </c>
      <c r="B901" s="35">
        <v>46030</v>
      </c>
      <c r="C901" s="36" t="s">
        <v>238</v>
      </c>
      <c r="D901" s="36" t="s">
        <v>239</v>
      </c>
      <c r="E901" s="36" t="s">
        <v>86</v>
      </c>
      <c r="F901" s="36" t="s">
        <v>87</v>
      </c>
      <c r="G901" s="36" t="s">
        <v>74</v>
      </c>
      <c r="H901" s="36" t="s">
        <v>75</v>
      </c>
      <c r="I901" s="37">
        <v>4</v>
      </c>
      <c r="J901" s="36"/>
    </row>
    <row r="902" spans="1:10" x14ac:dyDescent="0.35">
      <c r="A902" s="36" t="s">
        <v>1094</v>
      </c>
      <c r="B902" s="35">
        <v>46030</v>
      </c>
      <c r="C902" s="36" t="s">
        <v>238</v>
      </c>
      <c r="D902" s="36" t="s">
        <v>239</v>
      </c>
      <c r="E902" s="36" t="s">
        <v>146</v>
      </c>
      <c r="F902" s="36" t="s">
        <v>147</v>
      </c>
      <c r="G902" s="36" t="s">
        <v>8</v>
      </c>
      <c r="H902" s="36" t="s">
        <v>148</v>
      </c>
      <c r="I902" s="37">
        <v>2</v>
      </c>
      <c r="J902" s="36"/>
    </row>
    <row r="903" spans="1:10" x14ac:dyDescent="0.35">
      <c r="A903" s="36" t="s">
        <v>1095</v>
      </c>
      <c r="B903" s="35">
        <v>46030</v>
      </c>
      <c r="C903" s="36" t="s">
        <v>238</v>
      </c>
      <c r="D903" s="36" t="s">
        <v>239</v>
      </c>
      <c r="E903" s="36" t="s">
        <v>130</v>
      </c>
      <c r="F903" s="36" t="s">
        <v>16</v>
      </c>
      <c r="G903" s="36" t="s">
        <v>10</v>
      </c>
      <c r="H903" s="36" t="s">
        <v>131</v>
      </c>
      <c r="I903" s="37">
        <v>2</v>
      </c>
      <c r="J903" s="36"/>
    </row>
    <row r="904" spans="1:10" x14ac:dyDescent="0.35">
      <c r="A904" s="36" t="s">
        <v>1096</v>
      </c>
      <c r="B904" s="35">
        <v>46030</v>
      </c>
      <c r="C904" s="36" t="s">
        <v>238</v>
      </c>
      <c r="D904" s="36" t="s">
        <v>239</v>
      </c>
      <c r="E904" s="36" t="s">
        <v>46</v>
      </c>
      <c r="F904" s="36" t="s">
        <v>47</v>
      </c>
      <c r="G904" s="36" t="s">
        <v>31</v>
      </c>
      <c r="H904" s="36" t="s">
        <v>42</v>
      </c>
      <c r="I904" s="37">
        <v>9</v>
      </c>
      <c r="J904" s="36"/>
    </row>
    <row r="905" spans="1:10" x14ac:dyDescent="0.35">
      <c r="A905" s="36" t="s">
        <v>1097</v>
      </c>
      <c r="B905" s="35">
        <v>46034</v>
      </c>
      <c r="C905" s="36" t="s">
        <v>190</v>
      </c>
      <c r="D905" s="36" t="s">
        <v>191</v>
      </c>
      <c r="E905" s="36" t="s">
        <v>91</v>
      </c>
      <c r="F905" s="36" t="s">
        <v>92</v>
      </c>
      <c r="G905" s="36" t="s">
        <v>93</v>
      </c>
      <c r="H905" s="36" t="s">
        <v>85</v>
      </c>
      <c r="I905" s="37">
        <v>10</v>
      </c>
      <c r="J905" s="36"/>
    </row>
    <row r="906" spans="1:10" x14ac:dyDescent="0.35">
      <c r="A906" s="36" t="s">
        <v>1098</v>
      </c>
      <c r="B906" s="35">
        <v>46034</v>
      </c>
      <c r="C906" s="36" t="s">
        <v>190</v>
      </c>
      <c r="D906" s="36" t="s">
        <v>191</v>
      </c>
      <c r="E906" s="36" t="s">
        <v>106</v>
      </c>
      <c r="F906" s="36" t="s">
        <v>107</v>
      </c>
      <c r="G906" s="36" t="s">
        <v>102</v>
      </c>
      <c r="H906" s="36" t="s">
        <v>108</v>
      </c>
      <c r="I906" s="37">
        <v>14</v>
      </c>
      <c r="J906" s="36"/>
    </row>
    <row r="907" spans="1:10" x14ac:dyDescent="0.35">
      <c r="A907" s="36" t="s">
        <v>1099</v>
      </c>
      <c r="B907" s="35">
        <v>46034</v>
      </c>
      <c r="C907" s="36" t="s">
        <v>190</v>
      </c>
      <c r="D907" s="36" t="s">
        <v>191</v>
      </c>
      <c r="E907" s="36" t="s">
        <v>104</v>
      </c>
      <c r="F907" s="36" t="s">
        <v>105</v>
      </c>
      <c r="G907" s="36" t="s">
        <v>102</v>
      </c>
      <c r="H907" s="36" t="s">
        <v>103</v>
      </c>
      <c r="I907" s="37">
        <v>10</v>
      </c>
      <c r="J907" s="36"/>
    </row>
    <row r="908" spans="1:10" x14ac:dyDescent="0.35">
      <c r="A908" s="36" t="s">
        <v>1100</v>
      </c>
      <c r="B908" s="35">
        <v>46034</v>
      </c>
      <c r="C908" s="36" t="s">
        <v>190</v>
      </c>
      <c r="D908" s="36" t="s">
        <v>191</v>
      </c>
      <c r="E908" s="36" t="s">
        <v>51</v>
      </c>
      <c r="F908" s="36" t="s">
        <v>52</v>
      </c>
      <c r="G908" s="36" t="s">
        <v>53</v>
      </c>
      <c r="H908" s="36" t="s">
        <v>42</v>
      </c>
      <c r="I908" s="37">
        <v>23</v>
      </c>
      <c r="J908" s="36"/>
    </row>
    <row r="909" spans="1:10" x14ac:dyDescent="0.35">
      <c r="A909" s="36" t="s">
        <v>1101</v>
      </c>
      <c r="B909" s="35">
        <v>46034</v>
      </c>
      <c r="C909" s="36" t="s">
        <v>190</v>
      </c>
      <c r="D909" s="36" t="s">
        <v>191</v>
      </c>
      <c r="E909" s="36" t="s">
        <v>69</v>
      </c>
      <c r="F909" s="36" t="s">
        <v>70</v>
      </c>
      <c r="G909" s="36" t="s">
        <v>66</v>
      </c>
      <c r="H909" s="36" t="s">
        <v>71</v>
      </c>
      <c r="I909" s="37">
        <v>9</v>
      </c>
      <c r="J909" s="36"/>
    </row>
    <row r="910" spans="1:10" x14ac:dyDescent="0.35">
      <c r="A910" s="36" t="s">
        <v>1102</v>
      </c>
      <c r="B910" s="35">
        <v>46034</v>
      </c>
      <c r="C910" s="36" t="s">
        <v>190</v>
      </c>
      <c r="D910" s="36" t="s">
        <v>191</v>
      </c>
      <c r="E910" s="36" t="s">
        <v>141</v>
      </c>
      <c r="F910" s="36" t="s">
        <v>142</v>
      </c>
      <c r="G910" s="36" t="s">
        <v>8</v>
      </c>
      <c r="H910" s="36" t="s">
        <v>143</v>
      </c>
      <c r="I910" s="37">
        <v>9</v>
      </c>
      <c r="J910" s="36"/>
    </row>
    <row r="911" spans="1:10" x14ac:dyDescent="0.35">
      <c r="A911" s="36" t="s">
        <v>1103</v>
      </c>
      <c r="B911" s="35">
        <v>46034</v>
      </c>
      <c r="C911" s="36" t="s">
        <v>190</v>
      </c>
      <c r="D911" s="36" t="s">
        <v>191</v>
      </c>
      <c r="E911" s="36" t="s">
        <v>135</v>
      </c>
      <c r="F911" s="36" t="s">
        <v>5</v>
      </c>
      <c r="G911" s="36" t="s">
        <v>6</v>
      </c>
      <c r="H911" s="36" t="s">
        <v>136</v>
      </c>
      <c r="I911" s="37">
        <v>10</v>
      </c>
      <c r="J911" s="36"/>
    </row>
    <row r="912" spans="1:10" x14ac:dyDescent="0.35">
      <c r="A912" s="36" t="s">
        <v>1104</v>
      </c>
      <c r="B912" s="35">
        <v>46034</v>
      </c>
      <c r="C912" s="36" t="s">
        <v>190</v>
      </c>
      <c r="D912" s="36" t="s">
        <v>191</v>
      </c>
      <c r="E912" s="36" t="s">
        <v>29</v>
      </c>
      <c r="F912" s="36" t="s">
        <v>30</v>
      </c>
      <c r="G912" s="36" t="s">
        <v>31</v>
      </c>
      <c r="H912" s="36" t="s">
        <v>32</v>
      </c>
      <c r="I912" s="37">
        <v>12</v>
      </c>
      <c r="J912" s="36"/>
    </row>
    <row r="913" spans="1:10" x14ac:dyDescent="0.35">
      <c r="A913" s="36" t="s">
        <v>1105</v>
      </c>
      <c r="B913" s="35">
        <v>46034</v>
      </c>
      <c r="C913" s="36" t="s">
        <v>190</v>
      </c>
      <c r="D913" s="36" t="s">
        <v>191</v>
      </c>
      <c r="E913" s="36" t="s">
        <v>138</v>
      </c>
      <c r="F913" s="36" t="s">
        <v>139</v>
      </c>
      <c r="G913" s="36" t="s">
        <v>6</v>
      </c>
      <c r="H913" s="36" t="s">
        <v>140</v>
      </c>
      <c r="I913" s="37">
        <v>15</v>
      </c>
      <c r="J913" s="36"/>
    </row>
    <row r="914" spans="1:10" x14ac:dyDescent="0.35">
      <c r="A914" s="36" t="s">
        <v>1106</v>
      </c>
      <c r="B914" s="35">
        <v>46034</v>
      </c>
      <c r="C914" s="36" t="s">
        <v>190</v>
      </c>
      <c r="D914" s="36" t="s">
        <v>191</v>
      </c>
      <c r="E914" s="36" t="s">
        <v>149</v>
      </c>
      <c r="F914" s="36" t="s">
        <v>150</v>
      </c>
      <c r="G914" s="36" t="s">
        <v>8</v>
      </c>
      <c r="H914" s="36" t="s">
        <v>75</v>
      </c>
      <c r="I914" s="37">
        <v>8</v>
      </c>
      <c r="J914" s="36"/>
    </row>
    <row r="915" spans="1:10" x14ac:dyDescent="0.35">
      <c r="A915" s="36" t="s">
        <v>1107</v>
      </c>
      <c r="B915" s="35">
        <v>46034</v>
      </c>
      <c r="C915" s="36" t="s">
        <v>210</v>
      </c>
      <c r="D915" s="36" t="s">
        <v>211</v>
      </c>
      <c r="E915" s="36" t="s">
        <v>157</v>
      </c>
      <c r="F915" s="36" t="s">
        <v>158</v>
      </c>
      <c r="G915" s="36" t="s">
        <v>159</v>
      </c>
      <c r="H915" s="36" t="s">
        <v>160</v>
      </c>
      <c r="I915" s="37">
        <v>3</v>
      </c>
      <c r="J915" s="36"/>
    </row>
    <row r="916" spans="1:10" x14ac:dyDescent="0.35">
      <c r="A916" s="36" t="s">
        <v>1108</v>
      </c>
      <c r="B916" s="35">
        <v>46034</v>
      </c>
      <c r="C916" s="36" t="s">
        <v>210</v>
      </c>
      <c r="D916" s="36" t="s">
        <v>211</v>
      </c>
      <c r="E916" s="36" t="s">
        <v>135</v>
      </c>
      <c r="F916" s="36" t="s">
        <v>5</v>
      </c>
      <c r="G916" s="36" t="s">
        <v>6</v>
      </c>
      <c r="H916" s="36" t="s">
        <v>136</v>
      </c>
      <c r="I916" s="37">
        <v>7</v>
      </c>
      <c r="J916" s="36"/>
    </row>
    <row r="917" spans="1:10" x14ac:dyDescent="0.35">
      <c r="A917" s="36" t="s">
        <v>1109</v>
      </c>
      <c r="B917" s="35">
        <v>46034</v>
      </c>
      <c r="C917" s="36" t="s">
        <v>210</v>
      </c>
      <c r="D917" s="36" t="s">
        <v>211</v>
      </c>
      <c r="E917" s="36" t="s">
        <v>130</v>
      </c>
      <c r="F917" s="36" t="s">
        <v>16</v>
      </c>
      <c r="G917" s="36" t="s">
        <v>10</v>
      </c>
      <c r="H917" s="36" t="s">
        <v>131</v>
      </c>
      <c r="I917" s="37">
        <v>3</v>
      </c>
      <c r="J917" s="36"/>
    </row>
    <row r="918" spans="1:10" x14ac:dyDescent="0.35">
      <c r="A918" s="36" t="s">
        <v>1110</v>
      </c>
      <c r="B918" s="35">
        <v>46034</v>
      </c>
      <c r="C918" s="36" t="s">
        <v>210</v>
      </c>
      <c r="D918" s="36" t="s">
        <v>211</v>
      </c>
      <c r="E918" s="36" t="s">
        <v>120</v>
      </c>
      <c r="F918" s="36" t="s">
        <v>121</v>
      </c>
      <c r="G918" s="36" t="s">
        <v>14</v>
      </c>
      <c r="H918" s="36" t="s">
        <v>119</v>
      </c>
      <c r="I918" s="37">
        <v>3</v>
      </c>
      <c r="J918" s="36"/>
    </row>
    <row r="919" spans="1:10" x14ac:dyDescent="0.35">
      <c r="A919" s="36" t="s">
        <v>1111</v>
      </c>
      <c r="B919" s="35">
        <v>46034</v>
      </c>
      <c r="C919" s="36" t="s">
        <v>210</v>
      </c>
      <c r="D919" s="36" t="s">
        <v>211</v>
      </c>
      <c r="E919" s="36" t="s">
        <v>46</v>
      </c>
      <c r="F919" s="36" t="s">
        <v>47</v>
      </c>
      <c r="G919" s="36" t="s">
        <v>31</v>
      </c>
      <c r="H919" s="36" t="s">
        <v>42</v>
      </c>
      <c r="I919" s="37">
        <v>7</v>
      </c>
      <c r="J919" s="36"/>
    </row>
    <row r="920" spans="1:10" x14ac:dyDescent="0.35">
      <c r="A920" s="36" t="s">
        <v>1112</v>
      </c>
      <c r="B920" s="35">
        <v>46034</v>
      </c>
      <c r="C920" s="36" t="s">
        <v>210</v>
      </c>
      <c r="D920" s="36" t="s">
        <v>211</v>
      </c>
      <c r="E920" s="36" t="s">
        <v>69</v>
      </c>
      <c r="F920" s="36" t="s">
        <v>70</v>
      </c>
      <c r="G920" s="36" t="s">
        <v>66</v>
      </c>
      <c r="H920" s="36" t="s">
        <v>71</v>
      </c>
      <c r="I920" s="37">
        <v>9</v>
      </c>
      <c r="J920" s="36"/>
    </row>
    <row r="921" spans="1:10" x14ac:dyDescent="0.35">
      <c r="A921" s="36" t="s">
        <v>1113</v>
      </c>
      <c r="B921" s="35">
        <v>46034</v>
      </c>
      <c r="C921" s="36" t="s">
        <v>210</v>
      </c>
      <c r="D921" s="36" t="s">
        <v>211</v>
      </c>
      <c r="E921" s="36" t="s">
        <v>106</v>
      </c>
      <c r="F921" s="36" t="s">
        <v>107</v>
      </c>
      <c r="G921" s="36" t="s">
        <v>102</v>
      </c>
      <c r="H921" s="36" t="s">
        <v>108</v>
      </c>
      <c r="I921" s="37">
        <v>10</v>
      </c>
      <c r="J921" s="36"/>
    </row>
    <row r="922" spans="1:10" x14ac:dyDescent="0.35">
      <c r="A922" s="36" t="s">
        <v>1114</v>
      </c>
      <c r="B922" s="35">
        <v>46034</v>
      </c>
      <c r="C922" s="36" t="s">
        <v>210</v>
      </c>
      <c r="D922" s="36" t="s">
        <v>211</v>
      </c>
      <c r="E922" s="36" t="s">
        <v>81</v>
      </c>
      <c r="F922" s="36" t="s">
        <v>82</v>
      </c>
      <c r="G922" s="36" t="s">
        <v>74</v>
      </c>
      <c r="H922" s="36" t="s">
        <v>80</v>
      </c>
      <c r="I922" s="37">
        <v>6</v>
      </c>
      <c r="J922" s="36"/>
    </row>
    <row r="923" spans="1:10" x14ac:dyDescent="0.35">
      <c r="A923" s="36" t="s">
        <v>1115</v>
      </c>
      <c r="B923" s="35">
        <v>46034</v>
      </c>
      <c r="C923" s="36" t="s">
        <v>210</v>
      </c>
      <c r="D923" s="36" t="s">
        <v>211</v>
      </c>
      <c r="E923" s="36" t="s">
        <v>100</v>
      </c>
      <c r="F923" s="36" t="s">
        <v>101</v>
      </c>
      <c r="G923" s="36" t="s">
        <v>102</v>
      </c>
      <c r="H923" s="36" t="s">
        <v>103</v>
      </c>
      <c r="I923" s="37">
        <v>6</v>
      </c>
      <c r="J923" s="36"/>
    </row>
    <row r="924" spans="1:10" x14ac:dyDescent="0.35">
      <c r="A924" s="36" t="s">
        <v>1116</v>
      </c>
      <c r="B924" s="35">
        <v>46034</v>
      </c>
      <c r="C924" s="36" t="s">
        <v>210</v>
      </c>
      <c r="D924" s="36" t="s">
        <v>211</v>
      </c>
      <c r="E924" s="36" t="s">
        <v>57</v>
      </c>
      <c r="F924" s="36" t="s">
        <v>58</v>
      </c>
      <c r="G924" s="36" t="s">
        <v>53</v>
      </c>
      <c r="H924" s="36" t="s">
        <v>42</v>
      </c>
      <c r="I924" s="37">
        <v>14</v>
      </c>
      <c r="J924" s="36"/>
    </row>
    <row r="925" spans="1:10" x14ac:dyDescent="0.35">
      <c r="A925" s="36" t="s">
        <v>1117</v>
      </c>
      <c r="B925" s="35">
        <v>46034</v>
      </c>
      <c r="C925" s="36" t="s">
        <v>210</v>
      </c>
      <c r="D925" s="36" t="s">
        <v>211</v>
      </c>
      <c r="E925" s="36" t="s">
        <v>54</v>
      </c>
      <c r="F925" s="36" t="s">
        <v>55</v>
      </c>
      <c r="G925" s="36" t="s">
        <v>53</v>
      </c>
      <c r="H925" s="36" t="s">
        <v>56</v>
      </c>
      <c r="I925" s="37">
        <v>13</v>
      </c>
      <c r="J925" s="36"/>
    </row>
    <row r="926" spans="1:10" x14ac:dyDescent="0.35">
      <c r="A926" s="36" t="s">
        <v>1118</v>
      </c>
      <c r="B926" s="35">
        <v>46034</v>
      </c>
      <c r="C926" s="36" t="s">
        <v>210</v>
      </c>
      <c r="D926" s="36" t="s">
        <v>211</v>
      </c>
      <c r="E926" s="36" t="s">
        <v>88</v>
      </c>
      <c r="F926" s="36" t="s">
        <v>89</v>
      </c>
      <c r="G926" s="36" t="s">
        <v>74</v>
      </c>
      <c r="H926" s="36" t="s">
        <v>90</v>
      </c>
      <c r="I926" s="37">
        <v>9</v>
      </c>
      <c r="J926" s="36"/>
    </row>
    <row r="927" spans="1:10" x14ac:dyDescent="0.35">
      <c r="A927" s="36" t="s">
        <v>1119</v>
      </c>
      <c r="B927" s="35">
        <v>46037</v>
      </c>
      <c r="C927" s="36" t="s">
        <v>210</v>
      </c>
      <c r="D927" s="36" t="s">
        <v>211</v>
      </c>
      <c r="E927" s="36" t="s">
        <v>109</v>
      </c>
      <c r="F927" s="36" t="s">
        <v>110</v>
      </c>
      <c r="G927" s="36" t="s">
        <v>102</v>
      </c>
      <c r="H927" s="36" t="s">
        <v>42</v>
      </c>
      <c r="I927" s="37">
        <v>10</v>
      </c>
      <c r="J927" s="36"/>
    </row>
    <row r="928" spans="1:10" x14ac:dyDescent="0.35">
      <c r="A928" s="36" t="s">
        <v>1120</v>
      </c>
      <c r="B928" s="35">
        <v>46037</v>
      </c>
      <c r="C928" s="36" t="s">
        <v>210</v>
      </c>
      <c r="D928" s="36" t="s">
        <v>211</v>
      </c>
      <c r="E928" s="36" t="s">
        <v>37</v>
      </c>
      <c r="F928" s="36" t="s">
        <v>38</v>
      </c>
      <c r="G928" s="36" t="s">
        <v>31</v>
      </c>
      <c r="H928" s="36" t="s">
        <v>39</v>
      </c>
      <c r="I928" s="37">
        <v>14</v>
      </c>
      <c r="J928" s="36"/>
    </row>
    <row r="929" spans="1:10" x14ac:dyDescent="0.35">
      <c r="A929" s="36" t="s">
        <v>1121</v>
      </c>
      <c r="B929" s="35">
        <v>46037</v>
      </c>
      <c r="C929" s="36" t="s">
        <v>210</v>
      </c>
      <c r="D929" s="36" t="s">
        <v>211</v>
      </c>
      <c r="E929" s="36" t="s">
        <v>69</v>
      </c>
      <c r="F929" s="36" t="s">
        <v>70</v>
      </c>
      <c r="G929" s="36" t="s">
        <v>66</v>
      </c>
      <c r="H929" s="36" t="s">
        <v>71</v>
      </c>
      <c r="I929" s="37">
        <v>6</v>
      </c>
      <c r="J929" s="36"/>
    </row>
    <row r="930" spans="1:10" x14ac:dyDescent="0.35">
      <c r="A930" s="36" t="s">
        <v>1122</v>
      </c>
      <c r="B930" s="35">
        <v>46037</v>
      </c>
      <c r="C930" s="36" t="s">
        <v>210</v>
      </c>
      <c r="D930" s="36" t="s">
        <v>211</v>
      </c>
      <c r="E930" s="36" t="s">
        <v>64</v>
      </c>
      <c r="F930" s="36" t="s">
        <v>65</v>
      </c>
      <c r="G930" s="36" t="s">
        <v>66</v>
      </c>
      <c r="H930" s="36" t="s">
        <v>42</v>
      </c>
      <c r="I930" s="37">
        <v>6</v>
      </c>
      <c r="J930" s="36"/>
    </row>
    <row r="931" spans="1:10" x14ac:dyDescent="0.35">
      <c r="A931" s="36" t="s">
        <v>1123</v>
      </c>
      <c r="B931" s="35">
        <v>46037</v>
      </c>
      <c r="C931" s="36" t="s">
        <v>210</v>
      </c>
      <c r="D931" s="36" t="s">
        <v>211</v>
      </c>
      <c r="E931" s="36" t="s">
        <v>146</v>
      </c>
      <c r="F931" s="36" t="s">
        <v>147</v>
      </c>
      <c r="G931" s="36" t="s">
        <v>8</v>
      </c>
      <c r="H931" s="36" t="s">
        <v>148</v>
      </c>
      <c r="I931" s="37">
        <v>8</v>
      </c>
      <c r="J931" s="36"/>
    </row>
    <row r="932" spans="1:10" x14ac:dyDescent="0.35">
      <c r="A932" s="36" t="s">
        <v>1124</v>
      </c>
      <c r="B932" s="35">
        <v>46037</v>
      </c>
      <c r="C932" s="36" t="s">
        <v>210</v>
      </c>
      <c r="D932" s="36" t="s">
        <v>211</v>
      </c>
      <c r="E932" s="36" t="s">
        <v>94</v>
      </c>
      <c r="F932" s="36" t="s">
        <v>95</v>
      </c>
      <c r="G932" s="36" t="s">
        <v>93</v>
      </c>
      <c r="H932" s="36" t="s">
        <v>96</v>
      </c>
      <c r="I932" s="37">
        <v>10</v>
      </c>
      <c r="J932" s="36"/>
    </row>
    <row r="933" spans="1:10" x14ac:dyDescent="0.35">
      <c r="A933" s="36" t="s">
        <v>1125</v>
      </c>
      <c r="B933" s="35">
        <v>46037</v>
      </c>
      <c r="C933" s="36" t="s">
        <v>210</v>
      </c>
      <c r="D933" s="36" t="s">
        <v>211</v>
      </c>
      <c r="E933" s="36" t="s">
        <v>57</v>
      </c>
      <c r="F933" s="36" t="s">
        <v>58</v>
      </c>
      <c r="G933" s="36" t="s">
        <v>53</v>
      </c>
      <c r="H933" s="36" t="s">
        <v>42</v>
      </c>
      <c r="I933" s="37">
        <v>17</v>
      </c>
      <c r="J933" s="36"/>
    </row>
    <row r="934" spans="1:10" x14ac:dyDescent="0.35">
      <c r="A934" s="36" t="s">
        <v>1126</v>
      </c>
      <c r="B934" s="35">
        <v>46037</v>
      </c>
      <c r="C934" s="36" t="s">
        <v>298</v>
      </c>
      <c r="D934" s="36" t="s">
        <v>299</v>
      </c>
      <c r="E934" s="36" t="s">
        <v>29</v>
      </c>
      <c r="F934" s="36" t="s">
        <v>30</v>
      </c>
      <c r="G934" s="36" t="s">
        <v>31</v>
      </c>
      <c r="H934" s="36" t="s">
        <v>32</v>
      </c>
      <c r="I934" s="37">
        <v>4</v>
      </c>
      <c r="J934" s="36"/>
    </row>
    <row r="935" spans="1:10" x14ac:dyDescent="0.35">
      <c r="A935" s="36" t="s">
        <v>1127</v>
      </c>
      <c r="B935" s="35">
        <v>46037</v>
      </c>
      <c r="C935" s="36" t="s">
        <v>298</v>
      </c>
      <c r="D935" s="36" t="s">
        <v>299</v>
      </c>
      <c r="E935" s="36" t="s">
        <v>88</v>
      </c>
      <c r="F935" s="36" t="s">
        <v>89</v>
      </c>
      <c r="G935" s="36" t="s">
        <v>74</v>
      </c>
      <c r="H935" s="36" t="s">
        <v>90</v>
      </c>
      <c r="I935" s="37">
        <v>3</v>
      </c>
      <c r="J935" s="36"/>
    </row>
    <row r="936" spans="1:10" x14ac:dyDescent="0.35">
      <c r="A936" s="36" t="s">
        <v>1128</v>
      </c>
      <c r="B936" s="35">
        <v>46037</v>
      </c>
      <c r="C936" s="36" t="s">
        <v>298</v>
      </c>
      <c r="D936" s="36" t="s">
        <v>299</v>
      </c>
      <c r="E936" s="36" t="s">
        <v>149</v>
      </c>
      <c r="F936" s="36" t="s">
        <v>150</v>
      </c>
      <c r="G936" s="36" t="s">
        <v>8</v>
      </c>
      <c r="H936" s="36" t="s">
        <v>75</v>
      </c>
      <c r="I936" s="37">
        <v>2</v>
      </c>
      <c r="J936" s="36"/>
    </row>
    <row r="937" spans="1:10" x14ac:dyDescent="0.35">
      <c r="A937" s="36" t="s">
        <v>1129</v>
      </c>
      <c r="B937" s="35">
        <v>46037</v>
      </c>
      <c r="C937" s="36" t="s">
        <v>298</v>
      </c>
      <c r="D937" s="36" t="s">
        <v>299</v>
      </c>
      <c r="E937" s="36" t="s">
        <v>51</v>
      </c>
      <c r="F937" s="36" t="s">
        <v>52</v>
      </c>
      <c r="G937" s="36" t="s">
        <v>53</v>
      </c>
      <c r="H937" s="36" t="s">
        <v>42</v>
      </c>
      <c r="I937" s="37">
        <v>8</v>
      </c>
      <c r="J937" s="36"/>
    </row>
    <row r="938" spans="1:10" x14ac:dyDescent="0.35">
      <c r="A938" s="36" t="s">
        <v>1130</v>
      </c>
      <c r="B938" s="35">
        <v>46037</v>
      </c>
      <c r="C938" s="36" t="s">
        <v>298</v>
      </c>
      <c r="D938" s="36" t="s">
        <v>299</v>
      </c>
      <c r="E938" s="36" t="s">
        <v>83</v>
      </c>
      <c r="F938" s="36" t="s">
        <v>84</v>
      </c>
      <c r="G938" s="36" t="s">
        <v>74</v>
      </c>
      <c r="H938" s="36" t="s">
        <v>85</v>
      </c>
      <c r="I938" s="37">
        <v>2</v>
      </c>
      <c r="J938" s="36"/>
    </row>
    <row r="939" spans="1:10" x14ac:dyDescent="0.35">
      <c r="A939" s="36" t="s">
        <v>1131</v>
      </c>
      <c r="B939" s="35">
        <v>46037</v>
      </c>
      <c r="C939" s="36" t="s">
        <v>298</v>
      </c>
      <c r="D939" s="36" t="s">
        <v>299</v>
      </c>
      <c r="E939" s="36" t="s">
        <v>109</v>
      </c>
      <c r="F939" s="36" t="s">
        <v>110</v>
      </c>
      <c r="G939" s="36" t="s">
        <v>102</v>
      </c>
      <c r="H939" s="36" t="s">
        <v>42</v>
      </c>
      <c r="I939" s="37">
        <v>5</v>
      </c>
      <c r="J939" s="36"/>
    </row>
    <row r="940" spans="1:10" x14ac:dyDescent="0.35">
      <c r="A940" s="36" t="s">
        <v>1132</v>
      </c>
      <c r="B940" s="35">
        <v>46037</v>
      </c>
      <c r="C940" s="36" t="s">
        <v>298</v>
      </c>
      <c r="D940" s="36" t="s">
        <v>299</v>
      </c>
      <c r="E940" s="36" t="s">
        <v>34</v>
      </c>
      <c r="F940" s="36" t="s">
        <v>35</v>
      </c>
      <c r="G940" s="36" t="s">
        <v>31</v>
      </c>
      <c r="H940" s="36" t="s">
        <v>36</v>
      </c>
      <c r="I940" s="37">
        <v>6</v>
      </c>
      <c r="J940" s="36"/>
    </row>
    <row r="941" spans="1:10" x14ac:dyDescent="0.35">
      <c r="A941" s="36" t="s">
        <v>1133</v>
      </c>
      <c r="B941" s="35">
        <v>46037</v>
      </c>
      <c r="C941" s="36" t="s">
        <v>298</v>
      </c>
      <c r="D941" s="36" t="s">
        <v>299</v>
      </c>
      <c r="E941" s="36" t="s">
        <v>157</v>
      </c>
      <c r="F941" s="36" t="s">
        <v>158</v>
      </c>
      <c r="G941" s="36" t="s">
        <v>159</v>
      </c>
      <c r="H941" s="36" t="s">
        <v>160</v>
      </c>
      <c r="I941" s="37">
        <v>1</v>
      </c>
      <c r="J941" s="36"/>
    </row>
    <row r="942" spans="1:10" x14ac:dyDescent="0.35">
      <c r="A942" s="36" t="s">
        <v>1134</v>
      </c>
      <c r="B942" s="35">
        <v>46039</v>
      </c>
      <c r="C942" s="36" t="s">
        <v>298</v>
      </c>
      <c r="D942" s="36" t="s">
        <v>299</v>
      </c>
      <c r="E942" s="36" t="s">
        <v>81</v>
      </c>
      <c r="F942" s="36" t="s">
        <v>82</v>
      </c>
      <c r="G942" s="36" t="s">
        <v>74</v>
      </c>
      <c r="H942" s="36" t="s">
        <v>80</v>
      </c>
      <c r="I942" s="37">
        <v>4</v>
      </c>
      <c r="J942" s="36"/>
    </row>
    <row r="943" spans="1:10" x14ac:dyDescent="0.35">
      <c r="A943" s="36" t="s">
        <v>1135</v>
      </c>
      <c r="B943" s="35">
        <v>46039</v>
      </c>
      <c r="C943" s="36" t="s">
        <v>298</v>
      </c>
      <c r="D943" s="36" t="s">
        <v>299</v>
      </c>
      <c r="E943" s="36" t="s">
        <v>141</v>
      </c>
      <c r="F943" s="36" t="s">
        <v>142</v>
      </c>
      <c r="G943" s="36" t="s">
        <v>8</v>
      </c>
      <c r="H943" s="36" t="s">
        <v>143</v>
      </c>
      <c r="I943" s="37">
        <v>1</v>
      </c>
      <c r="J943" s="36"/>
    </row>
    <row r="944" spans="1:10" x14ac:dyDescent="0.35">
      <c r="A944" s="36" t="s">
        <v>1136</v>
      </c>
      <c r="B944" s="35">
        <v>46039</v>
      </c>
      <c r="C944" s="36" t="s">
        <v>298</v>
      </c>
      <c r="D944" s="36" t="s">
        <v>299</v>
      </c>
      <c r="E944" s="36" t="s">
        <v>97</v>
      </c>
      <c r="F944" s="36" t="s">
        <v>98</v>
      </c>
      <c r="G944" s="36" t="s">
        <v>93</v>
      </c>
      <c r="H944" s="36" t="s">
        <v>99</v>
      </c>
      <c r="I944" s="37">
        <v>3</v>
      </c>
      <c r="J944" s="36"/>
    </row>
    <row r="945" spans="1:10" x14ac:dyDescent="0.35">
      <c r="A945" s="36" t="s">
        <v>1137</v>
      </c>
      <c r="B945" s="35">
        <v>46039</v>
      </c>
      <c r="C945" s="36" t="s">
        <v>298</v>
      </c>
      <c r="D945" s="36" t="s">
        <v>299</v>
      </c>
      <c r="E945" s="36" t="s">
        <v>69</v>
      </c>
      <c r="F945" s="36" t="s">
        <v>70</v>
      </c>
      <c r="G945" s="36" t="s">
        <v>66</v>
      </c>
      <c r="H945" s="36" t="s">
        <v>71</v>
      </c>
      <c r="I945" s="37">
        <v>5</v>
      </c>
      <c r="J945" s="36"/>
    </row>
    <row r="946" spans="1:10" x14ac:dyDescent="0.35">
      <c r="A946" s="36" t="s">
        <v>1138</v>
      </c>
      <c r="B946" s="35">
        <v>46039</v>
      </c>
      <c r="C946" s="36" t="s">
        <v>190</v>
      </c>
      <c r="D946" s="36" t="s">
        <v>191</v>
      </c>
      <c r="E946" s="36" t="s">
        <v>61</v>
      </c>
      <c r="F946" s="36" t="s">
        <v>62</v>
      </c>
      <c r="G946" s="36" t="s">
        <v>53</v>
      </c>
      <c r="H946" s="36" t="s">
        <v>42</v>
      </c>
      <c r="I946" s="37">
        <v>14</v>
      </c>
      <c r="J946" s="36"/>
    </row>
    <row r="947" spans="1:10" x14ac:dyDescent="0.35">
      <c r="A947" s="36" t="s">
        <v>1139</v>
      </c>
      <c r="B947" s="35">
        <v>46039</v>
      </c>
      <c r="C947" s="36" t="s">
        <v>190</v>
      </c>
      <c r="D947" s="36" t="s">
        <v>191</v>
      </c>
      <c r="E947" s="36" t="s">
        <v>64</v>
      </c>
      <c r="F947" s="36" t="s">
        <v>65</v>
      </c>
      <c r="G947" s="36" t="s">
        <v>66</v>
      </c>
      <c r="H947" s="36" t="s">
        <v>42</v>
      </c>
      <c r="I947" s="37">
        <v>16</v>
      </c>
      <c r="J947" s="36"/>
    </row>
    <row r="948" spans="1:10" x14ac:dyDescent="0.35">
      <c r="A948" s="36" t="s">
        <v>1140</v>
      </c>
      <c r="B948" s="35">
        <v>46039</v>
      </c>
      <c r="C948" s="36" t="s">
        <v>190</v>
      </c>
      <c r="D948" s="36" t="s">
        <v>191</v>
      </c>
      <c r="E948" s="36" t="s">
        <v>120</v>
      </c>
      <c r="F948" s="36" t="s">
        <v>121</v>
      </c>
      <c r="G948" s="36" t="s">
        <v>14</v>
      </c>
      <c r="H948" s="36" t="s">
        <v>119</v>
      </c>
      <c r="I948" s="37">
        <v>3</v>
      </c>
      <c r="J948" s="36"/>
    </row>
    <row r="949" spans="1:10" x14ac:dyDescent="0.35">
      <c r="A949" s="36" t="s">
        <v>1141</v>
      </c>
      <c r="B949" s="35">
        <v>46039</v>
      </c>
      <c r="C949" s="36" t="s">
        <v>190</v>
      </c>
      <c r="D949" s="36" t="s">
        <v>191</v>
      </c>
      <c r="E949" s="36" t="s">
        <v>111</v>
      </c>
      <c r="F949" s="36" t="s">
        <v>112</v>
      </c>
      <c r="G949" s="36" t="s">
        <v>102</v>
      </c>
      <c r="H949" s="36" t="s">
        <v>113</v>
      </c>
      <c r="I949" s="37">
        <v>16</v>
      </c>
      <c r="J949" s="36"/>
    </row>
    <row r="950" spans="1:10" x14ac:dyDescent="0.35">
      <c r="A950" s="36" t="s">
        <v>1142</v>
      </c>
      <c r="B950" s="35">
        <v>46039</v>
      </c>
      <c r="C950" s="36" t="s">
        <v>190</v>
      </c>
      <c r="D950" s="36" t="s">
        <v>191</v>
      </c>
      <c r="E950" s="36" t="s">
        <v>128</v>
      </c>
      <c r="F950" s="36" t="s">
        <v>9</v>
      </c>
      <c r="G950" s="36" t="s">
        <v>10</v>
      </c>
      <c r="H950" s="36" t="s">
        <v>129</v>
      </c>
      <c r="I950" s="37">
        <v>10</v>
      </c>
      <c r="J950" s="36"/>
    </row>
    <row r="951" spans="1:10" x14ac:dyDescent="0.35">
      <c r="A951" s="36" t="s">
        <v>1143</v>
      </c>
      <c r="B951" s="35">
        <v>46039</v>
      </c>
      <c r="C951" s="36" t="s">
        <v>190</v>
      </c>
      <c r="D951" s="36" t="s">
        <v>191</v>
      </c>
      <c r="E951" s="36" t="s">
        <v>34</v>
      </c>
      <c r="F951" s="36" t="s">
        <v>35</v>
      </c>
      <c r="G951" s="36" t="s">
        <v>31</v>
      </c>
      <c r="H951" s="36" t="s">
        <v>36</v>
      </c>
      <c r="I951" s="37">
        <v>12</v>
      </c>
      <c r="J951" s="36"/>
    </row>
    <row r="952" spans="1:10" x14ac:dyDescent="0.35">
      <c r="A952" s="36" t="s">
        <v>1144</v>
      </c>
      <c r="B952" s="35">
        <v>46041</v>
      </c>
      <c r="C952" s="36" t="s">
        <v>210</v>
      </c>
      <c r="D952" s="36" t="s">
        <v>211</v>
      </c>
      <c r="E952" s="36" t="s">
        <v>76</v>
      </c>
      <c r="F952" s="36" t="s">
        <v>77</v>
      </c>
      <c r="G952" s="36" t="s">
        <v>74</v>
      </c>
      <c r="H952" s="36" t="s">
        <v>75</v>
      </c>
      <c r="I952" s="37">
        <v>10</v>
      </c>
      <c r="J952" s="36"/>
    </row>
    <row r="953" spans="1:10" x14ac:dyDescent="0.35">
      <c r="A953" s="36" t="s">
        <v>1145</v>
      </c>
      <c r="B953" s="35">
        <v>46041</v>
      </c>
      <c r="C953" s="36" t="s">
        <v>210</v>
      </c>
      <c r="D953" s="36" t="s">
        <v>211</v>
      </c>
      <c r="E953" s="36" t="s">
        <v>59</v>
      </c>
      <c r="F953" s="36" t="s">
        <v>60</v>
      </c>
      <c r="G953" s="36" t="s">
        <v>53</v>
      </c>
      <c r="H953" s="36" t="s">
        <v>56</v>
      </c>
      <c r="I953" s="37">
        <v>14</v>
      </c>
      <c r="J953" s="36"/>
    </row>
    <row r="954" spans="1:10" x14ac:dyDescent="0.35">
      <c r="A954" s="36" t="s">
        <v>1146</v>
      </c>
      <c r="B954" s="35">
        <v>46041</v>
      </c>
      <c r="C954" s="36" t="s">
        <v>210</v>
      </c>
      <c r="D954" s="36" t="s">
        <v>211</v>
      </c>
      <c r="E954" s="36" t="s">
        <v>40</v>
      </c>
      <c r="F954" s="36" t="s">
        <v>41</v>
      </c>
      <c r="G954" s="36" t="s">
        <v>31</v>
      </c>
      <c r="H954" s="36" t="s">
        <v>42</v>
      </c>
      <c r="I954" s="37">
        <v>7</v>
      </c>
      <c r="J954" s="36"/>
    </row>
    <row r="955" spans="1:10" x14ac:dyDescent="0.35">
      <c r="A955" s="36" t="s">
        <v>1147</v>
      </c>
      <c r="B955" s="35">
        <v>46041</v>
      </c>
      <c r="C955" s="36" t="s">
        <v>210</v>
      </c>
      <c r="D955" s="36" t="s">
        <v>211</v>
      </c>
      <c r="E955" s="36" t="s">
        <v>81</v>
      </c>
      <c r="F955" s="36" t="s">
        <v>82</v>
      </c>
      <c r="G955" s="36" t="s">
        <v>74</v>
      </c>
      <c r="H955" s="36" t="s">
        <v>80</v>
      </c>
      <c r="I955" s="37">
        <v>9</v>
      </c>
      <c r="J955" s="36"/>
    </row>
    <row r="956" spans="1:10" x14ac:dyDescent="0.35">
      <c r="A956" s="36" t="s">
        <v>1148</v>
      </c>
      <c r="B956" s="35">
        <v>46041</v>
      </c>
      <c r="C956" s="36" t="s">
        <v>210</v>
      </c>
      <c r="D956" s="36" t="s">
        <v>211</v>
      </c>
      <c r="E956" s="36" t="s">
        <v>64</v>
      </c>
      <c r="F956" s="36" t="s">
        <v>65</v>
      </c>
      <c r="G956" s="36" t="s">
        <v>66</v>
      </c>
      <c r="H956" s="36" t="s">
        <v>42</v>
      </c>
      <c r="I956" s="37">
        <v>5</v>
      </c>
      <c r="J956" s="36"/>
    </row>
    <row r="957" spans="1:10" x14ac:dyDescent="0.35">
      <c r="A957" s="36" t="s">
        <v>1149</v>
      </c>
      <c r="B957" s="35">
        <v>46045</v>
      </c>
      <c r="C957" s="36" t="s">
        <v>238</v>
      </c>
      <c r="D957" s="36" t="s">
        <v>239</v>
      </c>
      <c r="E957" s="36" t="s">
        <v>40</v>
      </c>
      <c r="F957" s="36" t="s">
        <v>41</v>
      </c>
      <c r="G957" s="36" t="s">
        <v>31</v>
      </c>
      <c r="H957" s="36" t="s">
        <v>42</v>
      </c>
      <c r="I957" s="37">
        <v>7</v>
      </c>
      <c r="J957" s="36"/>
    </row>
    <row r="958" spans="1:10" x14ac:dyDescent="0.35">
      <c r="A958" s="36" t="s">
        <v>1150</v>
      </c>
      <c r="B958" s="35">
        <v>46045</v>
      </c>
      <c r="C958" s="36" t="s">
        <v>238</v>
      </c>
      <c r="D958" s="36" t="s">
        <v>239</v>
      </c>
      <c r="E958" s="36" t="s">
        <v>138</v>
      </c>
      <c r="F958" s="36" t="s">
        <v>139</v>
      </c>
      <c r="G958" s="36" t="s">
        <v>6</v>
      </c>
      <c r="H958" s="36" t="s">
        <v>140</v>
      </c>
      <c r="I958" s="37">
        <v>5</v>
      </c>
      <c r="J958" s="36"/>
    </row>
    <row r="959" spans="1:10" x14ac:dyDescent="0.35">
      <c r="A959" s="36" t="s">
        <v>1151</v>
      </c>
      <c r="B959" s="35">
        <v>46045</v>
      </c>
      <c r="C959" s="36" t="s">
        <v>238</v>
      </c>
      <c r="D959" s="36" t="s">
        <v>239</v>
      </c>
      <c r="E959" s="36" t="s">
        <v>76</v>
      </c>
      <c r="F959" s="36" t="s">
        <v>77</v>
      </c>
      <c r="G959" s="36" t="s">
        <v>74</v>
      </c>
      <c r="H959" s="36" t="s">
        <v>75</v>
      </c>
      <c r="I959" s="37">
        <v>3</v>
      </c>
      <c r="J959" s="36"/>
    </row>
    <row r="960" spans="1:10" x14ac:dyDescent="0.35">
      <c r="A960" s="36" t="s">
        <v>1152</v>
      </c>
      <c r="B960" s="35">
        <v>46045</v>
      </c>
      <c r="C960" s="36" t="s">
        <v>238</v>
      </c>
      <c r="D960" s="36" t="s">
        <v>239</v>
      </c>
      <c r="E960" s="36" t="s">
        <v>97</v>
      </c>
      <c r="F960" s="36" t="s">
        <v>98</v>
      </c>
      <c r="G960" s="36" t="s">
        <v>93</v>
      </c>
      <c r="H960" s="36" t="s">
        <v>99</v>
      </c>
      <c r="I960" s="37">
        <v>5</v>
      </c>
      <c r="J960" s="36"/>
    </row>
    <row r="961" spans="1:10" x14ac:dyDescent="0.35">
      <c r="A961" s="36" t="s">
        <v>1153</v>
      </c>
      <c r="B961" s="35">
        <v>46045</v>
      </c>
      <c r="C961" s="36" t="s">
        <v>238</v>
      </c>
      <c r="D961" s="36" t="s">
        <v>239</v>
      </c>
      <c r="E961" s="36" t="s">
        <v>34</v>
      </c>
      <c r="F961" s="36" t="s">
        <v>35</v>
      </c>
      <c r="G961" s="36" t="s">
        <v>31</v>
      </c>
      <c r="H961" s="36" t="s">
        <v>36</v>
      </c>
      <c r="I961" s="37">
        <v>8</v>
      </c>
      <c r="J961" s="36"/>
    </row>
    <row r="962" spans="1:10" x14ac:dyDescent="0.35">
      <c r="A962" s="36" t="s">
        <v>1154</v>
      </c>
      <c r="B962" s="35">
        <v>46045</v>
      </c>
      <c r="C962" s="36" t="s">
        <v>238</v>
      </c>
      <c r="D962" s="36" t="s">
        <v>239</v>
      </c>
      <c r="E962" s="36" t="s">
        <v>128</v>
      </c>
      <c r="F962" s="36" t="s">
        <v>9</v>
      </c>
      <c r="G962" s="36" t="s">
        <v>10</v>
      </c>
      <c r="H962" s="36" t="s">
        <v>129</v>
      </c>
      <c r="I962" s="37">
        <v>3</v>
      </c>
      <c r="J962" s="36"/>
    </row>
    <row r="963" spans="1:10" x14ac:dyDescent="0.35">
      <c r="A963" s="36" t="s">
        <v>1155</v>
      </c>
      <c r="B963" s="35">
        <v>46045</v>
      </c>
      <c r="C963" s="36" t="s">
        <v>238</v>
      </c>
      <c r="D963" s="36" t="s">
        <v>239</v>
      </c>
      <c r="E963" s="36" t="s">
        <v>78</v>
      </c>
      <c r="F963" s="36" t="s">
        <v>79</v>
      </c>
      <c r="G963" s="36" t="s">
        <v>74</v>
      </c>
      <c r="H963" s="36" t="s">
        <v>80</v>
      </c>
      <c r="I963" s="37">
        <v>7</v>
      </c>
      <c r="J963" s="36"/>
    </row>
    <row r="964" spans="1:10" x14ac:dyDescent="0.35">
      <c r="A964" s="36" t="s">
        <v>1156</v>
      </c>
      <c r="B964" s="35">
        <v>46045</v>
      </c>
      <c r="C964" s="36" t="s">
        <v>238</v>
      </c>
      <c r="D964" s="36" t="s">
        <v>239</v>
      </c>
      <c r="E964" s="36" t="s">
        <v>69</v>
      </c>
      <c r="F964" s="36" t="s">
        <v>70</v>
      </c>
      <c r="G964" s="36" t="s">
        <v>66</v>
      </c>
      <c r="H964" s="36" t="s">
        <v>71</v>
      </c>
      <c r="I964" s="37">
        <v>4</v>
      </c>
      <c r="J964" s="36"/>
    </row>
    <row r="965" spans="1:10" x14ac:dyDescent="0.35">
      <c r="A965" s="36" t="s">
        <v>1157</v>
      </c>
      <c r="B965" s="35">
        <v>46045</v>
      </c>
      <c r="C965" s="36" t="s">
        <v>238</v>
      </c>
      <c r="D965" s="36" t="s">
        <v>239</v>
      </c>
      <c r="E965" s="36" t="s">
        <v>57</v>
      </c>
      <c r="F965" s="36" t="s">
        <v>58</v>
      </c>
      <c r="G965" s="36" t="s">
        <v>53</v>
      </c>
      <c r="H965" s="36" t="s">
        <v>42</v>
      </c>
      <c r="I965" s="37">
        <v>7</v>
      </c>
      <c r="J965" s="36"/>
    </row>
    <row r="966" spans="1:10" x14ac:dyDescent="0.35">
      <c r="A966" s="36" t="s">
        <v>1158</v>
      </c>
      <c r="B966" s="35">
        <v>46045</v>
      </c>
      <c r="C966" s="36" t="s">
        <v>298</v>
      </c>
      <c r="D966" s="36" t="s">
        <v>299</v>
      </c>
      <c r="E966" s="36" t="s">
        <v>106</v>
      </c>
      <c r="F966" s="36" t="s">
        <v>107</v>
      </c>
      <c r="G966" s="36" t="s">
        <v>102</v>
      </c>
      <c r="H966" s="36" t="s">
        <v>108</v>
      </c>
      <c r="I966" s="37">
        <v>4</v>
      </c>
      <c r="J966" s="36"/>
    </row>
    <row r="967" spans="1:10" x14ac:dyDescent="0.35">
      <c r="A967" s="36" t="s">
        <v>1159</v>
      </c>
      <c r="B967" s="35">
        <v>46045</v>
      </c>
      <c r="C967" s="36" t="s">
        <v>298</v>
      </c>
      <c r="D967" s="36" t="s">
        <v>299</v>
      </c>
      <c r="E967" s="36" t="s">
        <v>83</v>
      </c>
      <c r="F967" s="36" t="s">
        <v>84</v>
      </c>
      <c r="G967" s="36" t="s">
        <v>74</v>
      </c>
      <c r="H967" s="36" t="s">
        <v>85</v>
      </c>
      <c r="I967" s="37">
        <v>2</v>
      </c>
      <c r="J967" s="36"/>
    </row>
    <row r="968" spans="1:10" x14ac:dyDescent="0.35">
      <c r="A968" s="36" t="s">
        <v>1160</v>
      </c>
      <c r="B968" s="35">
        <v>46045</v>
      </c>
      <c r="C968" s="36" t="s">
        <v>298</v>
      </c>
      <c r="D968" s="36" t="s">
        <v>299</v>
      </c>
      <c r="E968" s="36" t="s">
        <v>135</v>
      </c>
      <c r="F968" s="36" t="s">
        <v>5</v>
      </c>
      <c r="G968" s="36" t="s">
        <v>6</v>
      </c>
      <c r="H968" s="36" t="s">
        <v>136</v>
      </c>
      <c r="I968" s="37">
        <v>3</v>
      </c>
      <c r="J968" s="36"/>
    </row>
    <row r="969" spans="1:10" x14ac:dyDescent="0.35">
      <c r="A969" s="36" t="s">
        <v>1161</v>
      </c>
      <c r="B969" s="35">
        <v>46045</v>
      </c>
      <c r="C969" s="36" t="s">
        <v>298</v>
      </c>
      <c r="D969" s="36" t="s">
        <v>299</v>
      </c>
      <c r="E969" s="36" t="s">
        <v>88</v>
      </c>
      <c r="F969" s="36" t="s">
        <v>89</v>
      </c>
      <c r="G969" s="36" t="s">
        <v>74</v>
      </c>
      <c r="H969" s="36" t="s">
        <v>90</v>
      </c>
      <c r="I969" s="37">
        <v>4</v>
      </c>
      <c r="J969" s="36"/>
    </row>
    <row r="970" spans="1:10" x14ac:dyDescent="0.35">
      <c r="A970" s="36" t="s">
        <v>1162</v>
      </c>
      <c r="B970" s="35">
        <v>46045</v>
      </c>
      <c r="C970" s="36" t="s">
        <v>298</v>
      </c>
      <c r="D970" s="36" t="s">
        <v>299</v>
      </c>
      <c r="E970" s="36" t="s">
        <v>109</v>
      </c>
      <c r="F970" s="36" t="s">
        <v>110</v>
      </c>
      <c r="G970" s="36" t="s">
        <v>102</v>
      </c>
      <c r="H970" s="36" t="s">
        <v>42</v>
      </c>
      <c r="I970" s="37">
        <v>6</v>
      </c>
      <c r="J970" s="36"/>
    </row>
    <row r="971" spans="1:10" x14ac:dyDescent="0.35">
      <c r="A971" s="36" t="s">
        <v>1163</v>
      </c>
      <c r="B971" s="35">
        <v>46045</v>
      </c>
      <c r="C971" s="36" t="s">
        <v>298</v>
      </c>
      <c r="D971" s="36" t="s">
        <v>299</v>
      </c>
      <c r="E971" s="36" t="s">
        <v>54</v>
      </c>
      <c r="F971" s="36" t="s">
        <v>55</v>
      </c>
      <c r="G971" s="36" t="s">
        <v>53</v>
      </c>
      <c r="H971" s="36" t="s">
        <v>56</v>
      </c>
      <c r="I971" s="37">
        <v>6</v>
      </c>
      <c r="J971" s="36"/>
    </row>
    <row r="972" spans="1:10" x14ac:dyDescent="0.35">
      <c r="A972" s="36" t="s">
        <v>1164</v>
      </c>
      <c r="B972" s="35">
        <v>46046</v>
      </c>
      <c r="C972" s="36" t="s">
        <v>298</v>
      </c>
      <c r="D972" s="36" t="s">
        <v>299</v>
      </c>
      <c r="E972" s="36" t="s">
        <v>57</v>
      </c>
      <c r="F972" s="36" t="s">
        <v>58</v>
      </c>
      <c r="G972" s="36" t="s">
        <v>53</v>
      </c>
      <c r="H972" s="36" t="s">
        <v>42</v>
      </c>
      <c r="I972" s="37">
        <v>9</v>
      </c>
      <c r="J972" s="36"/>
    </row>
    <row r="973" spans="1:10" x14ac:dyDescent="0.35">
      <c r="A973" s="36" t="s">
        <v>1165</v>
      </c>
      <c r="B973" s="35">
        <v>46046</v>
      </c>
      <c r="C973" s="36" t="s">
        <v>298</v>
      </c>
      <c r="D973" s="36" t="s">
        <v>299</v>
      </c>
      <c r="E973" s="36" t="s">
        <v>64</v>
      </c>
      <c r="F973" s="36" t="s">
        <v>65</v>
      </c>
      <c r="G973" s="36" t="s">
        <v>66</v>
      </c>
      <c r="H973" s="36" t="s">
        <v>42</v>
      </c>
      <c r="I973" s="37">
        <v>5</v>
      </c>
      <c r="J973" s="36"/>
    </row>
    <row r="974" spans="1:10" x14ac:dyDescent="0.35">
      <c r="A974" s="36" t="s">
        <v>1166</v>
      </c>
      <c r="B974" s="35">
        <v>46046</v>
      </c>
      <c r="C974" s="36" t="s">
        <v>298</v>
      </c>
      <c r="D974" s="36" t="s">
        <v>299</v>
      </c>
      <c r="E974" s="36" t="s">
        <v>48</v>
      </c>
      <c r="F974" s="36" t="s">
        <v>49</v>
      </c>
      <c r="G974" s="36" t="s">
        <v>31</v>
      </c>
      <c r="H974" s="36" t="s">
        <v>50</v>
      </c>
      <c r="I974" s="37">
        <v>5</v>
      </c>
      <c r="J974" s="36"/>
    </row>
    <row r="975" spans="1:10" x14ac:dyDescent="0.35">
      <c r="A975" s="36" t="s">
        <v>1167</v>
      </c>
      <c r="B975" s="35">
        <v>46046</v>
      </c>
      <c r="C975" s="36" t="s">
        <v>298</v>
      </c>
      <c r="D975" s="36" t="s">
        <v>299</v>
      </c>
      <c r="E975" s="36" t="s">
        <v>54</v>
      </c>
      <c r="F975" s="36" t="s">
        <v>55</v>
      </c>
      <c r="G975" s="36" t="s">
        <v>53</v>
      </c>
      <c r="H975" s="36" t="s">
        <v>56</v>
      </c>
      <c r="I975" s="37">
        <v>5</v>
      </c>
      <c r="J975" s="36"/>
    </row>
    <row r="976" spans="1:10" x14ac:dyDescent="0.35">
      <c r="A976" s="36" t="s">
        <v>1168</v>
      </c>
      <c r="B976" s="35">
        <v>46046</v>
      </c>
      <c r="C976" s="36" t="s">
        <v>298</v>
      </c>
      <c r="D976" s="36" t="s">
        <v>299</v>
      </c>
      <c r="E976" s="36" t="s">
        <v>61</v>
      </c>
      <c r="F976" s="36" t="s">
        <v>62</v>
      </c>
      <c r="G976" s="36" t="s">
        <v>53</v>
      </c>
      <c r="H976" s="36" t="s">
        <v>42</v>
      </c>
      <c r="I976" s="37">
        <v>4</v>
      </c>
      <c r="J976" s="36"/>
    </row>
    <row r="977" spans="1:10" x14ac:dyDescent="0.35">
      <c r="A977" s="36" t="s">
        <v>1169</v>
      </c>
      <c r="B977" s="35">
        <v>46046</v>
      </c>
      <c r="C977" s="36" t="s">
        <v>298</v>
      </c>
      <c r="D977" s="36" t="s">
        <v>299</v>
      </c>
      <c r="E977" s="36" t="s">
        <v>34</v>
      </c>
      <c r="F977" s="36" t="s">
        <v>35</v>
      </c>
      <c r="G977" s="36" t="s">
        <v>31</v>
      </c>
      <c r="H977" s="36" t="s">
        <v>36</v>
      </c>
      <c r="I977" s="37">
        <v>3</v>
      </c>
      <c r="J977" s="36"/>
    </row>
    <row r="978" spans="1:10" x14ac:dyDescent="0.35">
      <c r="A978" s="36" t="s">
        <v>1170</v>
      </c>
      <c r="B978" s="35">
        <v>46046</v>
      </c>
      <c r="C978" s="36" t="s">
        <v>298</v>
      </c>
      <c r="D978" s="36" t="s">
        <v>299</v>
      </c>
      <c r="E978" s="36" t="s">
        <v>137</v>
      </c>
      <c r="F978" s="36" t="s">
        <v>15</v>
      </c>
      <c r="G978" s="36" t="s">
        <v>6</v>
      </c>
      <c r="H978" s="36" t="s">
        <v>136</v>
      </c>
      <c r="I978" s="37">
        <v>4</v>
      </c>
      <c r="J978" s="36"/>
    </row>
    <row r="979" spans="1:10" x14ac:dyDescent="0.35">
      <c r="A979" s="36" t="s">
        <v>1171</v>
      </c>
      <c r="B979" s="35">
        <v>46046</v>
      </c>
      <c r="C979" s="36" t="s">
        <v>298</v>
      </c>
      <c r="D979" s="36" t="s">
        <v>299</v>
      </c>
      <c r="E979" s="36" t="s">
        <v>146</v>
      </c>
      <c r="F979" s="36" t="s">
        <v>147</v>
      </c>
      <c r="G979" s="36" t="s">
        <v>8</v>
      </c>
      <c r="H979" s="36" t="s">
        <v>148</v>
      </c>
      <c r="I979" s="37">
        <v>1</v>
      </c>
      <c r="J979" s="36"/>
    </row>
    <row r="980" spans="1:10" x14ac:dyDescent="0.35">
      <c r="A980" s="36" t="s">
        <v>1172</v>
      </c>
      <c r="B980" s="35">
        <v>46046</v>
      </c>
      <c r="C980" s="36" t="s">
        <v>298</v>
      </c>
      <c r="D980" s="36" t="s">
        <v>299</v>
      </c>
      <c r="E980" s="36" t="s">
        <v>78</v>
      </c>
      <c r="F980" s="36" t="s">
        <v>79</v>
      </c>
      <c r="G980" s="36" t="s">
        <v>74</v>
      </c>
      <c r="H980" s="36" t="s">
        <v>80</v>
      </c>
      <c r="I980" s="37">
        <v>4</v>
      </c>
      <c r="J980" s="36"/>
    </row>
    <row r="981" spans="1:10" x14ac:dyDescent="0.35">
      <c r="A981" s="36" t="s">
        <v>1173</v>
      </c>
      <c r="B981" s="35">
        <v>46046</v>
      </c>
      <c r="C981" s="36" t="s">
        <v>238</v>
      </c>
      <c r="D981" s="36" t="s">
        <v>239</v>
      </c>
      <c r="E981" s="36" t="s">
        <v>151</v>
      </c>
      <c r="F981" s="36" t="s">
        <v>152</v>
      </c>
      <c r="G981" s="36" t="s">
        <v>8</v>
      </c>
      <c r="H981" s="36" t="s">
        <v>143</v>
      </c>
      <c r="I981" s="37">
        <v>2</v>
      </c>
      <c r="J981" s="36"/>
    </row>
    <row r="982" spans="1:10" x14ac:dyDescent="0.35">
      <c r="A982" s="36" t="s">
        <v>1174</v>
      </c>
      <c r="B982" s="35">
        <v>46046</v>
      </c>
      <c r="C982" s="36" t="s">
        <v>238</v>
      </c>
      <c r="D982" s="36" t="s">
        <v>239</v>
      </c>
      <c r="E982" s="36" t="s">
        <v>141</v>
      </c>
      <c r="F982" s="36" t="s">
        <v>142</v>
      </c>
      <c r="G982" s="36" t="s">
        <v>8</v>
      </c>
      <c r="H982" s="36" t="s">
        <v>143</v>
      </c>
      <c r="I982" s="37">
        <v>4</v>
      </c>
      <c r="J982" s="36"/>
    </row>
    <row r="983" spans="1:10" x14ac:dyDescent="0.35">
      <c r="A983" s="36" t="s">
        <v>1175</v>
      </c>
      <c r="B983" s="35">
        <v>46046</v>
      </c>
      <c r="C983" s="36" t="s">
        <v>238</v>
      </c>
      <c r="D983" s="36" t="s">
        <v>239</v>
      </c>
      <c r="E983" s="36" t="s">
        <v>94</v>
      </c>
      <c r="F983" s="36" t="s">
        <v>95</v>
      </c>
      <c r="G983" s="36" t="s">
        <v>93</v>
      </c>
      <c r="H983" s="36" t="s">
        <v>96</v>
      </c>
      <c r="I983" s="37">
        <v>6</v>
      </c>
      <c r="J983" s="36"/>
    </row>
    <row r="984" spans="1:10" x14ac:dyDescent="0.35">
      <c r="A984" s="36" t="s">
        <v>1176</v>
      </c>
      <c r="B984" s="35">
        <v>46046</v>
      </c>
      <c r="C984" s="36" t="s">
        <v>238</v>
      </c>
      <c r="D984" s="36" t="s">
        <v>239</v>
      </c>
      <c r="E984" s="36" t="s">
        <v>61</v>
      </c>
      <c r="F984" s="36" t="s">
        <v>62</v>
      </c>
      <c r="G984" s="36" t="s">
        <v>53</v>
      </c>
      <c r="H984" s="36" t="s">
        <v>42</v>
      </c>
      <c r="I984" s="37">
        <v>10</v>
      </c>
      <c r="J984" s="36"/>
    </row>
    <row r="985" spans="1:10" x14ac:dyDescent="0.35">
      <c r="A985" s="36" t="s">
        <v>1177</v>
      </c>
      <c r="B985" s="35">
        <v>46046</v>
      </c>
      <c r="C985" s="36" t="s">
        <v>238</v>
      </c>
      <c r="D985" s="36" t="s">
        <v>239</v>
      </c>
      <c r="E985" s="36" t="s">
        <v>97</v>
      </c>
      <c r="F985" s="36" t="s">
        <v>98</v>
      </c>
      <c r="G985" s="36" t="s">
        <v>93</v>
      </c>
      <c r="H985" s="36" t="s">
        <v>99</v>
      </c>
      <c r="I985" s="37">
        <v>3</v>
      </c>
      <c r="J985" s="36"/>
    </row>
    <row r="986" spans="1:10" x14ac:dyDescent="0.35">
      <c r="A986" s="36" t="s">
        <v>1178</v>
      </c>
      <c r="B986" s="35">
        <v>46046</v>
      </c>
      <c r="C986" s="36" t="s">
        <v>238</v>
      </c>
      <c r="D986" s="36" t="s">
        <v>239</v>
      </c>
      <c r="E986" s="36" t="s">
        <v>117</v>
      </c>
      <c r="F986" s="36" t="s">
        <v>118</v>
      </c>
      <c r="G986" s="36" t="s">
        <v>14</v>
      </c>
      <c r="H986" s="36" t="s">
        <v>119</v>
      </c>
      <c r="I986" s="37">
        <v>1</v>
      </c>
      <c r="J986" s="36"/>
    </row>
    <row r="987" spans="1:10" x14ac:dyDescent="0.35">
      <c r="A987" s="36" t="s">
        <v>1179</v>
      </c>
      <c r="B987" s="35">
        <v>46046</v>
      </c>
      <c r="C987" s="36" t="s">
        <v>238</v>
      </c>
      <c r="D987" s="36" t="s">
        <v>239</v>
      </c>
      <c r="E987" s="36" t="s">
        <v>114</v>
      </c>
      <c r="F987" s="36" t="s">
        <v>13</v>
      </c>
      <c r="G987" s="36" t="s">
        <v>14</v>
      </c>
      <c r="H987" s="36" t="s">
        <v>115</v>
      </c>
      <c r="I987" s="37">
        <v>1</v>
      </c>
      <c r="J987" s="36"/>
    </row>
    <row r="988" spans="1:10" x14ac:dyDescent="0.35">
      <c r="A988" s="36" t="s">
        <v>1180</v>
      </c>
      <c r="B988" s="35">
        <v>46046</v>
      </c>
      <c r="C988" s="36" t="s">
        <v>238</v>
      </c>
      <c r="D988" s="36" t="s">
        <v>239</v>
      </c>
      <c r="E988" s="36" t="s">
        <v>54</v>
      </c>
      <c r="F988" s="36" t="s">
        <v>55</v>
      </c>
      <c r="G988" s="36" t="s">
        <v>53</v>
      </c>
      <c r="H988" s="36" t="s">
        <v>56</v>
      </c>
      <c r="I988" s="37">
        <v>5</v>
      </c>
      <c r="J988" s="36"/>
    </row>
    <row r="989" spans="1:10" x14ac:dyDescent="0.35">
      <c r="A989" s="36" t="s">
        <v>1181</v>
      </c>
      <c r="B989" s="35">
        <v>46046</v>
      </c>
      <c r="C989" s="36" t="s">
        <v>238</v>
      </c>
      <c r="D989" s="36" t="s">
        <v>239</v>
      </c>
      <c r="E989" s="36" t="s">
        <v>59</v>
      </c>
      <c r="F989" s="36" t="s">
        <v>60</v>
      </c>
      <c r="G989" s="36" t="s">
        <v>53</v>
      </c>
      <c r="H989" s="36" t="s">
        <v>56</v>
      </c>
      <c r="I989" s="37">
        <v>5</v>
      </c>
      <c r="J989" s="36"/>
    </row>
    <row r="990" spans="1:10" x14ac:dyDescent="0.35">
      <c r="A990" s="36" t="s">
        <v>1182</v>
      </c>
      <c r="B990" s="35">
        <v>46046</v>
      </c>
      <c r="C990" s="36" t="s">
        <v>238</v>
      </c>
      <c r="D990" s="36" t="s">
        <v>239</v>
      </c>
      <c r="E990" s="36" t="s">
        <v>64</v>
      </c>
      <c r="F990" s="36" t="s">
        <v>65</v>
      </c>
      <c r="G990" s="36" t="s">
        <v>66</v>
      </c>
      <c r="H990" s="36" t="s">
        <v>42</v>
      </c>
      <c r="I990" s="37">
        <v>5</v>
      </c>
      <c r="J990" s="36"/>
    </row>
    <row r="991" spans="1:10" x14ac:dyDescent="0.35">
      <c r="A991" s="36" t="s">
        <v>1183</v>
      </c>
      <c r="B991" s="35">
        <v>46046</v>
      </c>
      <c r="C991" s="36" t="s">
        <v>238</v>
      </c>
      <c r="D991" s="36" t="s">
        <v>239</v>
      </c>
      <c r="E991" s="36" t="s">
        <v>69</v>
      </c>
      <c r="F991" s="36" t="s">
        <v>70</v>
      </c>
      <c r="G991" s="36" t="s">
        <v>66</v>
      </c>
      <c r="H991" s="36" t="s">
        <v>71</v>
      </c>
      <c r="I991" s="37">
        <v>4</v>
      </c>
      <c r="J991" s="36"/>
    </row>
    <row r="992" spans="1:10" x14ac:dyDescent="0.35">
      <c r="A992" s="36" t="s">
        <v>1184</v>
      </c>
      <c r="B992" s="35">
        <v>46046</v>
      </c>
      <c r="C992" s="36" t="s">
        <v>238</v>
      </c>
      <c r="D992" s="36" t="s">
        <v>239</v>
      </c>
      <c r="E992" s="36" t="s">
        <v>37</v>
      </c>
      <c r="F992" s="36" t="s">
        <v>38</v>
      </c>
      <c r="G992" s="36" t="s">
        <v>31</v>
      </c>
      <c r="H992" s="36" t="s">
        <v>39</v>
      </c>
      <c r="I992" s="37">
        <v>9</v>
      </c>
      <c r="J992" s="36"/>
    </row>
    <row r="993" spans="1:10" x14ac:dyDescent="0.35">
      <c r="A993" s="36" t="s">
        <v>1185</v>
      </c>
      <c r="B993" s="35">
        <v>46048</v>
      </c>
      <c r="C993" s="36" t="s">
        <v>210</v>
      </c>
      <c r="D993" s="36" t="s">
        <v>211</v>
      </c>
      <c r="E993" s="36" t="s">
        <v>141</v>
      </c>
      <c r="F993" s="36" t="s">
        <v>142</v>
      </c>
      <c r="G993" s="36" t="s">
        <v>8</v>
      </c>
      <c r="H993" s="36" t="s">
        <v>143</v>
      </c>
      <c r="I993" s="37">
        <v>8</v>
      </c>
      <c r="J993" s="36"/>
    </row>
    <row r="994" spans="1:10" x14ac:dyDescent="0.35">
      <c r="A994" s="36" t="s">
        <v>1186</v>
      </c>
      <c r="B994" s="35">
        <v>46048</v>
      </c>
      <c r="C994" s="36" t="s">
        <v>210</v>
      </c>
      <c r="D994" s="36" t="s">
        <v>211</v>
      </c>
      <c r="E994" s="36" t="s">
        <v>130</v>
      </c>
      <c r="F994" s="36" t="s">
        <v>16</v>
      </c>
      <c r="G994" s="36" t="s">
        <v>10</v>
      </c>
      <c r="H994" s="36" t="s">
        <v>131</v>
      </c>
      <c r="I994" s="37">
        <v>3</v>
      </c>
      <c r="J994" s="36"/>
    </row>
    <row r="995" spans="1:10" x14ac:dyDescent="0.35">
      <c r="A995" s="36" t="s">
        <v>1187</v>
      </c>
      <c r="B995" s="35">
        <v>46048</v>
      </c>
      <c r="C995" s="36" t="s">
        <v>210</v>
      </c>
      <c r="D995" s="36" t="s">
        <v>211</v>
      </c>
      <c r="E995" s="36" t="s">
        <v>59</v>
      </c>
      <c r="F995" s="36" t="s">
        <v>60</v>
      </c>
      <c r="G995" s="36" t="s">
        <v>53</v>
      </c>
      <c r="H995" s="36" t="s">
        <v>56</v>
      </c>
      <c r="I995" s="37">
        <v>11</v>
      </c>
      <c r="J995" s="36"/>
    </row>
    <row r="996" spans="1:10" x14ac:dyDescent="0.35">
      <c r="A996" s="36" t="s">
        <v>1188</v>
      </c>
      <c r="B996" s="35">
        <v>46048</v>
      </c>
      <c r="C996" s="36" t="s">
        <v>210</v>
      </c>
      <c r="D996" s="36" t="s">
        <v>211</v>
      </c>
      <c r="E996" s="36" t="s">
        <v>86</v>
      </c>
      <c r="F996" s="36" t="s">
        <v>87</v>
      </c>
      <c r="G996" s="36" t="s">
        <v>74</v>
      </c>
      <c r="H996" s="36" t="s">
        <v>75</v>
      </c>
      <c r="I996" s="37">
        <v>11</v>
      </c>
      <c r="J996" s="36"/>
    </row>
    <row r="997" spans="1:10" x14ac:dyDescent="0.35">
      <c r="A997" s="36" t="s">
        <v>1189</v>
      </c>
      <c r="B997" s="35">
        <v>46048</v>
      </c>
      <c r="C997" s="36" t="s">
        <v>210</v>
      </c>
      <c r="D997" s="36" t="s">
        <v>211</v>
      </c>
      <c r="E997" s="36" t="s">
        <v>43</v>
      </c>
      <c r="F997" s="36" t="s">
        <v>44</v>
      </c>
      <c r="G997" s="36" t="s">
        <v>31</v>
      </c>
      <c r="H997" s="36" t="s">
        <v>42</v>
      </c>
      <c r="I997" s="37">
        <v>13</v>
      </c>
      <c r="J997" s="36"/>
    </row>
    <row r="998" spans="1:10" x14ac:dyDescent="0.35">
      <c r="A998" s="36" t="s">
        <v>1190</v>
      </c>
      <c r="B998" s="35">
        <v>46048</v>
      </c>
      <c r="C998" s="36" t="s">
        <v>210</v>
      </c>
      <c r="D998" s="36" t="s">
        <v>211</v>
      </c>
      <c r="E998" s="36" t="s">
        <v>128</v>
      </c>
      <c r="F998" s="36" t="s">
        <v>9</v>
      </c>
      <c r="G998" s="36" t="s">
        <v>10</v>
      </c>
      <c r="H998" s="36" t="s">
        <v>129</v>
      </c>
      <c r="I998" s="37">
        <v>6</v>
      </c>
      <c r="J998" s="36"/>
    </row>
    <row r="999" spans="1:10" x14ac:dyDescent="0.35">
      <c r="A999" s="36" t="s">
        <v>1191</v>
      </c>
      <c r="B999" s="35">
        <v>46048</v>
      </c>
      <c r="C999" s="36" t="s">
        <v>210</v>
      </c>
      <c r="D999" s="36" t="s">
        <v>211</v>
      </c>
      <c r="E999" s="36" t="s">
        <v>125</v>
      </c>
      <c r="F999" s="36" t="s">
        <v>126</v>
      </c>
      <c r="G999" s="36" t="s">
        <v>14</v>
      </c>
      <c r="H999" s="36" t="s">
        <v>127</v>
      </c>
      <c r="I999" s="37">
        <v>4</v>
      </c>
      <c r="J999" s="36"/>
    </row>
    <row r="1000" spans="1:10" x14ac:dyDescent="0.35">
      <c r="A1000" s="36" t="s">
        <v>1192</v>
      </c>
      <c r="B1000" s="35">
        <v>46054</v>
      </c>
      <c r="C1000" s="36" t="s">
        <v>210</v>
      </c>
      <c r="D1000" s="36" t="s">
        <v>211</v>
      </c>
      <c r="E1000" s="36" t="s">
        <v>37</v>
      </c>
      <c r="F1000" s="36" t="s">
        <v>38</v>
      </c>
      <c r="G1000" s="36" t="s">
        <v>31</v>
      </c>
      <c r="H1000" s="36" t="s">
        <v>39</v>
      </c>
      <c r="I1000" s="37">
        <v>9</v>
      </c>
      <c r="J1000" s="36"/>
    </row>
    <row r="1001" spans="1:10" x14ac:dyDescent="0.35">
      <c r="A1001" s="36" t="s">
        <v>1193</v>
      </c>
      <c r="B1001" s="35">
        <v>46054</v>
      </c>
      <c r="C1001" s="36" t="s">
        <v>210</v>
      </c>
      <c r="D1001" s="36" t="s">
        <v>211</v>
      </c>
      <c r="E1001" s="36" t="s">
        <v>59</v>
      </c>
      <c r="F1001" s="36" t="s">
        <v>60</v>
      </c>
      <c r="G1001" s="36" t="s">
        <v>53</v>
      </c>
      <c r="H1001" s="36" t="s">
        <v>56</v>
      </c>
      <c r="I1001" s="37">
        <v>15</v>
      </c>
      <c r="J1001" s="36"/>
    </row>
    <row r="1002" spans="1:10" x14ac:dyDescent="0.35">
      <c r="A1002" s="36" t="s">
        <v>1194</v>
      </c>
      <c r="B1002" s="35">
        <v>46054</v>
      </c>
      <c r="C1002" s="36" t="s">
        <v>210</v>
      </c>
      <c r="D1002" s="36" t="s">
        <v>211</v>
      </c>
      <c r="E1002" s="36" t="s">
        <v>88</v>
      </c>
      <c r="F1002" s="36" t="s">
        <v>89</v>
      </c>
      <c r="G1002" s="36" t="s">
        <v>74</v>
      </c>
      <c r="H1002" s="36" t="s">
        <v>90</v>
      </c>
      <c r="I1002" s="37">
        <v>11</v>
      </c>
      <c r="J1002" s="36"/>
    </row>
    <row r="1003" spans="1:10" x14ac:dyDescent="0.35">
      <c r="A1003" s="36" t="s">
        <v>1195</v>
      </c>
      <c r="B1003" s="35">
        <v>46054</v>
      </c>
      <c r="C1003" s="36" t="s">
        <v>210</v>
      </c>
      <c r="D1003" s="36" t="s">
        <v>211</v>
      </c>
      <c r="E1003" s="36" t="s">
        <v>130</v>
      </c>
      <c r="F1003" s="36" t="s">
        <v>16</v>
      </c>
      <c r="G1003" s="36" t="s">
        <v>10</v>
      </c>
      <c r="H1003" s="36" t="s">
        <v>131</v>
      </c>
      <c r="I1003" s="37">
        <v>4</v>
      </c>
      <c r="J1003" s="36"/>
    </row>
    <row r="1004" spans="1:10" x14ac:dyDescent="0.35">
      <c r="A1004" s="36" t="s">
        <v>1196</v>
      </c>
      <c r="B1004" s="35">
        <v>46054</v>
      </c>
      <c r="C1004" s="36" t="s">
        <v>210</v>
      </c>
      <c r="D1004" s="36" t="s">
        <v>211</v>
      </c>
      <c r="E1004" s="36" t="s">
        <v>144</v>
      </c>
      <c r="F1004" s="36" t="s">
        <v>7</v>
      </c>
      <c r="G1004" s="36" t="s">
        <v>8</v>
      </c>
      <c r="H1004" s="36" t="s">
        <v>145</v>
      </c>
      <c r="I1004" s="37">
        <v>4</v>
      </c>
      <c r="J1004" s="36"/>
    </row>
    <row r="1005" spans="1:10" x14ac:dyDescent="0.35">
      <c r="A1005" s="36" t="s">
        <v>1197</v>
      </c>
      <c r="B1005" s="35">
        <v>46054</v>
      </c>
      <c r="C1005" s="36" t="s">
        <v>210</v>
      </c>
      <c r="D1005" s="36" t="s">
        <v>211</v>
      </c>
      <c r="E1005" s="36" t="s">
        <v>57</v>
      </c>
      <c r="F1005" s="36" t="s">
        <v>58</v>
      </c>
      <c r="G1005" s="36" t="s">
        <v>53</v>
      </c>
      <c r="H1005" s="36" t="s">
        <v>42</v>
      </c>
      <c r="I1005" s="37">
        <v>17</v>
      </c>
      <c r="J1005" s="36"/>
    </row>
    <row r="1006" spans="1:10" x14ac:dyDescent="0.35">
      <c r="A1006" s="36" t="s">
        <v>1198</v>
      </c>
      <c r="B1006" s="35">
        <v>46054</v>
      </c>
      <c r="C1006" s="36" t="s">
        <v>210</v>
      </c>
      <c r="D1006" s="36" t="s">
        <v>211</v>
      </c>
      <c r="E1006" s="36" t="s">
        <v>157</v>
      </c>
      <c r="F1006" s="36" t="s">
        <v>158</v>
      </c>
      <c r="G1006" s="36" t="s">
        <v>159</v>
      </c>
      <c r="H1006" s="36" t="s">
        <v>160</v>
      </c>
      <c r="I1006" s="37">
        <v>6</v>
      </c>
      <c r="J1006" s="36"/>
    </row>
    <row r="1007" spans="1:10" x14ac:dyDescent="0.35">
      <c r="A1007" s="36" t="s">
        <v>1199</v>
      </c>
      <c r="B1007" s="35">
        <v>46054</v>
      </c>
      <c r="C1007" s="36" t="s">
        <v>210</v>
      </c>
      <c r="D1007" s="36" t="s">
        <v>211</v>
      </c>
      <c r="E1007" s="36" t="s">
        <v>149</v>
      </c>
      <c r="F1007" s="36" t="s">
        <v>150</v>
      </c>
      <c r="G1007" s="36" t="s">
        <v>8</v>
      </c>
      <c r="H1007" s="36" t="s">
        <v>75</v>
      </c>
      <c r="I1007" s="37">
        <v>3</v>
      </c>
      <c r="J1007" s="36"/>
    </row>
    <row r="1008" spans="1:10" x14ac:dyDescent="0.35">
      <c r="A1008" s="36" t="s">
        <v>1200</v>
      </c>
      <c r="B1008" s="35">
        <v>46054</v>
      </c>
      <c r="C1008" s="36" t="s">
        <v>210</v>
      </c>
      <c r="D1008" s="36" t="s">
        <v>211</v>
      </c>
      <c r="E1008" s="36" t="s">
        <v>61</v>
      </c>
      <c r="F1008" s="36" t="s">
        <v>62</v>
      </c>
      <c r="G1008" s="36" t="s">
        <v>53</v>
      </c>
      <c r="H1008" s="36" t="s">
        <v>42</v>
      </c>
      <c r="I1008" s="37">
        <v>16</v>
      </c>
      <c r="J1008" s="36"/>
    </row>
    <row r="1009" spans="1:10" x14ac:dyDescent="0.35">
      <c r="A1009" s="36" t="s">
        <v>1201</v>
      </c>
      <c r="B1009" s="35">
        <v>46054</v>
      </c>
      <c r="C1009" s="36" t="s">
        <v>210</v>
      </c>
      <c r="D1009" s="36" t="s">
        <v>211</v>
      </c>
      <c r="E1009" s="36" t="s">
        <v>40</v>
      </c>
      <c r="F1009" s="36" t="s">
        <v>41</v>
      </c>
      <c r="G1009" s="36" t="s">
        <v>31</v>
      </c>
      <c r="H1009" s="36" t="s">
        <v>42</v>
      </c>
      <c r="I1009" s="37">
        <v>6</v>
      </c>
      <c r="J1009" s="36"/>
    </row>
    <row r="1010" spans="1:10" x14ac:dyDescent="0.35">
      <c r="A1010" s="36" t="s">
        <v>1202</v>
      </c>
      <c r="B1010" s="35">
        <v>46054</v>
      </c>
      <c r="C1010" s="36" t="s">
        <v>210</v>
      </c>
      <c r="D1010" s="36" t="s">
        <v>211</v>
      </c>
      <c r="E1010" s="36" t="s">
        <v>104</v>
      </c>
      <c r="F1010" s="36" t="s">
        <v>105</v>
      </c>
      <c r="G1010" s="36" t="s">
        <v>102</v>
      </c>
      <c r="H1010" s="36" t="s">
        <v>103</v>
      </c>
      <c r="I1010" s="37">
        <v>8</v>
      </c>
      <c r="J1010" s="36"/>
    </row>
    <row r="1011" spans="1:10" x14ac:dyDescent="0.35">
      <c r="A1011" s="36" t="s">
        <v>1203</v>
      </c>
      <c r="B1011" s="35">
        <v>46055</v>
      </c>
      <c r="C1011" s="36" t="s">
        <v>210</v>
      </c>
      <c r="D1011" s="36" t="s">
        <v>211</v>
      </c>
      <c r="E1011" s="36" t="s">
        <v>86</v>
      </c>
      <c r="F1011" s="36" t="s">
        <v>87</v>
      </c>
      <c r="G1011" s="36" t="s">
        <v>74</v>
      </c>
      <c r="H1011" s="36" t="s">
        <v>75</v>
      </c>
      <c r="I1011" s="37">
        <v>9</v>
      </c>
      <c r="J1011" s="36"/>
    </row>
    <row r="1012" spans="1:10" x14ac:dyDescent="0.35">
      <c r="A1012" s="36" t="s">
        <v>1204</v>
      </c>
      <c r="B1012" s="35">
        <v>46055</v>
      </c>
      <c r="C1012" s="36" t="s">
        <v>210</v>
      </c>
      <c r="D1012" s="36" t="s">
        <v>211</v>
      </c>
      <c r="E1012" s="36" t="s">
        <v>109</v>
      </c>
      <c r="F1012" s="36" t="s">
        <v>110</v>
      </c>
      <c r="G1012" s="36" t="s">
        <v>102</v>
      </c>
      <c r="H1012" s="36" t="s">
        <v>42</v>
      </c>
      <c r="I1012" s="37">
        <v>11</v>
      </c>
      <c r="J1012" s="36"/>
    </row>
    <row r="1013" spans="1:10" x14ac:dyDescent="0.35">
      <c r="A1013" s="36" t="s">
        <v>1205</v>
      </c>
      <c r="B1013" s="35">
        <v>46055</v>
      </c>
      <c r="C1013" s="36" t="s">
        <v>210</v>
      </c>
      <c r="D1013" s="36" t="s">
        <v>211</v>
      </c>
      <c r="E1013" s="36" t="s">
        <v>34</v>
      </c>
      <c r="F1013" s="36" t="s">
        <v>35</v>
      </c>
      <c r="G1013" s="36" t="s">
        <v>31</v>
      </c>
      <c r="H1013" s="36" t="s">
        <v>36</v>
      </c>
      <c r="I1013" s="37">
        <v>13</v>
      </c>
      <c r="J1013" s="36"/>
    </row>
    <row r="1014" spans="1:10" x14ac:dyDescent="0.35">
      <c r="A1014" s="36" t="s">
        <v>1206</v>
      </c>
      <c r="B1014" s="35">
        <v>46055</v>
      </c>
      <c r="C1014" s="36" t="s">
        <v>210</v>
      </c>
      <c r="D1014" s="36" t="s">
        <v>211</v>
      </c>
      <c r="E1014" s="36" t="s">
        <v>61</v>
      </c>
      <c r="F1014" s="36" t="s">
        <v>62</v>
      </c>
      <c r="G1014" s="36" t="s">
        <v>53</v>
      </c>
      <c r="H1014" s="36" t="s">
        <v>42</v>
      </c>
      <c r="I1014" s="37">
        <v>15</v>
      </c>
      <c r="J1014" s="36"/>
    </row>
    <row r="1015" spans="1:10" x14ac:dyDescent="0.35">
      <c r="A1015" s="36" t="s">
        <v>1207</v>
      </c>
      <c r="B1015" s="35">
        <v>46055</v>
      </c>
      <c r="C1015" s="36" t="s">
        <v>210</v>
      </c>
      <c r="D1015" s="36" t="s">
        <v>211</v>
      </c>
      <c r="E1015" s="36" t="s">
        <v>111</v>
      </c>
      <c r="F1015" s="36" t="s">
        <v>112</v>
      </c>
      <c r="G1015" s="36" t="s">
        <v>102</v>
      </c>
      <c r="H1015" s="36" t="s">
        <v>113</v>
      </c>
      <c r="I1015" s="37">
        <v>6</v>
      </c>
      <c r="J1015" s="36"/>
    </row>
    <row r="1016" spans="1:10" x14ac:dyDescent="0.35">
      <c r="A1016" s="36" t="s">
        <v>1208</v>
      </c>
      <c r="B1016" s="35">
        <v>46055</v>
      </c>
      <c r="C1016" s="36" t="s">
        <v>210</v>
      </c>
      <c r="D1016" s="36" t="s">
        <v>211</v>
      </c>
      <c r="E1016" s="36" t="s">
        <v>132</v>
      </c>
      <c r="F1016" s="36" t="s">
        <v>133</v>
      </c>
      <c r="G1016" s="36" t="s">
        <v>10</v>
      </c>
      <c r="H1016" s="36" t="s">
        <v>134</v>
      </c>
      <c r="I1016" s="37">
        <v>3</v>
      </c>
      <c r="J1016" s="36"/>
    </row>
    <row r="1017" spans="1:10" x14ac:dyDescent="0.35">
      <c r="A1017" s="36" t="s">
        <v>1209</v>
      </c>
      <c r="B1017" s="35">
        <v>46055</v>
      </c>
      <c r="C1017" s="36" t="s">
        <v>210</v>
      </c>
      <c r="D1017" s="36" t="s">
        <v>211</v>
      </c>
      <c r="E1017" s="36" t="s">
        <v>64</v>
      </c>
      <c r="F1017" s="36" t="s">
        <v>65</v>
      </c>
      <c r="G1017" s="36" t="s">
        <v>66</v>
      </c>
      <c r="H1017" s="36" t="s">
        <v>42</v>
      </c>
      <c r="I1017" s="37">
        <v>9</v>
      </c>
      <c r="J1017" s="36"/>
    </row>
    <row r="1018" spans="1:10" x14ac:dyDescent="0.35">
      <c r="A1018" s="36" t="s">
        <v>1210</v>
      </c>
      <c r="B1018" s="35">
        <v>46055</v>
      </c>
      <c r="C1018" s="36" t="s">
        <v>210</v>
      </c>
      <c r="D1018" s="36" t="s">
        <v>211</v>
      </c>
      <c r="E1018" s="36" t="s">
        <v>151</v>
      </c>
      <c r="F1018" s="36" t="s">
        <v>152</v>
      </c>
      <c r="G1018" s="36" t="s">
        <v>8</v>
      </c>
      <c r="H1018" s="36" t="s">
        <v>143</v>
      </c>
      <c r="I1018" s="37">
        <v>5</v>
      </c>
      <c r="J1018" s="36"/>
    </row>
    <row r="1019" spans="1:10" x14ac:dyDescent="0.35">
      <c r="A1019" s="36" t="s">
        <v>1211</v>
      </c>
      <c r="B1019" s="35">
        <v>46055</v>
      </c>
      <c r="C1019" s="36" t="s">
        <v>210</v>
      </c>
      <c r="D1019" s="36" t="s">
        <v>211</v>
      </c>
      <c r="E1019" s="36" t="s">
        <v>46</v>
      </c>
      <c r="F1019" s="36" t="s">
        <v>47</v>
      </c>
      <c r="G1019" s="36" t="s">
        <v>31</v>
      </c>
      <c r="H1019" s="36" t="s">
        <v>42</v>
      </c>
      <c r="I1019" s="37">
        <v>11</v>
      </c>
      <c r="J1019" s="36"/>
    </row>
    <row r="1020" spans="1:10" x14ac:dyDescent="0.35">
      <c r="A1020" s="36" t="s">
        <v>1212</v>
      </c>
      <c r="B1020" s="35">
        <v>46055</v>
      </c>
      <c r="C1020" s="36" t="s">
        <v>210</v>
      </c>
      <c r="D1020" s="36" t="s">
        <v>211</v>
      </c>
      <c r="E1020" s="36" t="s">
        <v>76</v>
      </c>
      <c r="F1020" s="36" t="s">
        <v>77</v>
      </c>
      <c r="G1020" s="36" t="s">
        <v>74</v>
      </c>
      <c r="H1020" s="36" t="s">
        <v>75</v>
      </c>
      <c r="I1020" s="37">
        <v>7</v>
      </c>
      <c r="J1020" s="36"/>
    </row>
    <row r="1021" spans="1:10" x14ac:dyDescent="0.35">
      <c r="A1021" s="36" t="s">
        <v>1213</v>
      </c>
      <c r="B1021" s="35">
        <v>46055</v>
      </c>
      <c r="C1021" s="36" t="s">
        <v>210</v>
      </c>
      <c r="D1021" s="36" t="s">
        <v>211</v>
      </c>
      <c r="E1021" s="36" t="s">
        <v>161</v>
      </c>
      <c r="F1021" s="36" t="s">
        <v>162</v>
      </c>
      <c r="G1021" s="36" t="s">
        <v>159</v>
      </c>
      <c r="H1021" s="36" t="s">
        <v>163</v>
      </c>
      <c r="I1021" s="37">
        <v>6</v>
      </c>
      <c r="J1021" s="36"/>
    </row>
    <row r="1022" spans="1:10" x14ac:dyDescent="0.35">
      <c r="A1022" s="36" t="s">
        <v>1214</v>
      </c>
      <c r="B1022" s="35">
        <v>46056</v>
      </c>
      <c r="C1022" s="36" t="s">
        <v>238</v>
      </c>
      <c r="D1022" s="36" t="s">
        <v>239</v>
      </c>
      <c r="E1022" s="36" t="s">
        <v>161</v>
      </c>
      <c r="F1022" s="36" t="s">
        <v>162</v>
      </c>
      <c r="G1022" s="36" t="s">
        <v>159</v>
      </c>
      <c r="H1022" s="36" t="s">
        <v>163</v>
      </c>
      <c r="I1022" s="37">
        <v>3</v>
      </c>
      <c r="J1022" s="36"/>
    </row>
    <row r="1023" spans="1:10" x14ac:dyDescent="0.35">
      <c r="A1023" s="36" t="s">
        <v>1215</v>
      </c>
      <c r="B1023" s="35">
        <v>46056</v>
      </c>
      <c r="C1023" s="36" t="s">
        <v>238</v>
      </c>
      <c r="D1023" s="36" t="s">
        <v>239</v>
      </c>
      <c r="E1023" s="36" t="s">
        <v>37</v>
      </c>
      <c r="F1023" s="36" t="s">
        <v>38</v>
      </c>
      <c r="G1023" s="36" t="s">
        <v>31</v>
      </c>
      <c r="H1023" s="36" t="s">
        <v>39</v>
      </c>
      <c r="I1023" s="37">
        <v>9</v>
      </c>
      <c r="J1023" s="36"/>
    </row>
    <row r="1024" spans="1:10" x14ac:dyDescent="0.35">
      <c r="A1024" s="36" t="s">
        <v>1216</v>
      </c>
      <c r="B1024" s="35">
        <v>46056</v>
      </c>
      <c r="C1024" s="36" t="s">
        <v>238</v>
      </c>
      <c r="D1024" s="36" t="s">
        <v>239</v>
      </c>
      <c r="E1024" s="36" t="s">
        <v>135</v>
      </c>
      <c r="F1024" s="36" t="s">
        <v>5</v>
      </c>
      <c r="G1024" s="36" t="s">
        <v>6</v>
      </c>
      <c r="H1024" s="36" t="s">
        <v>136</v>
      </c>
      <c r="I1024" s="37">
        <v>3</v>
      </c>
      <c r="J1024" s="36"/>
    </row>
    <row r="1025" spans="1:10" x14ac:dyDescent="0.35">
      <c r="A1025" s="36" t="s">
        <v>1217</v>
      </c>
      <c r="B1025" s="35">
        <v>46056</v>
      </c>
      <c r="C1025" s="36" t="s">
        <v>238</v>
      </c>
      <c r="D1025" s="36" t="s">
        <v>239</v>
      </c>
      <c r="E1025" s="36" t="s">
        <v>97</v>
      </c>
      <c r="F1025" s="36" t="s">
        <v>98</v>
      </c>
      <c r="G1025" s="36" t="s">
        <v>93</v>
      </c>
      <c r="H1025" s="36" t="s">
        <v>99</v>
      </c>
      <c r="I1025" s="37">
        <v>3</v>
      </c>
      <c r="J1025" s="36"/>
    </row>
    <row r="1026" spans="1:10" x14ac:dyDescent="0.35">
      <c r="A1026" s="36" t="s">
        <v>1218</v>
      </c>
      <c r="B1026" s="35">
        <v>46056</v>
      </c>
      <c r="C1026" s="36" t="s">
        <v>238</v>
      </c>
      <c r="D1026" s="36" t="s">
        <v>239</v>
      </c>
      <c r="E1026" s="36" t="s">
        <v>86</v>
      </c>
      <c r="F1026" s="36" t="s">
        <v>87</v>
      </c>
      <c r="G1026" s="36" t="s">
        <v>74</v>
      </c>
      <c r="H1026" s="36" t="s">
        <v>75</v>
      </c>
      <c r="I1026" s="37">
        <v>5</v>
      </c>
      <c r="J1026" s="36"/>
    </row>
    <row r="1027" spans="1:10" x14ac:dyDescent="0.35">
      <c r="A1027" s="36" t="s">
        <v>1219</v>
      </c>
      <c r="B1027" s="35">
        <v>46056</v>
      </c>
      <c r="C1027" s="36" t="s">
        <v>238</v>
      </c>
      <c r="D1027" s="36" t="s">
        <v>239</v>
      </c>
      <c r="E1027" s="36" t="s">
        <v>100</v>
      </c>
      <c r="F1027" s="36" t="s">
        <v>101</v>
      </c>
      <c r="G1027" s="36" t="s">
        <v>102</v>
      </c>
      <c r="H1027" s="36" t="s">
        <v>103</v>
      </c>
      <c r="I1027" s="37">
        <v>9</v>
      </c>
      <c r="J1027" s="36"/>
    </row>
    <row r="1028" spans="1:10" x14ac:dyDescent="0.35">
      <c r="A1028" s="36" t="s">
        <v>1220</v>
      </c>
      <c r="B1028" s="35">
        <v>46056</v>
      </c>
      <c r="C1028" s="36" t="s">
        <v>238</v>
      </c>
      <c r="D1028" s="36" t="s">
        <v>239</v>
      </c>
      <c r="E1028" s="36" t="s">
        <v>137</v>
      </c>
      <c r="F1028" s="36" t="s">
        <v>15</v>
      </c>
      <c r="G1028" s="36" t="s">
        <v>6</v>
      </c>
      <c r="H1028" s="36" t="s">
        <v>136</v>
      </c>
      <c r="I1028" s="37">
        <v>7</v>
      </c>
      <c r="J1028" s="36"/>
    </row>
    <row r="1029" spans="1:10" x14ac:dyDescent="0.35">
      <c r="A1029" s="36" t="s">
        <v>1221</v>
      </c>
      <c r="B1029" s="35">
        <v>46056</v>
      </c>
      <c r="C1029" s="36" t="s">
        <v>238</v>
      </c>
      <c r="D1029" s="36" t="s">
        <v>239</v>
      </c>
      <c r="E1029" s="36" t="s">
        <v>130</v>
      </c>
      <c r="F1029" s="36" t="s">
        <v>16</v>
      </c>
      <c r="G1029" s="36" t="s">
        <v>10</v>
      </c>
      <c r="H1029" s="36" t="s">
        <v>131</v>
      </c>
      <c r="I1029" s="37">
        <v>2</v>
      </c>
      <c r="J1029" s="36"/>
    </row>
    <row r="1030" spans="1:10" x14ac:dyDescent="0.35">
      <c r="A1030" s="36" t="s">
        <v>1222</v>
      </c>
      <c r="B1030" s="35">
        <v>46056</v>
      </c>
      <c r="C1030" s="36" t="s">
        <v>238</v>
      </c>
      <c r="D1030" s="36" t="s">
        <v>239</v>
      </c>
      <c r="E1030" s="36" t="s">
        <v>156</v>
      </c>
      <c r="F1030" s="36" t="s">
        <v>11</v>
      </c>
      <c r="G1030" s="36" t="s">
        <v>12</v>
      </c>
      <c r="H1030" s="36" t="s">
        <v>155</v>
      </c>
      <c r="I1030" s="37">
        <v>3</v>
      </c>
      <c r="J1030" s="36"/>
    </row>
    <row r="1031" spans="1:10" x14ac:dyDescent="0.35">
      <c r="A1031" s="36" t="s">
        <v>1223</v>
      </c>
      <c r="B1031" s="35">
        <v>46056</v>
      </c>
      <c r="C1031" s="36" t="s">
        <v>238</v>
      </c>
      <c r="D1031" s="36" t="s">
        <v>239</v>
      </c>
      <c r="E1031" s="36" t="s">
        <v>125</v>
      </c>
      <c r="F1031" s="36" t="s">
        <v>126</v>
      </c>
      <c r="G1031" s="36" t="s">
        <v>14</v>
      </c>
      <c r="H1031" s="36" t="s">
        <v>127</v>
      </c>
      <c r="I1031" s="37">
        <v>1</v>
      </c>
      <c r="J1031" s="36"/>
    </row>
    <row r="1032" spans="1:10" x14ac:dyDescent="0.35">
      <c r="A1032" s="36" t="s">
        <v>1224</v>
      </c>
      <c r="B1032" s="35">
        <v>46056</v>
      </c>
      <c r="C1032" s="36" t="s">
        <v>238</v>
      </c>
      <c r="D1032" s="36" t="s">
        <v>239</v>
      </c>
      <c r="E1032" s="36" t="s">
        <v>122</v>
      </c>
      <c r="F1032" s="36" t="s">
        <v>123</v>
      </c>
      <c r="G1032" s="36" t="s">
        <v>14</v>
      </c>
      <c r="H1032" s="36" t="s">
        <v>124</v>
      </c>
      <c r="I1032" s="37">
        <v>1</v>
      </c>
      <c r="J1032" s="36"/>
    </row>
    <row r="1033" spans="1:10" x14ac:dyDescent="0.35">
      <c r="A1033" s="36" t="s">
        <v>1225</v>
      </c>
      <c r="B1033" s="35">
        <v>46056</v>
      </c>
      <c r="C1033" s="36" t="s">
        <v>210</v>
      </c>
      <c r="D1033" s="36" t="s">
        <v>211</v>
      </c>
      <c r="E1033" s="36" t="s">
        <v>122</v>
      </c>
      <c r="F1033" s="36" t="s">
        <v>123</v>
      </c>
      <c r="G1033" s="36" t="s">
        <v>14</v>
      </c>
      <c r="H1033" s="36" t="s">
        <v>124</v>
      </c>
      <c r="I1033" s="37">
        <v>2</v>
      </c>
      <c r="J1033" s="36"/>
    </row>
    <row r="1034" spans="1:10" x14ac:dyDescent="0.35">
      <c r="A1034" s="36" t="s">
        <v>1226</v>
      </c>
      <c r="B1034" s="35">
        <v>46056</v>
      </c>
      <c r="C1034" s="36" t="s">
        <v>210</v>
      </c>
      <c r="D1034" s="36" t="s">
        <v>211</v>
      </c>
      <c r="E1034" s="36" t="s">
        <v>157</v>
      </c>
      <c r="F1034" s="36" t="s">
        <v>158</v>
      </c>
      <c r="G1034" s="36" t="s">
        <v>159</v>
      </c>
      <c r="H1034" s="36" t="s">
        <v>160</v>
      </c>
      <c r="I1034" s="37">
        <v>4</v>
      </c>
      <c r="J1034" s="36"/>
    </row>
    <row r="1035" spans="1:10" x14ac:dyDescent="0.35">
      <c r="A1035" s="36" t="s">
        <v>1227</v>
      </c>
      <c r="B1035" s="35">
        <v>46056</v>
      </c>
      <c r="C1035" s="36" t="s">
        <v>210</v>
      </c>
      <c r="D1035" s="36" t="s">
        <v>211</v>
      </c>
      <c r="E1035" s="36" t="s">
        <v>138</v>
      </c>
      <c r="F1035" s="36" t="s">
        <v>139</v>
      </c>
      <c r="G1035" s="36" t="s">
        <v>6</v>
      </c>
      <c r="H1035" s="36" t="s">
        <v>140</v>
      </c>
      <c r="I1035" s="37">
        <v>10</v>
      </c>
      <c r="J1035" s="36"/>
    </row>
    <row r="1036" spans="1:10" x14ac:dyDescent="0.35">
      <c r="A1036" s="36" t="s">
        <v>1228</v>
      </c>
      <c r="B1036" s="35">
        <v>46056</v>
      </c>
      <c r="C1036" s="36" t="s">
        <v>210</v>
      </c>
      <c r="D1036" s="36" t="s">
        <v>211</v>
      </c>
      <c r="E1036" s="36" t="s">
        <v>40</v>
      </c>
      <c r="F1036" s="36" t="s">
        <v>41</v>
      </c>
      <c r="G1036" s="36" t="s">
        <v>31</v>
      </c>
      <c r="H1036" s="36" t="s">
        <v>42</v>
      </c>
      <c r="I1036" s="37">
        <v>12</v>
      </c>
      <c r="J1036" s="36"/>
    </row>
    <row r="1037" spans="1:10" x14ac:dyDescent="0.35">
      <c r="A1037" s="36" t="s">
        <v>1229</v>
      </c>
      <c r="B1037" s="35">
        <v>46056</v>
      </c>
      <c r="C1037" s="36" t="s">
        <v>210</v>
      </c>
      <c r="D1037" s="36" t="s">
        <v>211</v>
      </c>
      <c r="E1037" s="36" t="s">
        <v>64</v>
      </c>
      <c r="F1037" s="36" t="s">
        <v>65</v>
      </c>
      <c r="G1037" s="36" t="s">
        <v>66</v>
      </c>
      <c r="H1037" s="36" t="s">
        <v>42</v>
      </c>
      <c r="I1037" s="37">
        <v>12</v>
      </c>
      <c r="J1037" s="36"/>
    </row>
    <row r="1038" spans="1:10" x14ac:dyDescent="0.35">
      <c r="A1038" s="36" t="s">
        <v>1230</v>
      </c>
      <c r="B1038" s="35">
        <v>46056</v>
      </c>
      <c r="C1038" s="36" t="s">
        <v>210</v>
      </c>
      <c r="D1038" s="36" t="s">
        <v>211</v>
      </c>
      <c r="E1038" s="36" t="s">
        <v>81</v>
      </c>
      <c r="F1038" s="36" t="s">
        <v>82</v>
      </c>
      <c r="G1038" s="36" t="s">
        <v>74</v>
      </c>
      <c r="H1038" s="36" t="s">
        <v>80</v>
      </c>
      <c r="I1038" s="37">
        <v>8</v>
      </c>
      <c r="J1038" s="36"/>
    </row>
    <row r="1039" spans="1:10" x14ac:dyDescent="0.35">
      <c r="A1039" s="36" t="s">
        <v>1231</v>
      </c>
      <c r="B1039" s="35">
        <v>46056</v>
      </c>
      <c r="C1039" s="36" t="s">
        <v>210</v>
      </c>
      <c r="D1039" s="36" t="s">
        <v>211</v>
      </c>
      <c r="E1039" s="36" t="s">
        <v>109</v>
      </c>
      <c r="F1039" s="36" t="s">
        <v>110</v>
      </c>
      <c r="G1039" s="36" t="s">
        <v>102</v>
      </c>
      <c r="H1039" s="36" t="s">
        <v>42</v>
      </c>
      <c r="I1039" s="37">
        <v>10</v>
      </c>
      <c r="J1039" s="36"/>
    </row>
    <row r="1040" spans="1:10" x14ac:dyDescent="0.35">
      <c r="A1040" s="36" t="s">
        <v>1232</v>
      </c>
      <c r="B1040" s="35">
        <v>46056</v>
      </c>
      <c r="C1040" s="36" t="s">
        <v>210</v>
      </c>
      <c r="D1040" s="36" t="s">
        <v>211</v>
      </c>
      <c r="E1040" s="36" t="s">
        <v>100</v>
      </c>
      <c r="F1040" s="36" t="s">
        <v>101</v>
      </c>
      <c r="G1040" s="36" t="s">
        <v>102</v>
      </c>
      <c r="H1040" s="36" t="s">
        <v>103</v>
      </c>
      <c r="I1040" s="37">
        <v>6</v>
      </c>
      <c r="J1040" s="36"/>
    </row>
    <row r="1041" spans="1:10" x14ac:dyDescent="0.35">
      <c r="A1041" s="36" t="s">
        <v>1233</v>
      </c>
      <c r="B1041" s="35">
        <v>46056</v>
      </c>
      <c r="C1041" s="36" t="s">
        <v>210</v>
      </c>
      <c r="D1041" s="36" t="s">
        <v>211</v>
      </c>
      <c r="E1041" s="36" t="s">
        <v>83</v>
      </c>
      <c r="F1041" s="36" t="s">
        <v>84</v>
      </c>
      <c r="G1041" s="36" t="s">
        <v>74</v>
      </c>
      <c r="H1041" s="36" t="s">
        <v>85</v>
      </c>
      <c r="I1041" s="37">
        <v>8</v>
      </c>
      <c r="J1041" s="36"/>
    </row>
    <row r="1042" spans="1:10" x14ac:dyDescent="0.35">
      <c r="A1042" s="36" t="s">
        <v>1234</v>
      </c>
      <c r="B1042" s="35">
        <v>46056</v>
      </c>
      <c r="C1042" s="36" t="s">
        <v>210</v>
      </c>
      <c r="D1042" s="36" t="s">
        <v>211</v>
      </c>
      <c r="E1042" s="36" t="s">
        <v>149</v>
      </c>
      <c r="F1042" s="36" t="s">
        <v>150</v>
      </c>
      <c r="G1042" s="36" t="s">
        <v>8</v>
      </c>
      <c r="H1042" s="36" t="s">
        <v>75</v>
      </c>
      <c r="I1042" s="37">
        <v>4</v>
      </c>
      <c r="J1042" s="36"/>
    </row>
    <row r="1043" spans="1:10" x14ac:dyDescent="0.35">
      <c r="A1043" s="36" t="s">
        <v>1235</v>
      </c>
      <c r="B1043" s="35">
        <v>46056</v>
      </c>
      <c r="C1043" s="36" t="s">
        <v>210</v>
      </c>
      <c r="D1043" s="36" t="s">
        <v>211</v>
      </c>
      <c r="E1043" s="36" t="s">
        <v>111</v>
      </c>
      <c r="F1043" s="36" t="s">
        <v>112</v>
      </c>
      <c r="G1043" s="36" t="s">
        <v>102</v>
      </c>
      <c r="H1043" s="36" t="s">
        <v>113</v>
      </c>
      <c r="I1043" s="37">
        <v>9</v>
      </c>
      <c r="J1043" s="36"/>
    </row>
    <row r="1044" spans="1:10" x14ac:dyDescent="0.35">
      <c r="A1044" s="36" t="s">
        <v>1236</v>
      </c>
      <c r="B1044" s="35">
        <v>46057</v>
      </c>
      <c r="C1044" s="36" t="s">
        <v>190</v>
      </c>
      <c r="D1044" s="36" t="s">
        <v>191</v>
      </c>
      <c r="E1044" s="36" t="s">
        <v>144</v>
      </c>
      <c r="F1044" s="36" t="s">
        <v>7</v>
      </c>
      <c r="G1044" s="36" t="s">
        <v>8</v>
      </c>
      <c r="H1044" s="36" t="s">
        <v>145</v>
      </c>
      <c r="I1044" s="37">
        <v>12</v>
      </c>
      <c r="J1044" s="36"/>
    </row>
    <row r="1045" spans="1:10" x14ac:dyDescent="0.35">
      <c r="A1045" s="36" t="s">
        <v>1237</v>
      </c>
      <c r="B1045" s="35">
        <v>46057</v>
      </c>
      <c r="C1045" s="36" t="s">
        <v>190</v>
      </c>
      <c r="D1045" s="36" t="s">
        <v>191</v>
      </c>
      <c r="E1045" s="36" t="s">
        <v>130</v>
      </c>
      <c r="F1045" s="36" t="s">
        <v>16</v>
      </c>
      <c r="G1045" s="36" t="s">
        <v>10</v>
      </c>
      <c r="H1045" s="36" t="s">
        <v>131</v>
      </c>
      <c r="I1045" s="37">
        <v>5</v>
      </c>
      <c r="J1045" s="36"/>
    </row>
    <row r="1046" spans="1:10" x14ac:dyDescent="0.35">
      <c r="A1046" s="36" t="s">
        <v>1238</v>
      </c>
      <c r="B1046" s="35">
        <v>46057</v>
      </c>
      <c r="C1046" s="36" t="s">
        <v>190</v>
      </c>
      <c r="D1046" s="36" t="s">
        <v>191</v>
      </c>
      <c r="E1046" s="36" t="s">
        <v>135</v>
      </c>
      <c r="F1046" s="36" t="s">
        <v>5</v>
      </c>
      <c r="G1046" s="36" t="s">
        <v>6</v>
      </c>
      <c r="H1046" s="36" t="s">
        <v>136</v>
      </c>
      <c r="I1046" s="37">
        <v>12</v>
      </c>
      <c r="J1046" s="36"/>
    </row>
    <row r="1047" spans="1:10" x14ac:dyDescent="0.35">
      <c r="A1047" s="36" t="s">
        <v>1239</v>
      </c>
      <c r="B1047" s="35">
        <v>46057</v>
      </c>
      <c r="C1047" s="36" t="s">
        <v>190</v>
      </c>
      <c r="D1047" s="36" t="s">
        <v>191</v>
      </c>
      <c r="E1047" s="36" t="s">
        <v>83</v>
      </c>
      <c r="F1047" s="36" t="s">
        <v>84</v>
      </c>
      <c r="G1047" s="36" t="s">
        <v>74</v>
      </c>
      <c r="H1047" s="36" t="s">
        <v>85</v>
      </c>
      <c r="I1047" s="37">
        <v>10</v>
      </c>
      <c r="J1047" s="36"/>
    </row>
    <row r="1048" spans="1:10" x14ac:dyDescent="0.35">
      <c r="A1048" s="36" t="s">
        <v>1240</v>
      </c>
      <c r="B1048" s="35">
        <v>46057</v>
      </c>
      <c r="C1048" s="36" t="s">
        <v>190</v>
      </c>
      <c r="D1048" s="36" t="s">
        <v>191</v>
      </c>
      <c r="E1048" s="36" t="s">
        <v>88</v>
      </c>
      <c r="F1048" s="36" t="s">
        <v>89</v>
      </c>
      <c r="G1048" s="36" t="s">
        <v>74</v>
      </c>
      <c r="H1048" s="36" t="s">
        <v>90</v>
      </c>
      <c r="I1048" s="37">
        <v>16</v>
      </c>
      <c r="J1048" s="36"/>
    </row>
    <row r="1049" spans="1:10" x14ac:dyDescent="0.35">
      <c r="A1049" s="36" t="s">
        <v>1241</v>
      </c>
      <c r="B1049" s="35">
        <v>46057</v>
      </c>
      <c r="C1049" s="36" t="s">
        <v>210</v>
      </c>
      <c r="D1049" s="36" t="s">
        <v>211</v>
      </c>
      <c r="E1049" s="36" t="s">
        <v>111</v>
      </c>
      <c r="F1049" s="36" t="s">
        <v>112</v>
      </c>
      <c r="G1049" s="36" t="s">
        <v>102</v>
      </c>
      <c r="H1049" s="36" t="s">
        <v>113</v>
      </c>
      <c r="I1049" s="37">
        <v>7</v>
      </c>
      <c r="J1049" s="36"/>
    </row>
    <row r="1050" spans="1:10" x14ac:dyDescent="0.35">
      <c r="A1050" s="36" t="s">
        <v>1242</v>
      </c>
      <c r="B1050" s="35">
        <v>46057</v>
      </c>
      <c r="C1050" s="36" t="s">
        <v>210</v>
      </c>
      <c r="D1050" s="36" t="s">
        <v>211</v>
      </c>
      <c r="E1050" s="36" t="s">
        <v>156</v>
      </c>
      <c r="F1050" s="36" t="s">
        <v>11</v>
      </c>
      <c r="G1050" s="36" t="s">
        <v>12</v>
      </c>
      <c r="H1050" s="36" t="s">
        <v>155</v>
      </c>
      <c r="I1050" s="37">
        <v>6</v>
      </c>
      <c r="J1050" s="36"/>
    </row>
    <row r="1051" spans="1:10" x14ac:dyDescent="0.35">
      <c r="A1051" s="36" t="s">
        <v>1243</v>
      </c>
      <c r="B1051" s="35">
        <v>46057</v>
      </c>
      <c r="C1051" s="36" t="s">
        <v>210</v>
      </c>
      <c r="D1051" s="36" t="s">
        <v>211</v>
      </c>
      <c r="E1051" s="36" t="s">
        <v>132</v>
      </c>
      <c r="F1051" s="36" t="s">
        <v>133</v>
      </c>
      <c r="G1051" s="36" t="s">
        <v>10</v>
      </c>
      <c r="H1051" s="36" t="s">
        <v>134</v>
      </c>
      <c r="I1051" s="37">
        <v>7</v>
      </c>
      <c r="J1051" s="36"/>
    </row>
    <row r="1052" spans="1:10" x14ac:dyDescent="0.35">
      <c r="A1052" s="36" t="s">
        <v>1244</v>
      </c>
      <c r="B1052" s="35">
        <v>46057</v>
      </c>
      <c r="C1052" s="36" t="s">
        <v>210</v>
      </c>
      <c r="D1052" s="36" t="s">
        <v>211</v>
      </c>
      <c r="E1052" s="36" t="s">
        <v>94</v>
      </c>
      <c r="F1052" s="36" t="s">
        <v>95</v>
      </c>
      <c r="G1052" s="36" t="s">
        <v>93</v>
      </c>
      <c r="H1052" s="36" t="s">
        <v>96</v>
      </c>
      <c r="I1052" s="37">
        <v>9</v>
      </c>
      <c r="J1052" s="36"/>
    </row>
    <row r="1053" spans="1:10" x14ac:dyDescent="0.35">
      <c r="A1053" s="36" t="s">
        <v>1245</v>
      </c>
      <c r="B1053" s="35">
        <v>46057</v>
      </c>
      <c r="C1053" s="36" t="s">
        <v>210</v>
      </c>
      <c r="D1053" s="36" t="s">
        <v>211</v>
      </c>
      <c r="E1053" s="36" t="s">
        <v>37</v>
      </c>
      <c r="F1053" s="36" t="s">
        <v>38</v>
      </c>
      <c r="G1053" s="36" t="s">
        <v>31</v>
      </c>
      <c r="H1053" s="36" t="s">
        <v>39</v>
      </c>
      <c r="I1053" s="37">
        <v>14</v>
      </c>
      <c r="J1053" s="36"/>
    </row>
    <row r="1054" spans="1:10" x14ac:dyDescent="0.35">
      <c r="A1054" s="36" t="s">
        <v>1246</v>
      </c>
      <c r="B1054" s="35">
        <v>46057</v>
      </c>
      <c r="C1054" s="36" t="s">
        <v>210</v>
      </c>
      <c r="D1054" s="36" t="s">
        <v>211</v>
      </c>
      <c r="E1054" s="36" t="s">
        <v>46</v>
      </c>
      <c r="F1054" s="36" t="s">
        <v>47</v>
      </c>
      <c r="G1054" s="36" t="s">
        <v>31</v>
      </c>
      <c r="H1054" s="36" t="s">
        <v>42</v>
      </c>
      <c r="I1054" s="37">
        <v>7</v>
      </c>
      <c r="J1054" s="36"/>
    </row>
    <row r="1055" spans="1:10" x14ac:dyDescent="0.35">
      <c r="A1055" s="36" t="s">
        <v>1247</v>
      </c>
      <c r="B1055" s="35">
        <v>46057</v>
      </c>
      <c r="C1055" s="36" t="s">
        <v>210</v>
      </c>
      <c r="D1055" s="36" t="s">
        <v>211</v>
      </c>
      <c r="E1055" s="36" t="s">
        <v>83</v>
      </c>
      <c r="F1055" s="36" t="s">
        <v>84</v>
      </c>
      <c r="G1055" s="36" t="s">
        <v>74</v>
      </c>
      <c r="H1055" s="36" t="s">
        <v>85</v>
      </c>
      <c r="I1055" s="37">
        <v>8</v>
      </c>
      <c r="J1055" s="36"/>
    </row>
    <row r="1056" spans="1:10" x14ac:dyDescent="0.35">
      <c r="A1056" s="36" t="s">
        <v>1248</v>
      </c>
      <c r="B1056" s="35">
        <v>46057</v>
      </c>
      <c r="C1056" s="36" t="s">
        <v>298</v>
      </c>
      <c r="D1056" s="36" t="s">
        <v>299</v>
      </c>
      <c r="E1056" s="36" t="s">
        <v>67</v>
      </c>
      <c r="F1056" s="36" t="s">
        <v>68</v>
      </c>
      <c r="G1056" s="36" t="s">
        <v>66</v>
      </c>
      <c r="H1056" s="36" t="s">
        <v>42</v>
      </c>
      <c r="I1056" s="37">
        <v>4</v>
      </c>
      <c r="J1056" s="36"/>
    </row>
    <row r="1057" spans="1:10" x14ac:dyDescent="0.35">
      <c r="A1057" s="36" t="s">
        <v>1249</v>
      </c>
      <c r="B1057" s="35">
        <v>46057</v>
      </c>
      <c r="C1057" s="36" t="s">
        <v>298</v>
      </c>
      <c r="D1057" s="36" t="s">
        <v>299</v>
      </c>
      <c r="E1057" s="36" t="s">
        <v>149</v>
      </c>
      <c r="F1057" s="36" t="s">
        <v>150</v>
      </c>
      <c r="G1057" s="36" t="s">
        <v>8</v>
      </c>
      <c r="H1057" s="36" t="s">
        <v>75</v>
      </c>
      <c r="I1057" s="37">
        <v>3</v>
      </c>
      <c r="J1057" s="36"/>
    </row>
    <row r="1058" spans="1:10" x14ac:dyDescent="0.35">
      <c r="A1058" s="36" t="s">
        <v>1250</v>
      </c>
      <c r="B1058" s="35">
        <v>46057</v>
      </c>
      <c r="C1058" s="36" t="s">
        <v>298</v>
      </c>
      <c r="D1058" s="36" t="s">
        <v>299</v>
      </c>
      <c r="E1058" s="36" t="s">
        <v>157</v>
      </c>
      <c r="F1058" s="36" t="s">
        <v>158</v>
      </c>
      <c r="G1058" s="36" t="s">
        <v>159</v>
      </c>
      <c r="H1058" s="36" t="s">
        <v>160</v>
      </c>
      <c r="I1058" s="37">
        <v>3</v>
      </c>
      <c r="J1058" s="36"/>
    </row>
    <row r="1059" spans="1:10" x14ac:dyDescent="0.35">
      <c r="A1059" s="36" t="s">
        <v>1251</v>
      </c>
      <c r="B1059" s="35">
        <v>46057</v>
      </c>
      <c r="C1059" s="36" t="s">
        <v>298</v>
      </c>
      <c r="D1059" s="36" t="s">
        <v>299</v>
      </c>
      <c r="E1059" s="36" t="s">
        <v>137</v>
      </c>
      <c r="F1059" s="36" t="s">
        <v>15</v>
      </c>
      <c r="G1059" s="36" t="s">
        <v>6</v>
      </c>
      <c r="H1059" s="36" t="s">
        <v>136</v>
      </c>
      <c r="I1059" s="37">
        <v>5</v>
      </c>
      <c r="J1059" s="36"/>
    </row>
    <row r="1060" spans="1:10" x14ac:dyDescent="0.35">
      <c r="A1060" s="36" t="s">
        <v>1252</v>
      </c>
      <c r="B1060" s="35">
        <v>46057</v>
      </c>
      <c r="C1060" s="36" t="s">
        <v>298</v>
      </c>
      <c r="D1060" s="36" t="s">
        <v>299</v>
      </c>
      <c r="E1060" s="36" t="s">
        <v>40</v>
      </c>
      <c r="F1060" s="36" t="s">
        <v>41</v>
      </c>
      <c r="G1060" s="36" t="s">
        <v>31</v>
      </c>
      <c r="H1060" s="36" t="s">
        <v>42</v>
      </c>
      <c r="I1060" s="37">
        <v>4</v>
      </c>
      <c r="J1060" s="36"/>
    </row>
    <row r="1061" spans="1:10" x14ac:dyDescent="0.35">
      <c r="A1061" s="36" t="s">
        <v>1253</v>
      </c>
      <c r="B1061" s="35">
        <v>46057</v>
      </c>
      <c r="C1061" s="36" t="s">
        <v>298</v>
      </c>
      <c r="D1061" s="36" t="s">
        <v>299</v>
      </c>
      <c r="E1061" s="36" t="s">
        <v>48</v>
      </c>
      <c r="F1061" s="36" t="s">
        <v>49</v>
      </c>
      <c r="G1061" s="36" t="s">
        <v>31</v>
      </c>
      <c r="H1061" s="36" t="s">
        <v>50</v>
      </c>
      <c r="I1061" s="37">
        <v>5</v>
      </c>
      <c r="J1061" s="36"/>
    </row>
    <row r="1062" spans="1:10" x14ac:dyDescent="0.35">
      <c r="A1062" s="36" t="s">
        <v>1254</v>
      </c>
      <c r="B1062" s="35">
        <v>46057</v>
      </c>
      <c r="C1062" s="36" t="s">
        <v>298</v>
      </c>
      <c r="D1062" s="36" t="s">
        <v>299</v>
      </c>
      <c r="E1062" s="36" t="s">
        <v>130</v>
      </c>
      <c r="F1062" s="36" t="s">
        <v>16</v>
      </c>
      <c r="G1062" s="36" t="s">
        <v>10</v>
      </c>
      <c r="H1062" s="36" t="s">
        <v>131</v>
      </c>
      <c r="I1062" s="37">
        <v>2</v>
      </c>
      <c r="J1062" s="36"/>
    </row>
    <row r="1063" spans="1:10" x14ac:dyDescent="0.35">
      <c r="A1063" s="36" t="s">
        <v>1255</v>
      </c>
      <c r="B1063" s="35">
        <v>46057</v>
      </c>
      <c r="C1063" s="36" t="s">
        <v>298</v>
      </c>
      <c r="D1063" s="36" t="s">
        <v>299</v>
      </c>
      <c r="E1063" s="36" t="s">
        <v>138</v>
      </c>
      <c r="F1063" s="36" t="s">
        <v>139</v>
      </c>
      <c r="G1063" s="36" t="s">
        <v>6</v>
      </c>
      <c r="H1063" s="36" t="s">
        <v>140</v>
      </c>
      <c r="I1063" s="37">
        <v>3</v>
      </c>
      <c r="J1063" s="36"/>
    </row>
    <row r="1064" spans="1:10" x14ac:dyDescent="0.35">
      <c r="A1064" s="36" t="s">
        <v>1256</v>
      </c>
      <c r="B1064" s="35">
        <v>46057</v>
      </c>
      <c r="C1064" s="36" t="s">
        <v>298</v>
      </c>
      <c r="D1064" s="36" t="s">
        <v>299</v>
      </c>
      <c r="E1064" s="36" t="s">
        <v>161</v>
      </c>
      <c r="F1064" s="36" t="s">
        <v>162</v>
      </c>
      <c r="G1064" s="36" t="s">
        <v>159</v>
      </c>
      <c r="H1064" s="36" t="s">
        <v>163</v>
      </c>
      <c r="I1064" s="37">
        <v>3</v>
      </c>
      <c r="J1064" s="36"/>
    </row>
    <row r="1065" spans="1:10" x14ac:dyDescent="0.35">
      <c r="A1065" s="36" t="s">
        <v>1257</v>
      </c>
      <c r="B1065" s="35">
        <v>46057</v>
      </c>
      <c r="C1065" s="36" t="s">
        <v>298</v>
      </c>
      <c r="D1065" s="36" t="s">
        <v>299</v>
      </c>
      <c r="E1065" s="36" t="s">
        <v>46</v>
      </c>
      <c r="F1065" s="36" t="s">
        <v>47</v>
      </c>
      <c r="G1065" s="36" t="s">
        <v>31</v>
      </c>
      <c r="H1065" s="36" t="s">
        <v>42</v>
      </c>
      <c r="I1065" s="37">
        <v>4</v>
      </c>
      <c r="J1065" s="36"/>
    </row>
    <row r="1066" spans="1:10" x14ac:dyDescent="0.35">
      <c r="A1066" s="36" t="s">
        <v>1258</v>
      </c>
      <c r="B1066" s="35">
        <v>46057</v>
      </c>
      <c r="C1066" s="36" t="s">
        <v>210</v>
      </c>
      <c r="D1066" s="36" t="s">
        <v>211</v>
      </c>
      <c r="E1066" s="36" t="s">
        <v>137</v>
      </c>
      <c r="F1066" s="36" t="s">
        <v>15</v>
      </c>
      <c r="G1066" s="36" t="s">
        <v>6</v>
      </c>
      <c r="H1066" s="36" t="s">
        <v>136</v>
      </c>
      <c r="I1066" s="37">
        <v>9</v>
      </c>
      <c r="J1066" s="36"/>
    </row>
    <row r="1067" spans="1:10" x14ac:dyDescent="0.35">
      <c r="A1067" s="36" t="s">
        <v>1259</v>
      </c>
      <c r="B1067" s="35">
        <v>46057</v>
      </c>
      <c r="C1067" s="36" t="s">
        <v>210</v>
      </c>
      <c r="D1067" s="36" t="s">
        <v>211</v>
      </c>
      <c r="E1067" s="36" t="s">
        <v>130</v>
      </c>
      <c r="F1067" s="36" t="s">
        <v>16</v>
      </c>
      <c r="G1067" s="36" t="s">
        <v>10</v>
      </c>
      <c r="H1067" s="36" t="s">
        <v>131</v>
      </c>
      <c r="I1067" s="37">
        <v>7</v>
      </c>
      <c r="J1067" s="36"/>
    </row>
    <row r="1068" spans="1:10" x14ac:dyDescent="0.35">
      <c r="A1068" s="36" t="s">
        <v>1260</v>
      </c>
      <c r="B1068" s="35">
        <v>46057</v>
      </c>
      <c r="C1068" s="36" t="s">
        <v>210</v>
      </c>
      <c r="D1068" s="36" t="s">
        <v>211</v>
      </c>
      <c r="E1068" s="36" t="s">
        <v>117</v>
      </c>
      <c r="F1068" s="36" t="s">
        <v>118</v>
      </c>
      <c r="G1068" s="36" t="s">
        <v>14</v>
      </c>
      <c r="H1068" s="36" t="s">
        <v>119</v>
      </c>
      <c r="I1068" s="37">
        <v>2</v>
      </c>
      <c r="J1068" s="36"/>
    </row>
    <row r="1069" spans="1:10" x14ac:dyDescent="0.35">
      <c r="A1069" s="36" t="s">
        <v>1261</v>
      </c>
      <c r="B1069" s="35">
        <v>46057</v>
      </c>
      <c r="C1069" s="36" t="s">
        <v>210</v>
      </c>
      <c r="D1069" s="36" t="s">
        <v>211</v>
      </c>
      <c r="E1069" s="36" t="s">
        <v>122</v>
      </c>
      <c r="F1069" s="36" t="s">
        <v>123</v>
      </c>
      <c r="G1069" s="36" t="s">
        <v>14</v>
      </c>
      <c r="H1069" s="36" t="s">
        <v>124</v>
      </c>
      <c r="I1069" s="37">
        <v>2</v>
      </c>
      <c r="J1069" s="36"/>
    </row>
    <row r="1070" spans="1:10" x14ac:dyDescent="0.35">
      <c r="A1070" s="36" t="s">
        <v>1262</v>
      </c>
      <c r="B1070" s="35">
        <v>46057</v>
      </c>
      <c r="C1070" s="36" t="s">
        <v>210</v>
      </c>
      <c r="D1070" s="36" t="s">
        <v>211</v>
      </c>
      <c r="E1070" s="36" t="s">
        <v>138</v>
      </c>
      <c r="F1070" s="36" t="s">
        <v>139</v>
      </c>
      <c r="G1070" s="36" t="s">
        <v>6</v>
      </c>
      <c r="H1070" s="36" t="s">
        <v>140</v>
      </c>
      <c r="I1070" s="37">
        <v>5</v>
      </c>
      <c r="J1070" s="36"/>
    </row>
    <row r="1071" spans="1:10" x14ac:dyDescent="0.35">
      <c r="A1071" s="36" t="s">
        <v>1263</v>
      </c>
      <c r="B1071" s="35">
        <v>46057</v>
      </c>
      <c r="C1071" s="36" t="s">
        <v>210</v>
      </c>
      <c r="D1071" s="36" t="s">
        <v>211</v>
      </c>
      <c r="E1071" s="36" t="s">
        <v>156</v>
      </c>
      <c r="F1071" s="36" t="s">
        <v>11</v>
      </c>
      <c r="G1071" s="36" t="s">
        <v>12</v>
      </c>
      <c r="H1071" s="36" t="s">
        <v>155</v>
      </c>
      <c r="I1071" s="37">
        <v>3</v>
      </c>
      <c r="J1071" s="36"/>
    </row>
    <row r="1072" spans="1:10" x14ac:dyDescent="0.35">
      <c r="A1072" s="36" t="s">
        <v>1264</v>
      </c>
      <c r="B1072" s="35">
        <v>46057</v>
      </c>
      <c r="C1072" s="36" t="s">
        <v>210</v>
      </c>
      <c r="D1072" s="36" t="s">
        <v>211</v>
      </c>
      <c r="E1072" s="36" t="s">
        <v>149</v>
      </c>
      <c r="F1072" s="36" t="s">
        <v>150</v>
      </c>
      <c r="G1072" s="36" t="s">
        <v>8</v>
      </c>
      <c r="H1072" s="36" t="s">
        <v>75</v>
      </c>
      <c r="I1072" s="37">
        <v>5</v>
      </c>
      <c r="J1072" s="36"/>
    </row>
    <row r="1073" spans="1:10" x14ac:dyDescent="0.35">
      <c r="A1073" s="36" t="s">
        <v>1265</v>
      </c>
      <c r="B1073" s="35">
        <v>46061</v>
      </c>
      <c r="C1073" s="36" t="s">
        <v>210</v>
      </c>
      <c r="D1073" s="36" t="s">
        <v>211</v>
      </c>
      <c r="E1073" s="36" t="s">
        <v>67</v>
      </c>
      <c r="F1073" s="36" t="s">
        <v>68</v>
      </c>
      <c r="G1073" s="36" t="s">
        <v>66</v>
      </c>
      <c r="H1073" s="36" t="s">
        <v>42</v>
      </c>
      <c r="I1073" s="37">
        <v>10</v>
      </c>
      <c r="J1073" s="36"/>
    </row>
    <row r="1074" spans="1:10" x14ac:dyDescent="0.35">
      <c r="A1074" s="36" t="s">
        <v>1266</v>
      </c>
      <c r="B1074" s="35">
        <v>46061</v>
      </c>
      <c r="C1074" s="36" t="s">
        <v>210</v>
      </c>
      <c r="D1074" s="36" t="s">
        <v>211</v>
      </c>
      <c r="E1074" s="36" t="s">
        <v>132</v>
      </c>
      <c r="F1074" s="36" t="s">
        <v>133</v>
      </c>
      <c r="G1074" s="36" t="s">
        <v>10</v>
      </c>
      <c r="H1074" s="36" t="s">
        <v>134</v>
      </c>
      <c r="I1074" s="37">
        <v>3</v>
      </c>
      <c r="J1074" s="36"/>
    </row>
    <row r="1075" spans="1:10" x14ac:dyDescent="0.35">
      <c r="A1075" s="36" t="s">
        <v>1267</v>
      </c>
      <c r="B1075" s="35">
        <v>46061</v>
      </c>
      <c r="C1075" s="36" t="s">
        <v>210</v>
      </c>
      <c r="D1075" s="36" t="s">
        <v>211</v>
      </c>
      <c r="E1075" s="36" t="s">
        <v>144</v>
      </c>
      <c r="F1075" s="36" t="s">
        <v>7</v>
      </c>
      <c r="G1075" s="36" t="s">
        <v>8</v>
      </c>
      <c r="H1075" s="36" t="s">
        <v>145</v>
      </c>
      <c r="I1075" s="37">
        <v>7</v>
      </c>
      <c r="J1075" s="36"/>
    </row>
    <row r="1076" spans="1:10" x14ac:dyDescent="0.35">
      <c r="A1076" s="36" t="s">
        <v>1268</v>
      </c>
      <c r="B1076" s="35">
        <v>46061</v>
      </c>
      <c r="C1076" s="36" t="s">
        <v>210</v>
      </c>
      <c r="D1076" s="36" t="s">
        <v>211</v>
      </c>
      <c r="E1076" s="36" t="s">
        <v>114</v>
      </c>
      <c r="F1076" s="36" t="s">
        <v>13</v>
      </c>
      <c r="G1076" s="36" t="s">
        <v>14</v>
      </c>
      <c r="H1076" s="36" t="s">
        <v>115</v>
      </c>
      <c r="I1076" s="37">
        <v>2</v>
      </c>
      <c r="J1076" s="36"/>
    </row>
    <row r="1077" spans="1:10" x14ac:dyDescent="0.35">
      <c r="A1077" s="36" t="s">
        <v>1269</v>
      </c>
      <c r="B1077" s="35">
        <v>46061</v>
      </c>
      <c r="C1077" s="36" t="s">
        <v>210</v>
      </c>
      <c r="D1077" s="36" t="s">
        <v>211</v>
      </c>
      <c r="E1077" s="36" t="s">
        <v>111</v>
      </c>
      <c r="F1077" s="36" t="s">
        <v>112</v>
      </c>
      <c r="G1077" s="36" t="s">
        <v>102</v>
      </c>
      <c r="H1077" s="36" t="s">
        <v>113</v>
      </c>
      <c r="I1077" s="37">
        <v>9</v>
      </c>
      <c r="J1077" s="36"/>
    </row>
    <row r="1078" spans="1:10" x14ac:dyDescent="0.35">
      <c r="A1078" s="36" t="s">
        <v>1270</v>
      </c>
      <c r="B1078" s="35">
        <v>46061</v>
      </c>
      <c r="C1078" s="36" t="s">
        <v>210</v>
      </c>
      <c r="D1078" s="36" t="s">
        <v>211</v>
      </c>
      <c r="E1078" s="36" t="s">
        <v>104</v>
      </c>
      <c r="F1078" s="36" t="s">
        <v>105</v>
      </c>
      <c r="G1078" s="36" t="s">
        <v>102</v>
      </c>
      <c r="H1078" s="36" t="s">
        <v>103</v>
      </c>
      <c r="I1078" s="37">
        <v>11</v>
      </c>
      <c r="J1078" s="36"/>
    </row>
    <row r="1079" spans="1:10" x14ac:dyDescent="0.35">
      <c r="A1079" s="36" t="s">
        <v>1271</v>
      </c>
      <c r="B1079" s="35">
        <v>46061</v>
      </c>
      <c r="C1079" s="36" t="s">
        <v>210</v>
      </c>
      <c r="D1079" s="36" t="s">
        <v>211</v>
      </c>
      <c r="E1079" s="36" t="s">
        <v>109</v>
      </c>
      <c r="F1079" s="36" t="s">
        <v>110</v>
      </c>
      <c r="G1079" s="36" t="s">
        <v>102</v>
      </c>
      <c r="H1079" s="36" t="s">
        <v>42</v>
      </c>
      <c r="I1079" s="37">
        <v>6</v>
      </c>
      <c r="J1079" s="36"/>
    </row>
    <row r="1080" spans="1:10" x14ac:dyDescent="0.35">
      <c r="A1080" s="36" t="s">
        <v>1272</v>
      </c>
      <c r="B1080" s="35">
        <v>46061</v>
      </c>
      <c r="C1080" s="36" t="s">
        <v>210</v>
      </c>
      <c r="D1080" s="36" t="s">
        <v>211</v>
      </c>
      <c r="E1080" s="36" t="s">
        <v>46</v>
      </c>
      <c r="F1080" s="36" t="s">
        <v>47</v>
      </c>
      <c r="G1080" s="36" t="s">
        <v>31</v>
      </c>
      <c r="H1080" s="36" t="s">
        <v>42</v>
      </c>
      <c r="I1080" s="37">
        <v>8</v>
      </c>
      <c r="J1080" s="36"/>
    </row>
    <row r="1081" spans="1:10" x14ac:dyDescent="0.35">
      <c r="A1081" s="36" t="s">
        <v>1273</v>
      </c>
      <c r="B1081" s="35">
        <v>46066</v>
      </c>
      <c r="C1081" s="36" t="s">
        <v>210</v>
      </c>
      <c r="D1081" s="36" t="s">
        <v>211</v>
      </c>
      <c r="E1081" s="36" t="s">
        <v>141</v>
      </c>
      <c r="F1081" s="36" t="s">
        <v>142</v>
      </c>
      <c r="G1081" s="36" t="s">
        <v>8</v>
      </c>
      <c r="H1081" s="36" t="s">
        <v>143</v>
      </c>
      <c r="I1081" s="37">
        <v>5</v>
      </c>
      <c r="J1081" s="36"/>
    </row>
    <row r="1082" spans="1:10" x14ac:dyDescent="0.35">
      <c r="A1082" s="36" t="s">
        <v>1274</v>
      </c>
      <c r="B1082" s="35">
        <v>46066</v>
      </c>
      <c r="C1082" s="36" t="s">
        <v>210</v>
      </c>
      <c r="D1082" s="36" t="s">
        <v>211</v>
      </c>
      <c r="E1082" s="36" t="s">
        <v>54</v>
      </c>
      <c r="F1082" s="36" t="s">
        <v>55</v>
      </c>
      <c r="G1082" s="36" t="s">
        <v>53</v>
      </c>
      <c r="H1082" s="36" t="s">
        <v>56</v>
      </c>
      <c r="I1082" s="37">
        <v>17</v>
      </c>
      <c r="J1082" s="36"/>
    </row>
    <row r="1083" spans="1:10" x14ac:dyDescent="0.35">
      <c r="A1083" s="36" t="s">
        <v>1275</v>
      </c>
      <c r="B1083" s="35">
        <v>46066</v>
      </c>
      <c r="C1083" s="36" t="s">
        <v>210</v>
      </c>
      <c r="D1083" s="36" t="s">
        <v>211</v>
      </c>
      <c r="E1083" s="36" t="s">
        <v>114</v>
      </c>
      <c r="F1083" s="36" t="s">
        <v>13</v>
      </c>
      <c r="G1083" s="36" t="s">
        <v>14</v>
      </c>
      <c r="H1083" s="36" t="s">
        <v>115</v>
      </c>
      <c r="I1083" s="37">
        <v>4</v>
      </c>
      <c r="J1083" s="36"/>
    </row>
    <row r="1084" spans="1:10" x14ac:dyDescent="0.35">
      <c r="A1084" s="36" t="s">
        <v>1276</v>
      </c>
      <c r="B1084" s="35">
        <v>46066</v>
      </c>
      <c r="C1084" s="36" t="s">
        <v>210</v>
      </c>
      <c r="D1084" s="36" t="s">
        <v>211</v>
      </c>
      <c r="E1084" s="36" t="s">
        <v>57</v>
      </c>
      <c r="F1084" s="36" t="s">
        <v>58</v>
      </c>
      <c r="G1084" s="36" t="s">
        <v>53</v>
      </c>
      <c r="H1084" s="36" t="s">
        <v>42</v>
      </c>
      <c r="I1084" s="37">
        <v>13</v>
      </c>
      <c r="J1084" s="36"/>
    </row>
    <row r="1085" spans="1:10" x14ac:dyDescent="0.35">
      <c r="A1085" s="36" t="s">
        <v>1277</v>
      </c>
      <c r="B1085" s="35">
        <v>46066</v>
      </c>
      <c r="C1085" s="36" t="s">
        <v>210</v>
      </c>
      <c r="D1085" s="36" t="s">
        <v>211</v>
      </c>
      <c r="E1085" s="36" t="s">
        <v>138</v>
      </c>
      <c r="F1085" s="36" t="s">
        <v>139</v>
      </c>
      <c r="G1085" s="36" t="s">
        <v>6</v>
      </c>
      <c r="H1085" s="36" t="s">
        <v>140</v>
      </c>
      <c r="I1085" s="37">
        <v>9</v>
      </c>
      <c r="J1085" s="36"/>
    </row>
    <row r="1086" spans="1:10" x14ac:dyDescent="0.35">
      <c r="A1086" s="36" t="s">
        <v>1278</v>
      </c>
      <c r="B1086" s="35">
        <v>46066</v>
      </c>
      <c r="C1086" s="36" t="s">
        <v>238</v>
      </c>
      <c r="D1086" s="36" t="s">
        <v>239</v>
      </c>
      <c r="E1086" s="36" t="s">
        <v>122</v>
      </c>
      <c r="F1086" s="36" t="s">
        <v>123</v>
      </c>
      <c r="G1086" s="36" t="s">
        <v>14</v>
      </c>
      <c r="H1086" s="36" t="s">
        <v>124</v>
      </c>
      <c r="I1086" s="37">
        <v>1</v>
      </c>
      <c r="J1086" s="36"/>
    </row>
    <row r="1087" spans="1:10" x14ac:dyDescent="0.35">
      <c r="A1087" s="36" t="s">
        <v>1279</v>
      </c>
      <c r="B1087" s="35">
        <v>46066</v>
      </c>
      <c r="C1087" s="36" t="s">
        <v>238</v>
      </c>
      <c r="D1087" s="36" t="s">
        <v>239</v>
      </c>
      <c r="E1087" s="36" t="s">
        <v>83</v>
      </c>
      <c r="F1087" s="36" t="s">
        <v>84</v>
      </c>
      <c r="G1087" s="36" t="s">
        <v>74</v>
      </c>
      <c r="H1087" s="36" t="s">
        <v>85</v>
      </c>
      <c r="I1087" s="37">
        <v>5</v>
      </c>
      <c r="J1087" s="36"/>
    </row>
    <row r="1088" spans="1:10" x14ac:dyDescent="0.35">
      <c r="A1088" s="36" t="s">
        <v>1280</v>
      </c>
      <c r="B1088" s="35">
        <v>46066</v>
      </c>
      <c r="C1088" s="36" t="s">
        <v>238</v>
      </c>
      <c r="D1088" s="36" t="s">
        <v>239</v>
      </c>
      <c r="E1088" s="36" t="s">
        <v>130</v>
      </c>
      <c r="F1088" s="36" t="s">
        <v>16</v>
      </c>
      <c r="G1088" s="36" t="s">
        <v>10</v>
      </c>
      <c r="H1088" s="36" t="s">
        <v>131</v>
      </c>
      <c r="I1088" s="37">
        <v>2</v>
      </c>
      <c r="J1088" s="36"/>
    </row>
    <row r="1089" spans="1:10" x14ac:dyDescent="0.35">
      <c r="A1089" s="36" t="s">
        <v>1281</v>
      </c>
      <c r="B1089" s="35">
        <v>46066</v>
      </c>
      <c r="C1089" s="36" t="s">
        <v>238</v>
      </c>
      <c r="D1089" s="36" t="s">
        <v>239</v>
      </c>
      <c r="E1089" s="36" t="s">
        <v>153</v>
      </c>
      <c r="F1089" s="36" t="s">
        <v>154</v>
      </c>
      <c r="G1089" s="36" t="s">
        <v>12</v>
      </c>
      <c r="H1089" s="36" t="s">
        <v>155</v>
      </c>
      <c r="I1089" s="37">
        <v>3</v>
      </c>
      <c r="J1089" s="36"/>
    </row>
    <row r="1090" spans="1:10" x14ac:dyDescent="0.35">
      <c r="A1090" s="36" t="s">
        <v>1282</v>
      </c>
      <c r="B1090" s="35">
        <v>46066</v>
      </c>
      <c r="C1090" s="36" t="s">
        <v>238</v>
      </c>
      <c r="D1090" s="36" t="s">
        <v>239</v>
      </c>
      <c r="E1090" s="36" t="s">
        <v>146</v>
      </c>
      <c r="F1090" s="36" t="s">
        <v>147</v>
      </c>
      <c r="G1090" s="36" t="s">
        <v>8</v>
      </c>
      <c r="H1090" s="36" t="s">
        <v>148</v>
      </c>
      <c r="I1090" s="37">
        <v>3</v>
      </c>
      <c r="J1090" s="36"/>
    </row>
    <row r="1091" spans="1:10" x14ac:dyDescent="0.35">
      <c r="A1091" s="36" t="s">
        <v>1283</v>
      </c>
      <c r="B1091" s="35">
        <v>46069</v>
      </c>
      <c r="C1091" s="36" t="s">
        <v>210</v>
      </c>
      <c r="D1091" s="36" t="s">
        <v>211</v>
      </c>
      <c r="E1091" s="36" t="s">
        <v>37</v>
      </c>
      <c r="F1091" s="36" t="s">
        <v>38</v>
      </c>
      <c r="G1091" s="36" t="s">
        <v>31</v>
      </c>
      <c r="H1091" s="36" t="s">
        <v>39</v>
      </c>
      <c r="I1091" s="37">
        <v>13</v>
      </c>
      <c r="J1091" s="36"/>
    </row>
    <row r="1092" spans="1:10" x14ac:dyDescent="0.35">
      <c r="A1092" s="36" t="s">
        <v>1284</v>
      </c>
      <c r="B1092" s="35">
        <v>46069</v>
      </c>
      <c r="C1092" s="36" t="s">
        <v>210</v>
      </c>
      <c r="D1092" s="36" t="s">
        <v>211</v>
      </c>
      <c r="E1092" s="36" t="s">
        <v>88</v>
      </c>
      <c r="F1092" s="36" t="s">
        <v>89</v>
      </c>
      <c r="G1092" s="36" t="s">
        <v>74</v>
      </c>
      <c r="H1092" s="36" t="s">
        <v>90</v>
      </c>
      <c r="I1092" s="37">
        <v>7</v>
      </c>
      <c r="J1092" s="36"/>
    </row>
    <row r="1093" spans="1:10" x14ac:dyDescent="0.35">
      <c r="A1093" s="36" t="s">
        <v>1285</v>
      </c>
      <c r="B1093" s="35">
        <v>46069</v>
      </c>
      <c r="C1093" s="36" t="s">
        <v>210</v>
      </c>
      <c r="D1093" s="36" t="s">
        <v>211</v>
      </c>
      <c r="E1093" s="36" t="s">
        <v>91</v>
      </c>
      <c r="F1093" s="36" t="s">
        <v>92</v>
      </c>
      <c r="G1093" s="36" t="s">
        <v>93</v>
      </c>
      <c r="H1093" s="36" t="s">
        <v>85</v>
      </c>
      <c r="I1093" s="37">
        <v>8</v>
      </c>
      <c r="J1093" s="36"/>
    </row>
    <row r="1094" spans="1:10" x14ac:dyDescent="0.35">
      <c r="A1094" s="36" t="s">
        <v>1286</v>
      </c>
      <c r="B1094" s="35">
        <v>46069</v>
      </c>
      <c r="C1094" s="36" t="s">
        <v>210</v>
      </c>
      <c r="D1094" s="36" t="s">
        <v>211</v>
      </c>
      <c r="E1094" s="36" t="s">
        <v>128</v>
      </c>
      <c r="F1094" s="36" t="s">
        <v>9</v>
      </c>
      <c r="G1094" s="36" t="s">
        <v>10</v>
      </c>
      <c r="H1094" s="36" t="s">
        <v>129</v>
      </c>
      <c r="I1094" s="37">
        <v>4</v>
      </c>
      <c r="J1094" s="36"/>
    </row>
    <row r="1095" spans="1:10" x14ac:dyDescent="0.35">
      <c r="A1095" s="36" t="s">
        <v>1287</v>
      </c>
      <c r="B1095" s="35">
        <v>46069</v>
      </c>
      <c r="C1095" s="36" t="s">
        <v>210</v>
      </c>
      <c r="D1095" s="36" t="s">
        <v>211</v>
      </c>
      <c r="E1095" s="36" t="s">
        <v>138</v>
      </c>
      <c r="F1095" s="36" t="s">
        <v>139</v>
      </c>
      <c r="G1095" s="36" t="s">
        <v>6</v>
      </c>
      <c r="H1095" s="36" t="s">
        <v>140</v>
      </c>
      <c r="I1095" s="37">
        <v>4</v>
      </c>
      <c r="J1095" s="36"/>
    </row>
    <row r="1096" spans="1:10" x14ac:dyDescent="0.35">
      <c r="A1096" s="36" t="s">
        <v>1288</v>
      </c>
      <c r="B1096" s="35">
        <v>46069</v>
      </c>
      <c r="C1096" s="36" t="s">
        <v>210</v>
      </c>
      <c r="D1096" s="36" t="s">
        <v>211</v>
      </c>
      <c r="E1096" s="36" t="s">
        <v>67</v>
      </c>
      <c r="F1096" s="36" t="s">
        <v>68</v>
      </c>
      <c r="G1096" s="36" t="s">
        <v>66</v>
      </c>
      <c r="H1096" s="36" t="s">
        <v>42</v>
      </c>
      <c r="I1096" s="37">
        <v>11</v>
      </c>
      <c r="J1096" s="36"/>
    </row>
    <row r="1097" spans="1:10" x14ac:dyDescent="0.35">
      <c r="A1097" s="36" t="s">
        <v>1289</v>
      </c>
      <c r="B1097" s="35">
        <v>46069</v>
      </c>
      <c r="C1097" s="36" t="s">
        <v>210</v>
      </c>
      <c r="D1097" s="36" t="s">
        <v>211</v>
      </c>
      <c r="E1097" s="36" t="s">
        <v>29</v>
      </c>
      <c r="F1097" s="36" t="s">
        <v>30</v>
      </c>
      <c r="G1097" s="36" t="s">
        <v>31</v>
      </c>
      <c r="H1097" s="36" t="s">
        <v>32</v>
      </c>
      <c r="I1097" s="37">
        <v>9</v>
      </c>
      <c r="J1097" s="36"/>
    </row>
    <row r="1098" spans="1:10" x14ac:dyDescent="0.35">
      <c r="A1098" s="36" t="s">
        <v>1290</v>
      </c>
      <c r="B1098" s="35">
        <v>46069</v>
      </c>
      <c r="C1098" s="36" t="s">
        <v>210</v>
      </c>
      <c r="D1098" s="36" t="s">
        <v>211</v>
      </c>
      <c r="E1098" s="36" t="s">
        <v>151</v>
      </c>
      <c r="F1098" s="36" t="s">
        <v>152</v>
      </c>
      <c r="G1098" s="36" t="s">
        <v>8</v>
      </c>
      <c r="H1098" s="36" t="s">
        <v>143</v>
      </c>
      <c r="I1098" s="37">
        <v>7</v>
      </c>
      <c r="J1098" s="36"/>
    </row>
    <row r="1099" spans="1:10" x14ac:dyDescent="0.35">
      <c r="A1099" s="36" t="s">
        <v>1291</v>
      </c>
      <c r="B1099" s="35">
        <v>46069</v>
      </c>
      <c r="C1099" s="36" t="s">
        <v>210</v>
      </c>
      <c r="D1099" s="36" t="s">
        <v>211</v>
      </c>
      <c r="E1099" s="36" t="s">
        <v>64</v>
      </c>
      <c r="F1099" s="36" t="s">
        <v>65</v>
      </c>
      <c r="G1099" s="36" t="s">
        <v>66</v>
      </c>
      <c r="H1099" s="36" t="s">
        <v>42</v>
      </c>
      <c r="I1099" s="37">
        <v>10</v>
      </c>
      <c r="J1099" s="36"/>
    </row>
    <row r="1100" spans="1:10" x14ac:dyDescent="0.35">
      <c r="A1100" s="36" t="s">
        <v>1292</v>
      </c>
      <c r="B1100" s="35">
        <v>46069</v>
      </c>
      <c r="C1100" s="36" t="s">
        <v>210</v>
      </c>
      <c r="D1100" s="36" t="s">
        <v>211</v>
      </c>
      <c r="E1100" s="36" t="s">
        <v>81</v>
      </c>
      <c r="F1100" s="36" t="s">
        <v>82</v>
      </c>
      <c r="G1100" s="36" t="s">
        <v>74</v>
      </c>
      <c r="H1100" s="36" t="s">
        <v>80</v>
      </c>
      <c r="I1100" s="37">
        <v>5</v>
      </c>
      <c r="J1100" s="36"/>
    </row>
    <row r="1101" spans="1:10" x14ac:dyDescent="0.35">
      <c r="A1101" s="36" t="s">
        <v>1293</v>
      </c>
      <c r="B1101" s="35">
        <v>46069</v>
      </c>
      <c r="C1101" s="36" t="s">
        <v>210</v>
      </c>
      <c r="D1101" s="36" t="s">
        <v>211</v>
      </c>
      <c r="E1101" s="36" t="s">
        <v>76</v>
      </c>
      <c r="F1101" s="36" t="s">
        <v>77</v>
      </c>
      <c r="G1101" s="36" t="s">
        <v>74</v>
      </c>
      <c r="H1101" s="36" t="s">
        <v>75</v>
      </c>
      <c r="I1101" s="37">
        <v>6</v>
      </c>
      <c r="J1101" s="36"/>
    </row>
    <row r="1102" spans="1:10" x14ac:dyDescent="0.35">
      <c r="A1102" s="36" t="s">
        <v>1294</v>
      </c>
      <c r="B1102" s="35">
        <v>46071</v>
      </c>
      <c r="C1102" s="36" t="s">
        <v>298</v>
      </c>
      <c r="D1102" s="36" t="s">
        <v>299</v>
      </c>
      <c r="E1102" s="36" t="s">
        <v>88</v>
      </c>
      <c r="F1102" s="36" t="s">
        <v>89</v>
      </c>
      <c r="G1102" s="36" t="s">
        <v>74</v>
      </c>
      <c r="H1102" s="36" t="s">
        <v>90</v>
      </c>
      <c r="I1102" s="37">
        <v>3</v>
      </c>
      <c r="J1102" s="36"/>
    </row>
    <row r="1103" spans="1:10" x14ac:dyDescent="0.35">
      <c r="A1103" s="36" t="s">
        <v>1295</v>
      </c>
      <c r="B1103" s="35">
        <v>46071</v>
      </c>
      <c r="C1103" s="36" t="s">
        <v>298</v>
      </c>
      <c r="D1103" s="36" t="s">
        <v>299</v>
      </c>
      <c r="E1103" s="36" t="s">
        <v>97</v>
      </c>
      <c r="F1103" s="36" t="s">
        <v>98</v>
      </c>
      <c r="G1103" s="36" t="s">
        <v>93</v>
      </c>
      <c r="H1103" s="36" t="s">
        <v>99</v>
      </c>
      <c r="I1103" s="37">
        <v>3</v>
      </c>
      <c r="J1103" s="36"/>
    </row>
    <row r="1104" spans="1:10" x14ac:dyDescent="0.35">
      <c r="A1104" s="36" t="s">
        <v>1296</v>
      </c>
      <c r="B1104" s="35">
        <v>46071</v>
      </c>
      <c r="C1104" s="36" t="s">
        <v>298</v>
      </c>
      <c r="D1104" s="36" t="s">
        <v>299</v>
      </c>
      <c r="E1104" s="36" t="s">
        <v>138</v>
      </c>
      <c r="F1104" s="36" t="s">
        <v>139</v>
      </c>
      <c r="G1104" s="36" t="s">
        <v>6</v>
      </c>
      <c r="H1104" s="36" t="s">
        <v>140</v>
      </c>
      <c r="I1104" s="37">
        <v>4</v>
      </c>
      <c r="J1104" s="36"/>
    </row>
    <row r="1105" spans="1:10" x14ac:dyDescent="0.35">
      <c r="A1105" s="36" t="s">
        <v>1297</v>
      </c>
      <c r="B1105" s="35">
        <v>46071</v>
      </c>
      <c r="C1105" s="36" t="s">
        <v>298</v>
      </c>
      <c r="D1105" s="36" t="s">
        <v>299</v>
      </c>
      <c r="E1105" s="36" t="s">
        <v>59</v>
      </c>
      <c r="F1105" s="36" t="s">
        <v>60</v>
      </c>
      <c r="G1105" s="36" t="s">
        <v>53</v>
      </c>
      <c r="H1105" s="36" t="s">
        <v>56</v>
      </c>
      <c r="I1105" s="37">
        <v>10</v>
      </c>
      <c r="J1105" s="36"/>
    </row>
    <row r="1106" spans="1:10" x14ac:dyDescent="0.35">
      <c r="A1106" s="36" t="s">
        <v>1298</v>
      </c>
      <c r="B1106" s="35">
        <v>46077</v>
      </c>
      <c r="C1106" s="36" t="s">
        <v>298</v>
      </c>
      <c r="D1106" s="36" t="s">
        <v>299</v>
      </c>
      <c r="E1106" s="36" t="s">
        <v>78</v>
      </c>
      <c r="F1106" s="36" t="s">
        <v>79</v>
      </c>
      <c r="G1106" s="36" t="s">
        <v>74</v>
      </c>
      <c r="H1106" s="36" t="s">
        <v>80</v>
      </c>
      <c r="I1106" s="37">
        <v>3</v>
      </c>
      <c r="J1106" s="36"/>
    </row>
    <row r="1107" spans="1:10" x14ac:dyDescent="0.35">
      <c r="A1107" s="36" t="s">
        <v>1299</v>
      </c>
      <c r="B1107" s="35">
        <v>46077</v>
      </c>
      <c r="C1107" s="36" t="s">
        <v>298</v>
      </c>
      <c r="D1107" s="36" t="s">
        <v>299</v>
      </c>
      <c r="E1107" s="36" t="s">
        <v>104</v>
      </c>
      <c r="F1107" s="36" t="s">
        <v>105</v>
      </c>
      <c r="G1107" s="36" t="s">
        <v>102</v>
      </c>
      <c r="H1107" s="36" t="s">
        <v>103</v>
      </c>
      <c r="I1107" s="37">
        <v>6</v>
      </c>
      <c r="J1107" s="36"/>
    </row>
    <row r="1108" spans="1:10" x14ac:dyDescent="0.35">
      <c r="A1108" s="36" t="s">
        <v>1300</v>
      </c>
      <c r="B1108" s="35">
        <v>46077</v>
      </c>
      <c r="C1108" s="36" t="s">
        <v>298</v>
      </c>
      <c r="D1108" s="36" t="s">
        <v>299</v>
      </c>
      <c r="E1108" s="36" t="s">
        <v>46</v>
      </c>
      <c r="F1108" s="36" t="s">
        <v>47</v>
      </c>
      <c r="G1108" s="36" t="s">
        <v>31</v>
      </c>
      <c r="H1108" s="36" t="s">
        <v>42</v>
      </c>
      <c r="I1108" s="37">
        <v>4</v>
      </c>
      <c r="J1108" s="36"/>
    </row>
    <row r="1109" spans="1:10" x14ac:dyDescent="0.35">
      <c r="A1109" s="36" t="s">
        <v>1301</v>
      </c>
      <c r="B1109" s="35">
        <v>46077</v>
      </c>
      <c r="C1109" s="36" t="s">
        <v>298</v>
      </c>
      <c r="D1109" s="36" t="s">
        <v>299</v>
      </c>
      <c r="E1109" s="36" t="s">
        <v>72</v>
      </c>
      <c r="F1109" s="36" t="s">
        <v>73</v>
      </c>
      <c r="G1109" s="36" t="s">
        <v>74</v>
      </c>
      <c r="H1109" s="36" t="s">
        <v>75</v>
      </c>
      <c r="I1109" s="37">
        <v>3</v>
      </c>
      <c r="J1109" s="36"/>
    </row>
    <row r="1110" spans="1:10" x14ac:dyDescent="0.35">
      <c r="A1110" s="36" t="s">
        <v>1302</v>
      </c>
      <c r="B1110" s="35">
        <v>46077</v>
      </c>
      <c r="C1110" s="36" t="s">
        <v>210</v>
      </c>
      <c r="D1110" s="36" t="s">
        <v>211</v>
      </c>
      <c r="E1110" s="36" t="s">
        <v>51</v>
      </c>
      <c r="F1110" s="36" t="s">
        <v>52</v>
      </c>
      <c r="G1110" s="36" t="s">
        <v>53</v>
      </c>
      <c r="H1110" s="36" t="s">
        <v>42</v>
      </c>
      <c r="I1110" s="37">
        <v>8</v>
      </c>
      <c r="J1110" s="36"/>
    </row>
    <row r="1111" spans="1:10" x14ac:dyDescent="0.35">
      <c r="A1111" s="36" t="s">
        <v>1303</v>
      </c>
      <c r="B1111" s="35">
        <v>46077</v>
      </c>
      <c r="C1111" s="36" t="s">
        <v>210</v>
      </c>
      <c r="D1111" s="36" t="s">
        <v>211</v>
      </c>
      <c r="E1111" s="36" t="s">
        <v>94</v>
      </c>
      <c r="F1111" s="36" t="s">
        <v>95</v>
      </c>
      <c r="G1111" s="36" t="s">
        <v>93</v>
      </c>
      <c r="H1111" s="36" t="s">
        <v>96</v>
      </c>
      <c r="I1111" s="37">
        <v>7</v>
      </c>
      <c r="J1111" s="36"/>
    </row>
    <row r="1112" spans="1:10" x14ac:dyDescent="0.35">
      <c r="A1112" s="36" t="s">
        <v>1304</v>
      </c>
      <c r="B1112" s="35">
        <v>46077</v>
      </c>
      <c r="C1112" s="36" t="s">
        <v>210</v>
      </c>
      <c r="D1112" s="36" t="s">
        <v>211</v>
      </c>
      <c r="E1112" s="36" t="s">
        <v>37</v>
      </c>
      <c r="F1112" s="36" t="s">
        <v>38</v>
      </c>
      <c r="G1112" s="36" t="s">
        <v>31</v>
      </c>
      <c r="H1112" s="36" t="s">
        <v>39</v>
      </c>
      <c r="I1112" s="37">
        <v>11</v>
      </c>
      <c r="J1112" s="36"/>
    </row>
    <row r="1113" spans="1:10" x14ac:dyDescent="0.35">
      <c r="A1113" s="36" t="s">
        <v>1305</v>
      </c>
      <c r="B1113" s="35">
        <v>46077</v>
      </c>
      <c r="C1113" s="36" t="s">
        <v>210</v>
      </c>
      <c r="D1113" s="36" t="s">
        <v>211</v>
      </c>
      <c r="E1113" s="36" t="s">
        <v>64</v>
      </c>
      <c r="F1113" s="36" t="s">
        <v>65</v>
      </c>
      <c r="G1113" s="36" t="s">
        <v>66</v>
      </c>
      <c r="H1113" s="36" t="s">
        <v>42</v>
      </c>
      <c r="I1113" s="37">
        <v>7</v>
      </c>
      <c r="J1113" s="36"/>
    </row>
    <row r="1114" spans="1:10" x14ac:dyDescent="0.35">
      <c r="A1114" s="36" t="s">
        <v>1306</v>
      </c>
      <c r="B1114" s="35">
        <v>46077</v>
      </c>
      <c r="C1114" s="36" t="s">
        <v>210</v>
      </c>
      <c r="D1114" s="36" t="s">
        <v>211</v>
      </c>
      <c r="E1114" s="36" t="s">
        <v>46</v>
      </c>
      <c r="F1114" s="36" t="s">
        <v>47</v>
      </c>
      <c r="G1114" s="36" t="s">
        <v>31</v>
      </c>
      <c r="H1114" s="36" t="s">
        <v>42</v>
      </c>
      <c r="I1114" s="37">
        <v>15</v>
      </c>
      <c r="J1114" s="36"/>
    </row>
    <row r="1115" spans="1:10" x14ac:dyDescent="0.35">
      <c r="A1115" s="36" t="s">
        <v>1307</v>
      </c>
      <c r="B1115" s="35">
        <v>46077</v>
      </c>
      <c r="C1115" s="36" t="s">
        <v>210</v>
      </c>
      <c r="D1115" s="36" t="s">
        <v>211</v>
      </c>
      <c r="E1115" s="36" t="s">
        <v>109</v>
      </c>
      <c r="F1115" s="36" t="s">
        <v>110</v>
      </c>
      <c r="G1115" s="36" t="s">
        <v>102</v>
      </c>
      <c r="H1115" s="36" t="s">
        <v>42</v>
      </c>
      <c r="I1115" s="37">
        <v>10</v>
      </c>
      <c r="J1115" s="36"/>
    </row>
    <row r="1116" spans="1:10" x14ac:dyDescent="0.35">
      <c r="A1116" s="36" t="s">
        <v>1308</v>
      </c>
      <c r="B1116" s="35">
        <v>46077</v>
      </c>
      <c r="C1116" s="36" t="s">
        <v>210</v>
      </c>
      <c r="D1116" s="36" t="s">
        <v>211</v>
      </c>
      <c r="E1116" s="36" t="s">
        <v>120</v>
      </c>
      <c r="F1116" s="36" t="s">
        <v>121</v>
      </c>
      <c r="G1116" s="36" t="s">
        <v>14</v>
      </c>
      <c r="H1116" s="36" t="s">
        <v>119</v>
      </c>
      <c r="I1116" s="37">
        <v>3</v>
      </c>
      <c r="J1116" s="36"/>
    </row>
    <row r="1117" spans="1:10" x14ac:dyDescent="0.35">
      <c r="A1117" s="36" t="s">
        <v>1309</v>
      </c>
      <c r="B1117" s="35">
        <v>46077</v>
      </c>
      <c r="C1117" s="36" t="s">
        <v>238</v>
      </c>
      <c r="D1117" s="36" t="s">
        <v>239</v>
      </c>
      <c r="E1117" s="36" t="s">
        <v>67</v>
      </c>
      <c r="F1117" s="36" t="s">
        <v>68</v>
      </c>
      <c r="G1117" s="36" t="s">
        <v>66</v>
      </c>
      <c r="H1117" s="36" t="s">
        <v>42</v>
      </c>
      <c r="I1117" s="37">
        <v>2</v>
      </c>
      <c r="J1117" s="36"/>
    </row>
    <row r="1118" spans="1:10" x14ac:dyDescent="0.35">
      <c r="A1118" s="36" t="s">
        <v>1310</v>
      </c>
      <c r="B1118" s="35">
        <v>46077</v>
      </c>
      <c r="C1118" s="36" t="s">
        <v>238</v>
      </c>
      <c r="D1118" s="36" t="s">
        <v>239</v>
      </c>
      <c r="E1118" s="36" t="s">
        <v>153</v>
      </c>
      <c r="F1118" s="36" t="s">
        <v>154</v>
      </c>
      <c r="G1118" s="36" t="s">
        <v>12</v>
      </c>
      <c r="H1118" s="36" t="s">
        <v>155</v>
      </c>
      <c r="I1118" s="37">
        <v>4</v>
      </c>
      <c r="J1118" s="36"/>
    </row>
    <row r="1119" spans="1:10" x14ac:dyDescent="0.35">
      <c r="A1119" s="36" t="s">
        <v>1311</v>
      </c>
      <c r="B1119" s="35">
        <v>46077</v>
      </c>
      <c r="C1119" s="36" t="s">
        <v>238</v>
      </c>
      <c r="D1119" s="36" t="s">
        <v>239</v>
      </c>
      <c r="E1119" s="36" t="s">
        <v>37</v>
      </c>
      <c r="F1119" s="36" t="s">
        <v>38</v>
      </c>
      <c r="G1119" s="36" t="s">
        <v>31</v>
      </c>
      <c r="H1119" s="36" t="s">
        <v>39</v>
      </c>
      <c r="I1119" s="37">
        <v>9</v>
      </c>
      <c r="J1119" s="36"/>
    </row>
    <row r="1120" spans="1:10" x14ac:dyDescent="0.35">
      <c r="A1120" s="36" t="s">
        <v>1312</v>
      </c>
      <c r="B1120" s="35">
        <v>46077</v>
      </c>
      <c r="C1120" s="36" t="s">
        <v>238</v>
      </c>
      <c r="D1120" s="36" t="s">
        <v>239</v>
      </c>
      <c r="E1120" s="36" t="s">
        <v>111</v>
      </c>
      <c r="F1120" s="36" t="s">
        <v>112</v>
      </c>
      <c r="G1120" s="36" t="s">
        <v>102</v>
      </c>
      <c r="H1120" s="36" t="s">
        <v>113</v>
      </c>
      <c r="I1120" s="37">
        <v>8</v>
      </c>
      <c r="J1120" s="36"/>
    </row>
    <row r="1121" spans="1:10" x14ac:dyDescent="0.35">
      <c r="A1121" s="36" t="s">
        <v>1313</v>
      </c>
      <c r="B1121" s="35">
        <v>46077</v>
      </c>
      <c r="C1121" s="36" t="s">
        <v>238</v>
      </c>
      <c r="D1121" s="36" t="s">
        <v>239</v>
      </c>
      <c r="E1121" s="36" t="s">
        <v>97</v>
      </c>
      <c r="F1121" s="36" t="s">
        <v>98</v>
      </c>
      <c r="G1121" s="36" t="s">
        <v>93</v>
      </c>
      <c r="H1121" s="36" t="s">
        <v>99</v>
      </c>
      <c r="I1121" s="37">
        <v>3</v>
      </c>
      <c r="J1121" s="36"/>
    </row>
    <row r="1122" spans="1:10" x14ac:dyDescent="0.35">
      <c r="A1122" s="36" t="s">
        <v>1314</v>
      </c>
      <c r="B1122" s="35">
        <v>46077</v>
      </c>
      <c r="C1122" s="36" t="s">
        <v>238</v>
      </c>
      <c r="D1122" s="36" t="s">
        <v>239</v>
      </c>
      <c r="E1122" s="36" t="s">
        <v>122</v>
      </c>
      <c r="F1122" s="36" t="s">
        <v>123</v>
      </c>
      <c r="G1122" s="36" t="s">
        <v>14</v>
      </c>
      <c r="H1122" s="36" t="s">
        <v>124</v>
      </c>
      <c r="I1122" s="37">
        <v>1</v>
      </c>
      <c r="J1122" s="36"/>
    </row>
    <row r="1123" spans="1:10" x14ac:dyDescent="0.35">
      <c r="A1123" s="36" t="s">
        <v>1315</v>
      </c>
      <c r="B1123" s="35">
        <v>46077</v>
      </c>
      <c r="C1123" s="36" t="s">
        <v>238</v>
      </c>
      <c r="D1123" s="36" t="s">
        <v>239</v>
      </c>
      <c r="E1123" s="36" t="s">
        <v>51</v>
      </c>
      <c r="F1123" s="36" t="s">
        <v>52</v>
      </c>
      <c r="G1123" s="36" t="s">
        <v>53</v>
      </c>
      <c r="H1123" s="36" t="s">
        <v>42</v>
      </c>
      <c r="I1123" s="37">
        <v>4</v>
      </c>
      <c r="J1123" s="36"/>
    </row>
    <row r="1124" spans="1:10" x14ac:dyDescent="0.35">
      <c r="A1124" s="36" t="s">
        <v>1316</v>
      </c>
      <c r="B1124" s="35">
        <v>46077</v>
      </c>
      <c r="C1124" s="36" t="s">
        <v>190</v>
      </c>
      <c r="D1124" s="36" t="s">
        <v>191</v>
      </c>
      <c r="E1124" s="36" t="s">
        <v>34</v>
      </c>
      <c r="F1124" s="36" t="s">
        <v>35</v>
      </c>
      <c r="G1124" s="36" t="s">
        <v>31</v>
      </c>
      <c r="H1124" s="36" t="s">
        <v>36</v>
      </c>
      <c r="I1124" s="37">
        <v>16</v>
      </c>
      <c r="J1124" s="36"/>
    </row>
    <row r="1125" spans="1:10" x14ac:dyDescent="0.35">
      <c r="A1125" s="36" t="s">
        <v>1317</v>
      </c>
      <c r="B1125" s="35">
        <v>46077</v>
      </c>
      <c r="C1125" s="36" t="s">
        <v>190</v>
      </c>
      <c r="D1125" s="36" t="s">
        <v>191</v>
      </c>
      <c r="E1125" s="36" t="s">
        <v>130</v>
      </c>
      <c r="F1125" s="36" t="s">
        <v>16</v>
      </c>
      <c r="G1125" s="36" t="s">
        <v>10</v>
      </c>
      <c r="H1125" s="36" t="s">
        <v>131</v>
      </c>
      <c r="I1125" s="37">
        <v>7</v>
      </c>
      <c r="J1125" s="36"/>
    </row>
    <row r="1126" spans="1:10" x14ac:dyDescent="0.35">
      <c r="A1126" s="36" t="s">
        <v>1318</v>
      </c>
      <c r="B1126" s="35">
        <v>46077</v>
      </c>
      <c r="C1126" s="36" t="s">
        <v>190</v>
      </c>
      <c r="D1126" s="36" t="s">
        <v>191</v>
      </c>
      <c r="E1126" s="36" t="s">
        <v>83</v>
      </c>
      <c r="F1126" s="36" t="s">
        <v>84</v>
      </c>
      <c r="G1126" s="36" t="s">
        <v>74</v>
      </c>
      <c r="H1126" s="36" t="s">
        <v>85</v>
      </c>
      <c r="I1126" s="37">
        <v>13</v>
      </c>
      <c r="J1126" s="36"/>
    </row>
    <row r="1127" spans="1:10" x14ac:dyDescent="0.35">
      <c r="A1127" s="36" t="s">
        <v>1319</v>
      </c>
      <c r="B1127" s="35">
        <v>46077</v>
      </c>
      <c r="C1127" s="36" t="s">
        <v>190</v>
      </c>
      <c r="D1127" s="36" t="s">
        <v>191</v>
      </c>
      <c r="E1127" s="36" t="s">
        <v>138</v>
      </c>
      <c r="F1127" s="36" t="s">
        <v>139</v>
      </c>
      <c r="G1127" s="36" t="s">
        <v>6</v>
      </c>
      <c r="H1127" s="36" t="s">
        <v>140</v>
      </c>
      <c r="I1127" s="37">
        <v>9</v>
      </c>
      <c r="J1127" s="36"/>
    </row>
    <row r="1128" spans="1:10" x14ac:dyDescent="0.35">
      <c r="A1128" s="36" t="s">
        <v>1320</v>
      </c>
      <c r="B1128" s="35">
        <v>46077</v>
      </c>
      <c r="C1128" s="36" t="s">
        <v>190</v>
      </c>
      <c r="D1128" s="36" t="s">
        <v>191</v>
      </c>
      <c r="E1128" s="36" t="s">
        <v>67</v>
      </c>
      <c r="F1128" s="36" t="s">
        <v>68</v>
      </c>
      <c r="G1128" s="36" t="s">
        <v>66</v>
      </c>
      <c r="H1128" s="36" t="s">
        <v>42</v>
      </c>
      <c r="I1128" s="37">
        <v>9</v>
      </c>
      <c r="J1128" s="36"/>
    </row>
    <row r="1129" spans="1:10" x14ac:dyDescent="0.35">
      <c r="A1129" s="36" t="s">
        <v>1321</v>
      </c>
      <c r="B1129" s="35">
        <v>46077</v>
      </c>
      <c r="C1129" s="36" t="s">
        <v>190</v>
      </c>
      <c r="D1129" s="36" t="s">
        <v>191</v>
      </c>
      <c r="E1129" s="36" t="s">
        <v>86</v>
      </c>
      <c r="F1129" s="36" t="s">
        <v>87</v>
      </c>
      <c r="G1129" s="36" t="s">
        <v>74</v>
      </c>
      <c r="H1129" s="36" t="s">
        <v>75</v>
      </c>
      <c r="I1129" s="37">
        <v>11</v>
      </c>
      <c r="J1129" s="36"/>
    </row>
    <row r="1130" spans="1:10" x14ac:dyDescent="0.35">
      <c r="A1130" s="36" t="s">
        <v>1322</v>
      </c>
      <c r="B1130" s="35">
        <v>46077</v>
      </c>
      <c r="C1130" s="36" t="s">
        <v>190</v>
      </c>
      <c r="D1130" s="36" t="s">
        <v>191</v>
      </c>
      <c r="E1130" s="36" t="s">
        <v>64</v>
      </c>
      <c r="F1130" s="36" t="s">
        <v>65</v>
      </c>
      <c r="G1130" s="36" t="s">
        <v>66</v>
      </c>
      <c r="H1130" s="36" t="s">
        <v>42</v>
      </c>
      <c r="I1130" s="37">
        <v>7</v>
      </c>
      <c r="J1130" s="36"/>
    </row>
    <row r="1131" spans="1:10" x14ac:dyDescent="0.35">
      <c r="A1131" s="36" t="s">
        <v>1323</v>
      </c>
      <c r="B1131" s="35">
        <v>46077</v>
      </c>
      <c r="C1131" s="36" t="s">
        <v>190</v>
      </c>
      <c r="D1131" s="36" t="s">
        <v>191</v>
      </c>
      <c r="E1131" s="36" t="s">
        <v>146</v>
      </c>
      <c r="F1131" s="36" t="s">
        <v>147</v>
      </c>
      <c r="G1131" s="36" t="s">
        <v>8</v>
      </c>
      <c r="H1131" s="36" t="s">
        <v>148</v>
      </c>
      <c r="I1131" s="37">
        <v>10</v>
      </c>
      <c r="J1131" s="36"/>
    </row>
    <row r="1132" spans="1:10" x14ac:dyDescent="0.35">
      <c r="A1132" s="36" t="s">
        <v>1324</v>
      </c>
      <c r="B1132" s="35">
        <v>46077</v>
      </c>
      <c r="C1132" s="36" t="s">
        <v>190</v>
      </c>
      <c r="D1132" s="36" t="s">
        <v>191</v>
      </c>
      <c r="E1132" s="36" t="s">
        <v>81</v>
      </c>
      <c r="F1132" s="36" t="s">
        <v>82</v>
      </c>
      <c r="G1132" s="36" t="s">
        <v>74</v>
      </c>
      <c r="H1132" s="36" t="s">
        <v>80</v>
      </c>
      <c r="I1132" s="37">
        <v>14</v>
      </c>
      <c r="J1132" s="36"/>
    </row>
    <row r="1133" spans="1:10" x14ac:dyDescent="0.35">
      <c r="A1133" s="36" t="s">
        <v>1325</v>
      </c>
      <c r="B1133" s="35">
        <v>46080</v>
      </c>
      <c r="C1133" s="36" t="s">
        <v>238</v>
      </c>
      <c r="D1133" s="36" t="s">
        <v>239</v>
      </c>
      <c r="E1133" s="36" t="s">
        <v>157</v>
      </c>
      <c r="F1133" s="36" t="s">
        <v>158</v>
      </c>
      <c r="G1133" s="36" t="s">
        <v>159</v>
      </c>
      <c r="H1133" s="36" t="s">
        <v>160</v>
      </c>
      <c r="I1133" s="37">
        <v>4</v>
      </c>
      <c r="J1133" s="36"/>
    </row>
    <row r="1134" spans="1:10" x14ac:dyDescent="0.35">
      <c r="A1134" s="36" t="s">
        <v>1326</v>
      </c>
      <c r="B1134" s="35">
        <v>46080</v>
      </c>
      <c r="C1134" s="36" t="s">
        <v>238</v>
      </c>
      <c r="D1134" s="36" t="s">
        <v>239</v>
      </c>
      <c r="E1134" s="36" t="s">
        <v>161</v>
      </c>
      <c r="F1134" s="36" t="s">
        <v>162</v>
      </c>
      <c r="G1134" s="36" t="s">
        <v>159</v>
      </c>
      <c r="H1134" s="36" t="s">
        <v>163</v>
      </c>
      <c r="I1134" s="37">
        <v>4</v>
      </c>
      <c r="J1134" s="36"/>
    </row>
    <row r="1135" spans="1:10" x14ac:dyDescent="0.35">
      <c r="A1135" s="36" t="s">
        <v>1327</v>
      </c>
      <c r="B1135" s="35">
        <v>46080</v>
      </c>
      <c r="C1135" s="36" t="s">
        <v>238</v>
      </c>
      <c r="D1135" s="36" t="s">
        <v>239</v>
      </c>
      <c r="E1135" s="36" t="s">
        <v>111</v>
      </c>
      <c r="F1135" s="36" t="s">
        <v>112</v>
      </c>
      <c r="G1135" s="36" t="s">
        <v>102</v>
      </c>
      <c r="H1135" s="36" t="s">
        <v>113</v>
      </c>
      <c r="I1135" s="37">
        <v>7</v>
      </c>
      <c r="J1135" s="36"/>
    </row>
    <row r="1136" spans="1:10" x14ac:dyDescent="0.35">
      <c r="A1136" s="36" t="s">
        <v>1328</v>
      </c>
      <c r="B1136" s="35">
        <v>46080</v>
      </c>
      <c r="C1136" s="36" t="s">
        <v>238</v>
      </c>
      <c r="D1136" s="36" t="s">
        <v>239</v>
      </c>
      <c r="E1136" s="36" t="s">
        <v>130</v>
      </c>
      <c r="F1136" s="36" t="s">
        <v>16</v>
      </c>
      <c r="G1136" s="36" t="s">
        <v>10</v>
      </c>
      <c r="H1136" s="36" t="s">
        <v>131</v>
      </c>
      <c r="I1136" s="37">
        <v>2</v>
      </c>
      <c r="J1136" s="36"/>
    </row>
    <row r="1137" spans="1:10" x14ac:dyDescent="0.35">
      <c r="A1137" s="36" t="s">
        <v>1329</v>
      </c>
      <c r="B1137" s="35">
        <v>46080</v>
      </c>
      <c r="C1137" s="36" t="s">
        <v>238</v>
      </c>
      <c r="D1137" s="36" t="s">
        <v>239</v>
      </c>
      <c r="E1137" s="36" t="s">
        <v>54</v>
      </c>
      <c r="F1137" s="36" t="s">
        <v>55</v>
      </c>
      <c r="G1137" s="36" t="s">
        <v>53</v>
      </c>
      <c r="H1137" s="36" t="s">
        <v>56</v>
      </c>
      <c r="I1137" s="37">
        <v>8</v>
      </c>
      <c r="J1137" s="36"/>
    </row>
    <row r="1138" spans="1:10" x14ac:dyDescent="0.35">
      <c r="A1138" s="36" t="s">
        <v>1330</v>
      </c>
      <c r="B1138" s="35">
        <v>46080</v>
      </c>
      <c r="C1138" s="36" t="s">
        <v>238</v>
      </c>
      <c r="D1138" s="36" t="s">
        <v>239</v>
      </c>
      <c r="E1138" s="36" t="s">
        <v>46</v>
      </c>
      <c r="F1138" s="36" t="s">
        <v>47</v>
      </c>
      <c r="G1138" s="36" t="s">
        <v>31</v>
      </c>
      <c r="H1138" s="36" t="s">
        <v>42</v>
      </c>
      <c r="I1138" s="37">
        <v>9</v>
      </c>
      <c r="J1138" s="36"/>
    </row>
    <row r="1139" spans="1:10" x14ac:dyDescent="0.35">
      <c r="A1139" s="36" t="s">
        <v>1331</v>
      </c>
      <c r="B1139" s="35">
        <v>46080</v>
      </c>
      <c r="C1139" s="36" t="s">
        <v>298</v>
      </c>
      <c r="D1139" s="36" t="s">
        <v>299</v>
      </c>
      <c r="E1139" s="36" t="s">
        <v>69</v>
      </c>
      <c r="F1139" s="36" t="s">
        <v>70</v>
      </c>
      <c r="G1139" s="36" t="s">
        <v>66</v>
      </c>
      <c r="H1139" s="36" t="s">
        <v>71</v>
      </c>
      <c r="I1139" s="37">
        <v>4</v>
      </c>
      <c r="J1139" s="36"/>
    </row>
    <row r="1140" spans="1:10" x14ac:dyDescent="0.35">
      <c r="A1140" s="36" t="s">
        <v>1332</v>
      </c>
      <c r="B1140" s="35">
        <v>46080</v>
      </c>
      <c r="C1140" s="36" t="s">
        <v>298</v>
      </c>
      <c r="D1140" s="36" t="s">
        <v>299</v>
      </c>
      <c r="E1140" s="36" t="s">
        <v>157</v>
      </c>
      <c r="F1140" s="36" t="s">
        <v>158</v>
      </c>
      <c r="G1140" s="36" t="s">
        <v>159</v>
      </c>
      <c r="H1140" s="36" t="s">
        <v>160</v>
      </c>
      <c r="I1140" s="37">
        <v>1</v>
      </c>
      <c r="J1140" s="36"/>
    </row>
    <row r="1141" spans="1:10" x14ac:dyDescent="0.35">
      <c r="A1141" s="36" t="s">
        <v>1333</v>
      </c>
      <c r="B1141" s="35">
        <v>46080</v>
      </c>
      <c r="C1141" s="36" t="s">
        <v>298</v>
      </c>
      <c r="D1141" s="36" t="s">
        <v>299</v>
      </c>
      <c r="E1141" s="36" t="s">
        <v>57</v>
      </c>
      <c r="F1141" s="36" t="s">
        <v>58</v>
      </c>
      <c r="G1141" s="36" t="s">
        <v>53</v>
      </c>
      <c r="H1141" s="36" t="s">
        <v>42</v>
      </c>
      <c r="I1141" s="37">
        <v>5</v>
      </c>
      <c r="J1141" s="36"/>
    </row>
    <row r="1142" spans="1:10" x14ac:dyDescent="0.35">
      <c r="A1142" s="36" t="s">
        <v>1334</v>
      </c>
      <c r="B1142" s="35">
        <v>46080</v>
      </c>
      <c r="C1142" s="36" t="s">
        <v>298</v>
      </c>
      <c r="D1142" s="36" t="s">
        <v>299</v>
      </c>
      <c r="E1142" s="36" t="s">
        <v>137</v>
      </c>
      <c r="F1142" s="36" t="s">
        <v>15</v>
      </c>
      <c r="G1142" s="36" t="s">
        <v>6</v>
      </c>
      <c r="H1142" s="36" t="s">
        <v>136</v>
      </c>
      <c r="I1142" s="37">
        <v>3</v>
      </c>
      <c r="J1142" s="36"/>
    </row>
    <row r="1143" spans="1:10" x14ac:dyDescent="0.35">
      <c r="A1143" s="36" t="s">
        <v>1335</v>
      </c>
      <c r="B1143" s="35">
        <v>46080</v>
      </c>
      <c r="C1143" s="36" t="s">
        <v>298</v>
      </c>
      <c r="D1143" s="36" t="s">
        <v>299</v>
      </c>
      <c r="E1143" s="36" t="s">
        <v>76</v>
      </c>
      <c r="F1143" s="36" t="s">
        <v>77</v>
      </c>
      <c r="G1143" s="36" t="s">
        <v>74</v>
      </c>
      <c r="H1143" s="36" t="s">
        <v>75</v>
      </c>
      <c r="I1143" s="37">
        <v>4</v>
      </c>
      <c r="J1143" s="36"/>
    </row>
    <row r="1144" spans="1:10" x14ac:dyDescent="0.35">
      <c r="A1144" s="36" t="s">
        <v>1336</v>
      </c>
      <c r="B1144" s="35">
        <v>46080</v>
      </c>
      <c r="C1144" s="36" t="s">
        <v>298</v>
      </c>
      <c r="D1144" s="36" t="s">
        <v>299</v>
      </c>
      <c r="E1144" s="36" t="s">
        <v>94</v>
      </c>
      <c r="F1144" s="36" t="s">
        <v>95</v>
      </c>
      <c r="G1144" s="36" t="s">
        <v>93</v>
      </c>
      <c r="H1144" s="36" t="s">
        <v>96</v>
      </c>
      <c r="I1144" s="37">
        <v>2</v>
      </c>
      <c r="J1144" s="36"/>
    </row>
    <row r="1145" spans="1:10" x14ac:dyDescent="0.35">
      <c r="A1145" s="36" t="s">
        <v>1337</v>
      </c>
      <c r="B1145" s="35">
        <v>46080</v>
      </c>
      <c r="C1145" s="36" t="s">
        <v>298</v>
      </c>
      <c r="D1145" s="36" t="s">
        <v>299</v>
      </c>
      <c r="E1145" s="36" t="s">
        <v>100</v>
      </c>
      <c r="F1145" s="36" t="s">
        <v>101</v>
      </c>
      <c r="G1145" s="36" t="s">
        <v>102</v>
      </c>
      <c r="H1145" s="36" t="s">
        <v>103</v>
      </c>
      <c r="I1145" s="37">
        <v>4</v>
      </c>
      <c r="J1145" s="36"/>
    </row>
    <row r="1146" spans="1:10" x14ac:dyDescent="0.35">
      <c r="A1146" s="36" t="s">
        <v>1338</v>
      </c>
      <c r="B1146" s="35">
        <v>46080</v>
      </c>
      <c r="C1146" s="36" t="s">
        <v>298</v>
      </c>
      <c r="D1146" s="36" t="s">
        <v>299</v>
      </c>
      <c r="E1146" s="36" t="s">
        <v>61</v>
      </c>
      <c r="F1146" s="36" t="s">
        <v>62</v>
      </c>
      <c r="G1146" s="36" t="s">
        <v>53</v>
      </c>
      <c r="H1146" s="36" t="s">
        <v>42</v>
      </c>
      <c r="I1146" s="37">
        <v>9</v>
      </c>
      <c r="J1146" s="36"/>
    </row>
    <row r="1147" spans="1:10" x14ac:dyDescent="0.35">
      <c r="A1147" s="36" t="s">
        <v>1339</v>
      </c>
      <c r="B1147" s="35">
        <v>46080</v>
      </c>
      <c r="C1147" s="36" t="s">
        <v>298</v>
      </c>
      <c r="D1147" s="36" t="s">
        <v>299</v>
      </c>
      <c r="E1147" s="36" t="s">
        <v>88</v>
      </c>
      <c r="F1147" s="36" t="s">
        <v>89</v>
      </c>
      <c r="G1147" s="36" t="s">
        <v>74</v>
      </c>
      <c r="H1147" s="36" t="s">
        <v>90</v>
      </c>
      <c r="I1147" s="37">
        <v>3</v>
      </c>
      <c r="J1147" s="36"/>
    </row>
    <row r="1148" spans="1:10" x14ac:dyDescent="0.35">
      <c r="A1148" s="36" t="s">
        <v>1340</v>
      </c>
      <c r="B1148" s="35">
        <v>46080</v>
      </c>
      <c r="C1148" s="36" t="s">
        <v>298</v>
      </c>
      <c r="D1148" s="36" t="s">
        <v>299</v>
      </c>
      <c r="E1148" s="36" t="s">
        <v>86</v>
      </c>
      <c r="F1148" s="36" t="s">
        <v>87</v>
      </c>
      <c r="G1148" s="36" t="s">
        <v>74</v>
      </c>
      <c r="H1148" s="36" t="s">
        <v>75</v>
      </c>
      <c r="I1148" s="37">
        <v>3</v>
      </c>
      <c r="J1148" s="36"/>
    </row>
    <row r="1149" spans="1:10" x14ac:dyDescent="0.35">
      <c r="A1149" s="36" t="s">
        <v>1341</v>
      </c>
      <c r="B1149" s="35">
        <v>46080</v>
      </c>
      <c r="C1149" s="36" t="s">
        <v>298</v>
      </c>
      <c r="D1149" s="36" t="s">
        <v>299</v>
      </c>
      <c r="E1149" s="36" t="s">
        <v>111</v>
      </c>
      <c r="F1149" s="36" t="s">
        <v>112</v>
      </c>
      <c r="G1149" s="36" t="s">
        <v>102</v>
      </c>
      <c r="H1149" s="36" t="s">
        <v>113</v>
      </c>
      <c r="I1149" s="37">
        <v>6</v>
      </c>
      <c r="J1149" s="36"/>
    </row>
    <row r="1150" spans="1:10" x14ac:dyDescent="0.35">
      <c r="A1150" s="36" t="s">
        <v>1342</v>
      </c>
      <c r="B1150" s="35">
        <v>46082</v>
      </c>
      <c r="C1150" s="36" t="s">
        <v>298</v>
      </c>
      <c r="D1150" s="36" t="s">
        <v>299</v>
      </c>
      <c r="E1150" s="36" t="s">
        <v>151</v>
      </c>
      <c r="F1150" s="36" t="s">
        <v>152</v>
      </c>
      <c r="G1150" s="36" t="s">
        <v>8</v>
      </c>
      <c r="H1150" s="36" t="s">
        <v>143</v>
      </c>
      <c r="I1150" s="37">
        <v>2</v>
      </c>
      <c r="J1150" s="36"/>
    </row>
    <row r="1151" spans="1:10" x14ac:dyDescent="0.35">
      <c r="A1151" s="36" t="s">
        <v>1343</v>
      </c>
      <c r="B1151" s="35">
        <v>46082</v>
      </c>
      <c r="C1151" s="36" t="s">
        <v>298</v>
      </c>
      <c r="D1151" s="36" t="s">
        <v>299</v>
      </c>
      <c r="E1151" s="36" t="s">
        <v>81</v>
      </c>
      <c r="F1151" s="36" t="s">
        <v>82</v>
      </c>
      <c r="G1151" s="36" t="s">
        <v>74</v>
      </c>
      <c r="H1151" s="36" t="s">
        <v>80</v>
      </c>
      <c r="I1151" s="37">
        <v>2</v>
      </c>
      <c r="J1151" s="36"/>
    </row>
    <row r="1152" spans="1:10" x14ac:dyDescent="0.35">
      <c r="A1152" s="36" t="s">
        <v>1344</v>
      </c>
      <c r="B1152" s="35">
        <v>46082</v>
      </c>
      <c r="C1152" s="36" t="s">
        <v>298</v>
      </c>
      <c r="D1152" s="36" t="s">
        <v>299</v>
      </c>
      <c r="E1152" s="36" t="s">
        <v>130</v>
      </c>
      <c r="F1152" s="36" t="s">
        <v>16</v>
      </c>
      <c r="G1152" s="36" t="s">
        <v>10</v>
      </c>
      <c r="H1152" s="36" t="s">
        <v>131</v>
      </c>
      <c r="I1152" s="37">
        <v>2</v>
      </c>
      <c r="J1152" s="36"/>
    </row>
    <row r="1153" spans="1:10" x14ac:dyDescent="0.35">
      <c r="A1153" s="36" t="s">
        <v>1345</v>
      </c>
      <c r="B1153" s="35">
        <v>46082</v>
      </c>
      <c r="C1153" s="36" t="s">
        <v>298</v>
      </c>
      <c r="D1153" s="36" t="s">
        <v>299</v>
      </c>
      <c r="E1153" s="36" t="s">
        <v>72</v>
      </c>
      <c r="F1153" s="36" t="s">
        <v>73</v>
      </c>
      <c r="G1153" s="36" t="s">
        <v>74</v>
      </c>
      <c r="H1153" s="36" t="s">
        <v>75</v>
      </c>
      <c r="I1153" s="37">
        <v>2</v>
      </c>
      <c r="J1153" s="36"/>
    </row>
    <row r="1154" spans="1:10" x14ac:dyDescent="0.35">
      <c r="A1154" s="36" t="s">
        <v>1346</v>
      </c>
      <c r="B1154" s="35">
        <v>46082</v>
      </c>
      <c r="C1154" s="36" t="s">
        <v>298</v>
      </c>
      <c r="D1154" s="36" t="s">
        <v>299</v>
      </c>
      <c r="E1154" s="36" t="s">
        <v>59</v>
      </c>
      <c r="F1154" s="36" t="s">
        <v>60</v>
      </c>
      <c r="G1154" s="36" t="s">
        <v>53</v>
      </c>
      <c r="H1154" s="36" t="s">
        <v>56</v>
      </c>
      <c r="I1154" s="37">
        <v>7</v>
      </c>
      <c r="J1154" s="36"/>
    </row>
    <row r="1155" spans="1:10" x14ac:dyDescent="0.35">
      <c r="A1155" s="36" t="s">
        <v>1347</v>
      </c>
      <c r="B1155" s="35">
        <v>46082</v>
      </c>
      <c r="C1155" s="36" t="s">
        <v>298</v>
      </c>
      <c r="D1155" s="36" t="s">
        <v>299</v>
      </c>
      <c r="E1155" s="36" t="s">
        <v>43</v>
      </c>
      <c r="F1155" s="36" t="s">
        <v>44</v>
      </c>
      <c r="G1155" s="36" t="s">
        <v>31</v>
      </c>
      <c r="H1155" s="36" t="s">
        <v>42</v>
      </c>
      <c r="I1155" s="37">
        <v>6</v>
      </c>
      <c r="J1155" s="36"/>
    </row>
    <row r="1156" spans="1:10" x14ac:dyDescent="0.35">
      <c r="A1156" s="36" t="s">
        <v>1348</v>
      </c>
      <c r="B1156" s="35">
        <v>46082</v>
      </c>
      <c r="C1156" s="36" t="s">
        <v>298</v>
      </c>
      <c r="D1156" s="36" t="s">
        <v>299</v>
      </c>
      <c r="E1156" s="36" t="s">
        <v>83</v>
      </c>
      <c r="F1156" s="36" t="s">
        <v>84</v>
      </c>
      <c r="G1156" s="36" t="s">
        <v>74</v>
      </c>
      <c r="H1156" s="36" t="s">
        <v>85</v>
      </c>
      <c r="I1156" s="37">
        <v>2</v>
      </c>
      <c r="J1156" s="36"/>
    </row>
    <row r="1157" spans="1:10" x14ac:dyDescent="0.35">
      <c r="A1157" s="36" t="s">
        <v>1349</v>
      </c>
      <c r="B1157" s="35">
        <v>46082</v>
      </c>
      <c r="C1157" s="36" t="s">
        <v>238</v>
      </c>
      <c r="D1157" s="36" t="s">
        <v>239</v>
      </c>
      <c r="E1157" s="36" t="s">
        <v>46</v>
      </c>
      <c r="F1157" s="36" t="s">
        <v>47</v>
      </c>
      <c r="G1157" s="36" t="s">
        <v>31</v>
      </c>
      <c r="H1157" s="36" t="s">
        <v>42</v>
      </c>
      <c r="I1157" s="37">
        <v>9</v>
      </c>
      <c r="J1157" s="36"/>
    </row>
    <row r="1158" spans="1:10" x14ac:dyDescent="0.35">
      <c r="A1158" s="36" t="s">
        <v>1350</v>
      </c>
      <c r="B1158" s="35">
        <v>46082</v>
      </c>
      <c r="C1158" s="36" t="s">
        <v>238</v>
      </c>
      <c r="D1158" s="36" t="s">
        <v>239</v>
      </c>
      <c r="E1158" s="36" t="s">
        <v>106</v>
      </c>
      <c r="F1158" s="36" t="s">
        <v>107</v>
      </c>
      <c r="G1158" s="36" t="s">
        <v>102</v>
      </c>
      <c r="H1158" s="36" t="s">
        <v>108</v>
      </c>
      <c r="I1158" s="37">
        <v>8</v>
      </c>
      <c r="J1158" s="36"/>
    </row>
    <row r="1159" spans="1:10" x14ac:dyDescent="0.35">
      <c r="A1159" s="36" t="s">
        <v>1351</v>
      </c>
      <c r="B1159" s="35">
        <v>46082</v>
      </c>
      <c r="C1159" s="36" t="s">
        <v>238</v>
      </c>
      <c r="D1159" s="36" t="s">
        <v>239</v>
      </c>
      <c r="E1159" s="36" t="s">
        <v>100</v>
      </c>
      <c r="F1159" s="36" t="s">
        <v>101</v>
      </c>
      <c r="G1159" s="36" t="s">
        <v>102</v>
      </c>
      <c r="H1159" s="36" t="s">
        <v>103</v>
      </c>
      <c r="I1159" s="37">
        <v>9</v>
      </c>
      <c r="J1159" s="36"/>
    </row>
    <row r="1160" spans="1:10" x14ac:dyDescent="0.35">
      <c r="A1160" s="36" t="s">
        <v>1352</v>
      </c>
      <c r="B1160" s="35">
        <v>46082</v>
      </c>
      <c r="C1160" s="36" t="s">
        <v>238</v>
      </c>
      <c r="D1160" s="36" t="s">
        <v>239</v>
      </c>
      <c r="E1160" s="36" t="s">
        <v>61</v>
      </c>
      <c r="F1160" s="36" t="s">
        <v>62</v>
      </c>
      <c r="G1160" s="36" t="s">
        <v>53</v>
      </c>
      <c r="H1160" s="36" t="s">
        <v>42</v>
      </c>
      <c r="I1160" s="37">
        <v>9</v>
      </c>
      <c r="J1160" s="36"/>
    </row>
    <row r="1161" spans="1:10" x14ac:dyDescent="0.35">
      <c r="A1161" s="36" t="s">
        <v>1353</v>
      </c>
      <c r="B1161" s="35">
        <v>46082</v>
      </c>
      <c r="C1161" s="36" t="s">
        <v>238</v>
      </c>
      <c r="D1161" s="36" t="s">
        <v>239</v>
      </c>
      <c r="E1161" s="36" t="s">
        <v>151</v>
      </c>
      <c r="F1161" s="36" t="s">
        <v>152</v>
      </c>
      <c r="G1161" s="36" t="s">
        <v>8</v>
      </c>
      <c r="H1161" s="36" t="s">
        <v>143</v>
      </c>
      <c r="I1161" s="37">
        <v>3</v>
      </c>
      <c r="J1161" s="36"/>
    </row>
    <row r="1162" spans="1:10" x14ac:dyDescent="0.35">
      <c r="A1162" s="36" t="s">
        <v>1354</v>
      </c>
      <c r="B1162" s="35">
        <v>46087</v>
      </c>
      <c r="C1162" s="36" t="s">
        <v>298</v>
      </c>
      <c r="D1162" s="36" t="s">
        <v>299</v>
      </c>
      <c r="E1162" s="36" t="s">
        <v>100</v>
      </c>
      <c r="F1162" s="36" t="s">
        <v>101</v>
      </c>
      <c r="G1162" s="36" t="s">
        <v>102</v>
      </c>
      <c r="H1162" s="36" t="s">
        <v>103</v>
      </c>
      <c r="I1162" s="37">
        <v>4</v>
      </c>
      <c r="J1162" s="36"/>
    </row>
    <row r="1163" spans="1:10" x14ac:dyDescent="0.35">
      <c r="A1163" s="36" t="s">
        <v>1355</v>
      </c>
      <c r="B1163" s="35">
        <v>46087</v>
      </c>
      <c r="C1163" s="36" t="s">
        <v>298</v>
      </c>
      <c r="D1163" s="36" t="s">
        <v>299</v>
      </c>
      <c r="E1163" s="36" t="s">
        <v>132</v>
      </c>
      <c r="F1163" s="36" t="s">
        <v>133</v>
      </c>
      <c r="G1163" s="36" t="s">
        <v>10</v>
      </c>
      <c r="H1163" s="36" t="s">
        <v>134</v>
      </c>
      <c r="I1163" s="37">
        <v>2</v>
      </c>
      <c r="J1163" s="36"/>
    </row>
    <row r="1164" spans="1:10" x14ac:dyDescent="0.35">
      <c r="A1164" s="36" t="s">
        <v>1356</v>
      </c>
      <c r="B1164" s="35">
        <v>46087</v>
      </c>
      <c r="C1164" s="36" t="s">
        <v>298</v>
      </c>
      <c r="D1164" s="36" t="s">
        <v>299</v>
      </c>
      <c r="E1164" s="36" t="s">
        <v>104</v>
      </c>
      <c r="F1164" s="36" t="s">
        <v>105</v>
      </c>
      <c r="G1164" s="36" t="s">
        <v>102</v>
      </c>
      <c r="H1164" s="36" t="s">
        <v>103</v>
      </c>
      <c r="I1164" s="37">
        <v>5</v>
      </c>
      <c r="J1164" s="36"/>
    </row>
    <row r="1165" spans="1:10" x14ac:dyDescent="0.35">
      <c r="A1165" s="36" t="s">
        <v>1357</v>
      </c>
      <c r="B1165" s="35">
        <v>46087</v>
      </c>
      <c r="C1165" s="36" t="s">
        <v>298</v>
      </c>
      <c r="D1165" s="36" t="s">
        <v>299</v>
      </c>
      <c r="E1165" s="36" t="s">
        <v>72</v>
      </c>
      <c r="F1165" s="36" t="s">
        <v>73</v>
      </c>
      <c r="G1165" s="36" t="s">
        <v>74</v>
      </c>
      <c r="H1165" s="36" t="s">
        <v>75</v>
      </c>
      <c r="I1165" s="37">
        <v>4</v>
      </c>
      <c r="J1165" s="36"/>
    </row>
    <row r="1166" spans="1:10" x14ac:dyDescent="0.35">
      <c r="A1166" s="36" t="s">
        <v>1358</v>
      </c>
      <c r="B1166" s="35">
        <v>46087</v>
      </c>
      <c r="C1166" s="36" t="s">
        <v>298</v>
      </c>
      <c r="D1166" s="36" t="s">
        <v>299</v>
      </c>
      <c r="E1166" s="36" t="s">
        <v>137</v>
      </c>
      <c r="F1166" s="36" t="s">
        <v>15</v>
      </c>
      <c r="G1166" s="36" t="s">
        <v>6</v>
      </c>
      <c r="H1166" s="36" t="s">
        <v>136</v>
      </c>
      <c r="I1166" s="37">
        <v>3</v>
      </c>
      <c r="J1166" s="36"/>
    </row>
    <row r="1167" spans="1:10" x14ac:dyDescent="0.35">
      <c r="A1167" s="36" t="s">
        <v>1359</v>
      </c>
      <c r="B1167" s="35">
        <v>46087</v>
      </c>
      <c r="C1167" s="36" t="s">
        <v>298</v>
      </c>
      <c r="D1167" s="36" t="s">
        <v>299</v>
      </c>
      <c r="E1167" s="36" t="s">
        <v>153</v>
      </c>
      <c r="F1167" s="36" t="s">
        <v>154</v>
      </c>
      <c r="G1167" s="36" t="s">
        <v>12</v>
      </c>
      <c r="H1167" s="36" t="s">
        <v>155</v>
      </c>
      <c r="I1167" s="37">
        <v>1</v>
      </c>
      <c r="J1167" s="36"/>
    </row>
    <row r="1168" spans="1:10" x14ac:dyDescent="0.35">
      <c r="A1168" s="36" t="s">
        <v>1360</v>
      </c>
      <c r="B1168" s="35">
        <v>46087</v>
      </c>
      <c r="C1168" s="36" t="s">
        <v>298</v>
      </c>
      <c r="D1168" s="36" t="s">
        <v>299</v>
      </c>
      <c r="E1168" s="36" t="s">
        <v>128</v>
      </c>
      <c r="F1168" s="36" t="s">
        <v>9</v>
      </c>
      <c r="G1168" s="36" t="s">
        <v>10</v>
      </c>
      <c r="H1168" s="36" t="s">
        <v>129</v>
      </c>
      <c r="I1168" s="37">
        <v>2</v>
      </c>
      <c r="J1168" s="36"/>
    </row>
    <row r="1169" spans="1:10" x14ac:dyDescent="0.35">
      <c r="A1169" s="36" t="s">
        <v>1361</v>
      </c>
      <c r="B1169" s="35">
        <v>46087</v>
      </c>
      <c r="C1169" s="36" t="s">
        <v>298</v>
      </c>
      <c r="D1169" s="36" t="s">
        <v>299</v>
      </c>
      <c r="E1169" s="36" t="s">
        <v>59</v>
      </c>
      <c r="F1169" s="36" t="s">
        <v>60</v>
      </c>
      <c r="G1169" s="36" t="s">
        <v>53</v>
      </c>
      <c r="H1169" s="36" t="s">
        <v>56</v>
      </c>
      <c r="I1169" s="37">
        <v>5</v>
      </c>
      <c r="J1169" s="36"/>
    </row>
    <row r="1170" spans="1:10" x14ac:dyDescent="0.35">
      <c r="A1170" s="36" t="s">
        <v>1362</v>
      </c>
      <c r="B1170" s="35">
        <v>46087</v>
      </c>
      <c r="C1170" s="36" t="s">
        <v>298</v>
      </c>
      <c r="D1170" s="36" t="s">
        <v>299</v>
      </c>
      <c r="E1170" s="36" t="s">
        <v>97</v>
      </c>
      <c r="F1170" s="36" t="s">
        <v>98</v>
      </c>
      <c r="G1170" s="36" t="s">
        <v>93</v>
      </c>
      <c r="H1170" s="36" t="s">
        <v>99</v>
      </c>
      <c r="I1170" s="37">
        <v>4</v>
      </c>
      <c r="J1170" s="36"/>
    </row>
    <row r="1171" spans="1:10" x14ac:dyDescent="0.35">
      <c r="A1171" s="36" t="s">
        <v>1363</v>
      </c>
      <c r="B1171" s="35">
        <v>46087</v>
      </c>
      <c r="C1171" s="36" t="s">
        <v>298</v>
      </c>
      <c r="D1171" s="36" t="s">
        <v>299</v>
      </c>
      <c r="E1171" s="36" t="s">
        <v>43</v>
      </c>
      <c r="F1171" s="36" t="s">
        <v>44</v>
      </c>
      <c r="G1171" s="36" t="s">
        <v>31</v>
      </c>
      <c r="H1171" s="36" t="s">
        <v>42</v>
      </c>
      <c r="I1171" s="37">
        <v>6</v>
      </c>
      <c r="J1171" s="36"/>
    </row>
    <row r="1172" spans="1:10" x14ac:dyDescent="0.35">
      <c r="A1172" s="36" t="s">
        <v>1364</v>
      </c>
      <c r="B1172" s="35">
        <v>46087</v>
      </c>
      <c r="C1172" s="36" t="s">
        <v>298</v>
      </c>
      <c r="D1172" s="36" t="s">
        <v>299</v>
      </c>
      <c r="E1172" s="36" t="s">
        <v>88</v>
      </c>
      <c r="F1172" s="36" t="s">
        <v>89</v>
      </c>
      <c r="G1172" s="36" t="s">
        <v>74</v>
      </c>
      <c r="H1172" s="36" t="s">
        <v>90</v>
      </c>
      <c r="I1172" s="37">
        <v>3</v>
      </c>
      <c r="J1172" s="36"/>
    </row>
    <row r="1173" spans="1:10" x14ac:dyDescent="0.35">
      <c r="A1173" s="36" t="s">
        <v>1365</v>
      </c>
      <c r="B1173" s="35">
        <v>46091</v>
      </c>
      <c r="C1173" s="36" t="s">
        <v>190</v>
      </c>
      <c r="D1173" s="36" t="s">
        <v>191</v>
      </c>
      <c r="E1173" s="36" t="s">
        <v>86</v>
      </c>
      <c r="F1173" s="36" t="s">
        <v>87</v>
      </c>
      <c r="G1173" s="36" t="s">
        <v>74</v>
      </c>
      <c r="H1173" s="36" t="s">
        <v>75</v>
      </c>
      <c r="I1173" s="37">
        <v>12</v>
      </c>
      <c r="J1173" s="36"/>
    </row>
    <row r="1174" spans="1:10" x14ac:dyDescent="0.35">
      <c r="A1174" s="36" t="s">
        <v>1366</v>
      </c>
      <c r="B1174" s="35">
        <v>46091</v>
      </c>
      <c r="C1174" s="36" t="s">
        <v>190</v>
      </c>
      <c r="D1174" s="36" t="s">
        <v>191</v>
      </c>
      <c r="E1174" s="36" t="s">
        <v>128</v>
      </c>
      <c r="F1174" s="36" t="s">
        <v>9</v>
      </c>
      <c r="G1174" s="36" t="s">
        <v>10</v>
      </c>
      <c r="H1174" s="36" t="s">
        <v>129</v>
      </c>
      <c r="I1174" s="37">
        <v>10</v>
      </c>
      <c r="J1174" s="36"/>
    </row>
    <row r="1175" spans="1:10" x14ac:dyDescent="0.35">
      <c r="A1175" s="36" t="s">
        <v>1367</v>
      </c>
      <c r="B1175" s="35">
        <v>46091</v>
      </c>
      <c r="C1175" s="36" t="s">
        <v>190</v>
      </c>
      <c r="D1175" s="36" t="s">
        <v>191</v>
      </c>
      <c r="E1175" s="36" t="s">
        <v>48</v>
      </c>
      <c r="F1175" s="36" t="s">
        <v>49</v>
      </c>
      <c r="G1175" s="36" t="s">
        <v>31</v>
      </c>
      <c r="H1175" s="36" t="s">
        <v>50</v>
      </c>
      <c r="I1175" s="37">
        <v>12</v>
      </c>
      <c r="J1175" s="36"/>
    </row>
    <row r="1176" spans="1:10" x14ac:dyDescent="0.35">
      <c r="A1176" s="36" t="s">
        <v>1368</v>
      </c>
      <c r="B1176" s="35">
        <v>46091</v>
      </c>
      <c r="C1176" s="36" t="s">
        <v>190</v>
      </c>
      <c r="D1176" s="36" t="s">
        <v>191</v>
      </c>
      <c r="E1176" s="36" t="s">
        <v>109</v>
      </c>
      <c r="F1176" s="36" t="s">
        <v>110</v>
      </c>
      <c r="G1176" s="36" t="s">
        <v>102</v>
      </c>
      <c r="H1176" s="36" t="s">
        <v>42</v>
      </c>
      <c r="I1176" s="37">
        <v>13</v>
      </c>
      <c r="J1176" s="36"/>
    </row>
    <row r="1177" spans="1:10" x14ac:dyDescent="0.35">
      <c r="A1177" s="36" t="s">
        <v>1369</v>
      </c>
      <c r="B1177" s="35">
        <v>46091</v>
      </c>
      <c r="C1177" s="36" t="s">
        <v>190</v>
      </c>
      <c r="D1177" s="36" t="s">
        <v>191</v>
      </c>
      <c r="E1177" s="36" t="s">
        <v>61</v>
      </c>
      <c r="F1177" s="36" t="s">
        <v>62</v>
      </c>
      <c r="G1177" s="36" t="s">
        <v>53</v>
      </c>
      <c r="H1177" s="36" t="s">
        <v>42</v>
      </c>
      <c r="I1177" s="37">
        <v>15</v>
      </c>
      <c r="J1177" s="36"/>
    </row>
    <row r="1178" spans="1:10" x14ac:dyDescent="0.35">
      <c r="A1178" s="36" t="s">
        <v>1370</v>
      </c>
      <c r="B1178" s="35">
        <v>46091</v>
      </c>
      <c r="C1178" s="36" t="s">
        <v>190</v>
      </c>
      <c r="D1178" s="36" t="s">
        <v>191</v>
      </c>
      <c r="E1178" s="36" t="s">
        <v>83</v>
      </c>
      <c r="F1178" s="36" t="s">
        <v>84</v>
      </c>
      <c r="G1178" s="36" t="s">
        <v>74</v>
      </c>
      <c r="H1178" s="36" t="s">
        <v>85</v>
      </c>
      <c r="I1178" s="37">
        <v>15</v>
      </c>
      <c r="J1178" s="36"/>
    </row>
    <row r="1179" spans="1:10" x14ac:dyDescent="0.35">
      <c r="A1179" s="36" t="s">
        <v>1371</v>
      </c>
      <c r="B1179" s="35">
        <v>46091</v>
      </c>
      <c r="C1179" s="36" t="s">
        <v>190</v>
      </c>
      <c r="D1179" s="36" t="s">
        <v>191</v>
      </c>
      <c r="E1179" s="36" t="s">
        <v>100</v>
      </c>
      <c r="F1179" s="36" t="s">
        <v>101</v>
      </c>
      <c r="G1179" s="36" t="s">
        <v>102</v>
      </c>
      <c r="H1179" s="36" t="s">
        <v>103</v>
      </c>
      <c r="I1179" s="37">
        <v>20</v>
      </c>
      <c r="J1179" s="36"/>
    </row>
    <row r="1180" spans="1:10" x14ac:dyDescent="0.35">
      <c r="A1180" s="36" t="s">
        <v>1372</v>
      </c>
      <c r="B1180" s="35">
        <v>46091</v>
      </c>
      <c r="C1180" s="36" t="s">
        <v>190</v>
      </c>
      <c r="D1180" s="36" t="s">
        <v>191</v>
      </c>
      <c r="E1180" s="36" t="s">
        <v>43</v>
      </c>
      <c r="F1180" s="36" t="s">
        <v>44</v>
      </c>
      <c r="G1180" s="36" t="s">
        <v>31</v>
      </c>
      <c r="H1180" s="36" t="s">
        <v>42</v>
      </c>
      <c r="I1180" s="37">
        <v>24</v>
      </c>
      <c r="J1180" s="36"/>
    </row>
    <row r="1181" spans="1:10" x14ac:dyDescent="0.35">
      <c r="A1181" s="36" t="s">
        <v>1373</v>
      </c>
      <c r="B1181" s="35">
        <v>46091</v>
      </c>
      <c r="C1181" s="36" t="s">
        <v>190</v>
      </c>
      <c r="D1181" s="36" t="s">
        <v>191</v>
      </c>
      <c r="E1181" s="36" t="s">
        <v>135</v>
      </c>
      <c r="F1181" s="36" t="s">
        <v>5</v>
      </c>
      <c r="G1181" s="36" t="s">
        <v>6</v>
      </c>
      <c r="H1181" s="36" t="s">
        <v>136</v>
      </c>
      <c r="I1181" s="37">
        <v>16</v>
      </c>
      <c r="J1181" s="36"/>
    </row>
    <row r="1182" spans="1:10" x14ac:dyDescent="0.35">
      <c r="A1182" s="36" t="s">
        <v>1374</v>
      </c>
      <c r="B1182" s="35">
        <v>46091</v>
      </c>
      <c r="C1182" s="36" t="s">
        <v>190</v>
      </c>
      <c r="D1182" s="36" t="s">
        <v>191</v>
      </c>
      <c r="E1182" s="36" t="s">
        <v>156</v>
      </c>
      <c r="F1182" s="36" t="s">
        <v>11</v>
      </c>
      <c r="G1182" s="36" t="s">
        <v>12</v>
      </c>
      <c r="H1182" s="36" t="s">
        <v>155</v>
      </c>
      <c r="I1182" s="37">
        <v>7</v>
      </c>
      <c r="J1182" s="36"/>
    </row>
    <row r="1183" spans="1:10" x14ac:dyDescent="0.35">
      <c r="A1183" s="36" t="s">
        <v>1375</v>
      </c>
      <c r="B1183" s="35">
        <v>46091</v>
      </c>
      <c r="C1183" s="36" t="s">
        <v>190</v>
      </c>
      <c r="D1183" s="36" t="s">
        <v>191</v>
      </c>
      <c r="E1183" s="36" t="s">
        <v>141</v>
      </c>
      <c r="F1183" s="36" t="s">
        <v>142</v>
      </c>
      <c r="G1183" s="36" t="s">
        <v>8</v>
      </c>
      <c r="H1183" s="36" t="s">
        <v>143</v>
      </c>
      <c r="I1183" s="37">
        <v>8</v>
      </c>
      <c r="J1183" s="36"/>
    </row>
    <row r="1184" spans="1:10" x14ac:dyDescent="0.35">
      <c r="A1184" s="36" t="s">
        <v>1376</v>
      </c>
      <c r="B1184" s="35">
        <v>46091</v>
      </c>
      <c r="C1184" s="36" t="s">
        <v>190</v>
      </c>
      <c r="D1184" s="36" t="s">
        <v>191</v>
      </c>
      <c r="E1184" s="36" t="s">
        <v>97</v>
      </c>
      <c r="F1184" s="36" t="s">
        <v>98</v>
      </c>
      <c r="G1184" s="36" t="s">
        <v>93</v>
      </c>
      <c r="H1184" s="36" t="s">
        <v>99</v>
      </c>
      <c r="I1184" s="37">
        <v>9</v>
      </c>
      <c r="J1184" s="36"/>
    </row>
    <row r="1185" spans="1:10" x14ac:dyDescent="0.35">
      <c r="A1185" s="36" t="s">
        <v>1377</v>
      </c>
      <c r="B1185" s="35">
        <v>46091</v>
      </c>
      <c r="C1185" s="36" t="s">
        <v>298</v>
      </c>
      <c r="D1185" s="36" t="s">
        <v>299</v>
      </c>
      <c r="E1185" s="36" t="s">
        <v>64</v>
      </c>
      <c r="F1185" s="36" t="s">
        <v>65</v>
      </c>
      <c r="G1185" s="36" t="s">
        <v>66</v>
      </c>
      <c r="H1185" s="36" t="s">
        <v>42</v>
      </c>
      <c r="I1185" s="37">
        <v>2</v>
      </c>
      <c r="J1185" s="36"/>
    </row>
    <row r="1186" spans="1:10" x14ac:dyDescent="0.35">
      <c r="A1186" s="36" t="s">
        <v>1378</v>
      </c>
      <c r="B1186" s="35">
        <v>46091</v>
      </c>
      <c r="C1186" s="36" t="s">
        <v>298</v>
      </c>
      <c r="D1186" s="36" t="s">
        <v>299</v>
      </c>
      <c r="E1186" s="36" t="s">
        <v>67</v>
      </c>
      <c r="F1186" s="36" t="s">
        <v>68</v>
      </c>
      <c r="G1186" s="36" t="s">
        <v>66</v>
      </c>
      <c r="H1186" s="36" t="s">
        <v>42</v>
      </c>
      <c r="I1186" s="37">
        <v>6</v>
      </c>
      <c r="J1186" s="36"/>
    </row>
    <row r="1187" spans="1:10" x14ac:dyDescent="0.35">
      <c r="A1187" s="36" t="s">
        <v>1379</v>
      </c>
      <c r="B1187" s="35">
        <v>46091</v>
      </c>
      <c r="C1187" s="36" t="s">
        <v>298</v>
      </c>
      <c r="D1187" s="36" t="s">
        <v>299</v>
      </c>
      <c r="E1187" s="36" t="s">
        <v>146</v>
      </c>
      <c r="F1187" s="36" t="s">
        <v>147</v>
      </c>
      <c r="G1187" s="36" t="s">
        <v>8</v>
      </c>
      <c r="H1187" s="36" t="s">
        <v>148</v>
      </c>
      <c r="I1187" s="37">
        <v>2</v>
      </c>
      <c r="J1187" s="36"/>
    </row>
    <row r="1188" spans="1:10" x14ac:dyDescent="0.35">
      <c r="A1188" s="36" t="s">
        <v>1380</v>
      </c>
      <c r="B1188" s="35">
        <v>46091</v>
      </c>
      <c r="C1188" s="36" t="s">
        <v>298</v>
      </c>
      <c r="D1188" s="36" t="s">
        <v>299</v>
      </c>
      <c r="E1188" s="36" t="s">
        <v>86</v>
      </c>
      <c r="F1188" s="36" t="s">
        <v>87</v>
      </c>
      <c r="G1188" s="36" t="s">
        <v>74</v>
      </c>
      <c r="H1188" s="36" t="s">
        <v>75</v>
      </c>
      <c r="I1188" s="37">
        <v>2</v>
      </c>
      <c r="J1188" s="36"/>
    </row>
    <row r="1189" spans="1:10" x14ac:dyDescent="0.35">
      <c r="A1189" s="36" t="s">
        <v>1381</v>
      </c>
      <c r="B1189" s="35">
        <v>46091</v>
      </c>
      <c r="C1189" s="36" t="s">
        <v>298</v>
      </c>
      <c r="D1189" s="36" t="s">
        <v>299</v>
      </c>
      <c r="E1189" s="36" t="s">
        <v>83</v>
      </c>
      <c r="F1189" s="36" t="s">
        <v>84</v>
      </c>
      <c r="G1189" s="36" t="s">
        <v>74</v>
      </c>
      <c r="H1189" s="36" t="s">
        <v>85</v>
      </c>
      <c r="I1189" s="37">
        <v>2</v>
      </c>
      <c r="J1189" s="36"/>
    </row>
    <row r="1190" spans="1:10" x14ac:dyDescent="0.35">
      <c r="A1190" s="36" t="s">
        <v>1382</v>
      </c>
      <c r="B1190" s="35">
        <v>46091</v>
      </c>
      <c r="C1190" s="36" t="s">
        <v>298</v>
      </c>
      <c r="D1190" s="36" t="s">
        <v>299</v>
      </c>
      <c r="E1190" s="36" t="s">
        <v>130</v>
      </c>
      <c r="F1190" s="36" t="s">
        <v>16</v>
      </c>
      <c r="G1190" s="36" t="s">
        <v>10</v>
      </c>
      <c r="H1190" s="36" t="s">
        <v>131</v>
      </c>
      <c r="I1190" s="37">
        <v>2</v>
      </c>
      <c r="J1190" s="36"/>
    </row>
    <row r="1191" spans="1:10" x14ac:dyDescent="0.35">
      <c r="A1191" s="36" t="s">
        <v>1383</v>
      </c>
      <c r="B1191" s="35">
        <v>46091</v>
      </c>
      <c r="C1191" s="36" t="s">
        <v>298</v>
      </c>
      <c r="D1191" s="36" t="s">
        <v>299</v>
      </c>
      <c r="E1191" s="36" t="s">
        <v>156</v>
      </c>
      <c r="F1191" s="36" t="s">
        <v>11</v>
      </c>
      <c r="G1191" s="36" t="s">
        <v>12</v>
      </c>
      <c r="H1191" s="36" t="s">
        <v>155</v>
      </c>
      <c r="I1191" s="37">
        <v>2</v>
      </c>
      <c r="J1191" s="36"/>
    </row>
    <row r="1192" spans="1:10" x14ac:dyDescent="0.35">
      <c r="A1192" s="36" t="s">
        <v>1384</v>
      </c>
      <c r="B1192" s="35">
        <v>46091</v>
      </c>
      <c r="C1192" s="36" t="s">
        <v>298</v>
      </c>
      <c r="D1192" s="36" t="s">
        <v>299</v>
      </c>
      <c r="E1192" s="36" t="s">
        <v>151</v>
      </c>
      <c r="F1192" s="36" t="s">
        <v>152</v>
      </c>
      <c r="G1192" s="36" t="s">
        <v>8</v>
      </c>
      <c r="H1192" s="36" t="s">
        <v>143</v>
      </c>
      <c r="I1192" s="37">
        <v>1</v>
      </c>
      <c r="J1192" s="36"/>
    </row>
    <row r="1193" spans="1:10" x14ac:dyDescent="0.35">
      <c r="A1193" s="36" t="s">
        <v>1385</v>
      </c>
      <c r="B1193" s="35">
        <v>46091</v>
      </c>
      <c r="C1193" s="36" t="s">
        <v>298</v>
      </c>
      <c r="D1193" s="36" t="s">
        <v>299</v>
      </c>
      <c r="E1193" s="36" t="s">
        <v>106</v>
      </c>
      <c r="F1193" s="36" t="s">
        <v>107</v>
      </c>
      <c r="G1193" s="36" t="s">
        <v>102</v>
      </c>
      <c r="H1193" s="36" t="s">
        <v>108</v>
      </c>
      <c r="I1193" s="37">
        <v>6</v>
      </c>
      <c r="J1193" s="36"/>
    </row>
    <row r="1194" spans="1:10" x14ac:dyDescent="0.35">
      <c r="A1194" s="36" t="s">
        <v>1386</v>
      </c>
      <c r="B1194" s="35">
        <v>46091</v>
      </c>
      <c r="C1194" s="36" t="s">
        <v>298</v>
      </c>
      <c r="D1194" s="36" t="s">
        <v>299</v>
      </c>
      <c r="E1194" s="36" t="s">
        <v>91</v>
      </c>
      <c r="F1194" s="36" t="s">
        <v>92</v>
      </c>
      <c r="G1194" s="36" t="s">
        <v>93</v>
      </c>
      <c r="H1194" s="36" t="s">
        <v>85</v>
      </c>
      <c r="I1194" s="37">
        <v>4</v>
      </c>
      <c r="J1194" s="36"/>
    </row>
    <row r="1195" spans="1:10" x14ac:dyDescent="0.35">
      <c r="A1195" s="36" t="s">
        <v>1387</v>
      </c>
      <c r="B1195" s="35">
        <v>46091</v>
      </c>
      <c r="C1195" s="36" t="s">
        <v>298</v>
      </c>
      <c r="D1195" s="36" t="s">
        <v>299</v>
      </c>
      <c r="E1195" s="36" t="s">
        <v>46</v>
      </c>
      <c r="F1195" s="36" t="s">
        <v>47</v>
      </c>
      <c r="G1195" s="36" t="s">
        <v>31</v>
      </c>
      <c r="H1195" s="36" t="s">
        <v>42</v>
      </c>
      <c r="I1195" s="37">
        <v>4</v>
      </c>
      <c r="J1195" s="36"/>
    </row>
    <row r="1196" spans="1:10" x14ac:dyDescent="0.35">
      <c r="A1196" s="36" t="s">
        <v>1388</v>
      </c>
      <c r="B1196" s="35">
        <v>46091</v>
      </c>
      <c r="C1196" s="36" t="s">
        <v>298</v>
      </c>
      <c r="D1196" s="36" t="s">
        <v>299</v>
      </c>
      <c r="E1196" s="36" t="s">
        <v>132</v>
      </c>
      <c r="F1196" s="36" t="s">
        <v>133</v>
      </c>
      <c r="G1196" s="36" t="s">
        <v>10</v>
      </c>
      <c r="H1196" s="36" t="s">
        <v>134</v>
      </c>
      <c r="I1196" s="37">
        <v>3</v>
      </c>
      <c r="J1196" s="36"/>
    </row>
    <row r="1197" spans="1:10" x14ac:dyDescent="0.35">
      <c r="A1197" s="36" t="s">
        <v>1389</v>
      </c>
      <c r="B1197" s="35">
        <v>46093</v>
      </c>
      <c r="C1197" s="36" t="s">
        <v>210</v>
      </c>
      <c r="D1197" s="36" t="s">
        <v>211</v>
      </c>
      <c r="E1197" s="36" t="s">
        <v>151</v>
      </c>
      <c r="F1197" s="36" t="s">
        <v>152</v>
      </c>
      <c r="G1197" s="36" t="s">
        <v>8</v>
      </c>
      <c r="H1197" s="36" t="s">
        <v>143</v>
      </c>
      <c r="I1197" s="37">
        <v>4</v>
      </c>
      <c r="J1197" s="36"/>
    </row>
    <row r="1198" spans="1:10" x14ac:dyDescent="0.35">
      <c r="A1198" s="36" t="s">
        <v>1390</v>
      </c>
      <c r="B1198" s="35">
        <v>46093</v>
      </c>
      <c r="C1198" s="36" t="s">
        <v>210</v>
      </c>
      <c r="D1198" s="36" t="s">
        <v>211</v>
      </c>
      <c r="E1198" s="36" t="s">
        <v>97</v>
      </c>
      <c r="F1198" s="36" t="s">
        <v>98</v>
      </c>
      <c r="G1198" s="36" t="s">
        <v>93</v>
      </c>
      <c r="H1198" s="36" t="s">
        <v>99</v>
      </c>
      <c r="I1198" s="37">
        <v>8</v>
      </c>
      <c r="J1198" s="36"/>
    </row>
    <row r="1199" spans="1:10" x14ac:dyDescent="0.35">
      <c r="A1199" s="36" t="s">
        <v>1391</v>
      </c>
      <c r="B1199" s="35">
        <v>46093</v>
      </c>
      <c r="C1199" s="36" t="s">
        <v>210</v>
      </c>
      <c r="D1199" s="36" t="s">
        <v>211</v>
      </c>
      <c r="E1199" s="36" t="s">
        <v>100</v>
      </c>
      <c r="F1199" s="36" t="s">
        <v>101</v>
      </c>
      <c r="G1199" s="36" t="s">
        <v>102</v>
      </c>
      <c r="H1199" s="36" t="s">
        <v>103</v>
      </c>
      <c r="I1199" s="37">
        <v>11</v>
      </c>
      <c r="J1199" s="36"/>
    </row>
    <row r="1200" spans="1:10" x14ac:dyDescent="0.35">
      <c r="A1200" s="36" t="s">
        <v>1392</v>
      </c>
      <c r="B1200" s="35">
        <v>46093</v>
      </c>
      <c r="C1200" s="36" t="s">
        <v>210</v>
      </c>
      <c r="D1200" s="36" t="s">
        <v>211</v>
      </c>
      <c r="E1200" s="36" t="s">
        <v>157</v>
      </c>
      <c r="F1200" s="36" t="s">
        <v>158</v>
      </c>
      <c r="G1200" s="36" t="s">
        <v>159</v>
      </c>
      <c r="H1200" s="36" t="s">
        <v>160</v>
      </c>
      <c r="I1200" s="37">
        <v>4</v>
      </c>
      <c r="J1200" s="36"/>
    </row>
    <row r="1201" spans="1:10" x14ac:dyDescent="0.35">
      <c r="A1201" s="36" t="s">
        <v>1393</v>
      </c>
      <c r="B1201" s="35">
        <v>46093</v>
      </c>
      <c r="C1201" s="36" t="s">
        <v>210</v>
      </c>
      <c r="D1201" s="36" t="s">
        <v>211</v>
      </c>
      <c r="E1201" s="36" t="s">
        <v>106</v>
      </c>
      <c r="F1201" s="36" t="s">
        <v>107</v>
      </c>
      <c r="G1201" s="36" t="s">
        <v>102</v>
      </c>
      <c r="H1201" s="36" t="s">
        <v>108</v>
      </c>
      <c r="I1201" s="37">
        <v>8</v>
      </c>
      <c r="J1201" s="36"/>
    </row>
    <row r="1202" spans="1:10" x14ac:dyDescent="0.35">
      <c r="A1202" s="36" t="s">
        <v>1394</v>
      </c>
      <c r="B1202" s="35">
        <v>46093</v>
      </c>
      <c r="C1202" s="36" t="s">
        <v>210</v>
      </c>
      <c r="D1202" s="36" t="s">
        <v>211</v>
      </c>
      <c r="E1202" s="36" t="s">
        <v>125</v>
      </c>
      <c r="F1202" s="36" t="s">
        <v>126</v>
      </c>
      <c r="G1202" s="36" t="s">
        <v>14</v>
      </c>
      <c r="H1202" s="36" t="s">
        <v>127</v>
      </c>
      <c r="I1202" s="37">
        <v>2</v>
      </c>
      <c r="J1202" s="36"/>
    </row>
    <row r="1203" spans="1:10" x14ac:dyDescent="0.35">
      <c r="A1203" s="36" t="s">
        <v>1395</v>
      </c>
      <c r="B1203" s="35">
        <v>46093</v>
      </c>
      <c r="C1203" s="36" t="s">
        <v>210</v>
      </c>
      <c r="D1203" s="36" t="s">
        <v>211</v>
      </c>
      <c r="E1203" s="36" t="s">
        <v>67</v>
      </c>
      <c r="F1203" s="36" t="s">
        <v>68</v>
      </c>
      <c r="G1203" s="36" t="s">
        <v>66</v>
      </c>
      <c r="H1203" s="36" t="s">
        <v>42</v>
      </c>
      <c r="I1203" s="37">
        <v>12</v>
      </c>
      <c r="J1203" s="36"/>
    </row>
    <row r="1204" spans="1:10" x14ac:dyDescent="0.35">
      <c r="A1204" s="36" t="s">
        <v>1396</v>
      </c>
      <c r="B1204" s="35">
        <v>46093</v>
      </c>
      <c r="C1204" s="36" t="s">
        <v>210</v>
      </c>
      <c r="D1204" s="36" t="s">
        <v>211</v>
      </c>
      <c r="E1204" s="36" t="s">
        <v>144</v>
      </c>
      <c r="F1204" s="36" t="s">
        <v>7</v>
      </c>
      <c r="G1204" s="36" t="s">
        <v>8</v>
      </c>
      <c r="H1204" s="36" t="s">
        <v>145</v>
      </c>
      <c r="I1204" s="37">
        <v>4</v>
      </c>
      <c r="J1204" s="36"/>
    </row>
    <row r="1205" spans="1:10" x14ac:dyDescent="0.35">
      <c r="A1205" s="36" t="s">
        <v>1397</v>
      </c>
      <c r="B1205" s="35">
        <v>46093</v>
      </c>
      <c r="C1205" s="36" t="s">
        <v>210</v>
      </c>
      <c r="D1205" s="36" t="s">
        <v>211</v>
      </c>
      <c r="E1205" s="36" t="s">
        <v>61</v>
      </c>
      <c r="F1205" s="36" t="s">
        <v>62</v>
      </c>
      <c r="G1205" s="36" t="s">
        <v>53</v>
      </c>
      <c r="H1205" s="36" t="s">
        <v>42</v>
      </c>
      <c r="I1205" s="37">
        <v>8</v>
      </c>
      <c r="J1205" s="36"/>
    </row>
    <row r="1206" spans="1:10" x14ac:dyDescent="0.35">
      <c r="A1206" s="36" t="s">
        <v>1398</v>
      </c>
      <c r="B1206" s="35">
        <v>46093</v>
      </c>
      <c r="C1206" s="36" t="s">
        <v>210</v>
      </c>
      <c r="D1206" s="36" t="s">
        <v>211</v>
      </c>
      <c r="E1206" s="36" t="s">
        <v>114</v>
      </c>
      <c r="F1206" s="36" t="s">
        <v>13</v>
      </c>
      <c r="G1206" s="36" t="s">
        <v>14</v>
      </c>
      <c r="H1206" s="36" t="s">
        <v>115</v>
      </c>
      <c r="I1206" s="37">
        <v>3</v>
      </c>
      <c r="J1206" s="36"/>
    </row>
    <row r="1207" spans="1:10" x14ac:dyDescent="0.35">
      <c r="A1207" s="36" t="s">
        <v>1399</v>
      </c>
      <c r="B1207" s="35">
        <v>46093</v>
      </c>
      <c r="C1207" s="36" t="s">
        <v>298</v>
      </c>
      <c r="D1207" s="36" t="s">
        <v>299</v>
      </c>
      <c r="E1207" s="36" t="s">
        <v>153</v>
      </c>
      <c r="F1207" s="36" t="s">
        <v>154</v>
      </c>
      <c r="G1207" s="36" t="s">
        <v>12</v>
      </c>
      <c r="H1207" s="36" t="s">
        <v>155</v>
      </c>
      <c r="I1207" s="37">
        <v>2</v>
      </c>
      <c r="J1207" s="36"/>
    </row>
    <row r="1208" spans="1:10" x14ac:dyDescent="0.35">
      <c r="A1208" s="36" t="s">
        <v>1400</v>
      </c>
      <c r="B1208" s="35">
        <v>46093</v>
      </c>
      <c r="C1208" s="36" t="s">
        <v>298</v>
      </c>
      <c r="D1208" s="36" t="s">
        <v>299</v>
      </c>
      <c r="E1208" s="36" t="s">
        <v>144</v>
      </c>
      <c r="F1208" s="36" t="s">
        <v>7</v>
      </c>
      <c r="G1208" s="36" t="s">
        <v>8</v>
      </c>
      <c r="H1208" s="36" t="s">
        <v>145</v>
      </c>
      <c r="I1208" s="37">
        <v>2</v>
      </c>
      <c r="J1208" s="36"/>
    </row>
    <row r="1209" spans="1:10" x14ac:dyDescent="0.35">
      <c r="A1209" s="36" t="s">
        <v>1401</v>
      </c>
      <c r="B1209" s="35">
        <v>46093</v>
      </c>
      <c r="C1209" s="36" t="s">
        <v>298</v>
      </c>
      <c r="D1209" s="36" t="s">
        <v>299</v>
      </c>
      <c r="E1209" s="36" t="s">
        <v>106</v>
      </c>
      <c r="F1209" s="36" t="s">
        <v>107</v>
      </c>
      <c r="G1209" s="36" t="s">
        <v>102</v>
      </c>
      <c r="H1209" s="36" t="s">
        <v>108</v>
      </c>
      <c r="I1209" s="37">
        <v>5</v>
      </c>
      <c r="J1209" s="36"/>
    </row>
    <row r="1210" spans="1:10" x14ac:dyDescent="0.35">
      <c r="A1210" s="36" t="s">
        <v>1402</v>
      </c>
      <c r="B1210" s="35">
        <v>46093</v>
      </c>
      <c r="C1210" s="36" t="s">
        <v>298</v>
      </c>
      <c r="D1210" s="36" t="s">
        <v>299</v>
      </c>
      <c r="E1210" s="36" t="s">
        <v>54</v>
      </c>
      <c r="F1210" s="36" t="s">
        <v>55</v>
      </c>
      <c r="G1210" s="36" t="s">
        <v>53</v>
      </c>
      <c r="H1210" s="36" t="s">
        <v>56</v>
      </c>
      <c r="I1210" s="37">
        <v>9</v>
      </c>
      <c r="J1210" s="36"/>
    </row>
    <row r="1211" spans="1:10" x14ac:dyDescent="0.35">
      <c r="A1211" s="36" t="s">
        <v>1403</v>
      </c>
      <c r="B1211" s="35">
        <v>46093</v>
      </c>
      <c r="C1211" s="36" t="s">
        <v>298</v>
      </c>
      <c r="D1211" s="36" t="s">
        <v>299</v>
      </c>
      <c r="E1211" s="36" t="s">
        <v>46</v>
      </c>
      <c r="F1211" s="36" t="s">
        <v>47</v>
      </c>
      <c r="G1211" s="36" t="s">
        <v>31</v>
      </c>
      <c r="H1211" s="36" t="s">
        <v>42</v>
      </c>
      <c r="I1211" s="37">
        <v>5</v>
      </c>
      <c r="J1211" s="36"/>
    </row>
    <row r="1212" spans="1:10" x14ac:dyDescent="0.35">
      <c r="A1212" s="36" t="s">
        <v>1404</v>
      </c>
      <c r="B1212" s="35">
        <v>46093</v>
      </c>
      <c r="C1212" s="36" t="s">
        <v>298</v>
      </c>
      <c r="D1212" s="36" t="s">
        <v>299</v>
      </c>
      <c r="E1212" s="36" t="s">
        <v>151</v>
      </c>
      <c r="F1212" s="36" t="s">
        <v>152</v>
      </c>
      <c r="G1212" s="36" t="s">
        <v>8</v>
      </c>
      <c r="H1212" s="36" t="s">
        <v>143</v>
      </c>
      <c r="I1212" s="37">
        <v>2</v>
      </c>
      <c r="J1212" s="36"/>
    </row>
    <row r="1213" spans="1:10" x14ac:dyDescent="0.35">
      <c r="A1213" s="36" t="s">
        <v>1405</v>
      </c>
      <c r="B1213" s="35">
        <v>46093</v>
      </c>
      <c r="C1213" s="36" t="s">
        <v>210</v>
      </c>
      <c r="D1213" s="36" t="s">
        <v>211</v>
      </c>
      <c r="E1213" s="36" t="s">
        <v>97</v>
      </c>
      <c r="F1213" s="36" t="s">
        <v>98</v>
      </c>
      <c r="G1213" s="36" t="s">
        <v>93</v>
      </c>
      <c r="H1213" s="36" t="s">
        <v>99</v>
      </c>
      <c r="I1213" s="37">
        <v>7</v>
      </c>
      <c r="J1213" s="36"/>
    </row>
    <row r="1214" spans="1:10" x14ac:dyDescent="0.35">
      <c r="A1214" s="36" t="s">
        <v>1406</v>
      </c>
      <c r="B1214" s="35">
        <v>46093</v>
      </c>
      <c r="C1214" s="36" t="s">
        <v>210</v>
      </c>
      <c r="D1214" s="36" t="s">
        <v>211</v>
      </c>
      <c r="E1214" s="36" t="s">
        <v>91</v>
      </c>
      <c r="F1214" s="36" t="s">
        <v>92</v>
      </c>
      <c r="G1214" s="36" t="s">
        <v>93</v>
      </c>
      <c r="H1214" s="36" t="s">
        <v>85</v>
      </c>
      <c r="I1214" s="37">
        <v>8</v>
      </c>
      <c r="J1214" s="36"/>
    </row>
    <row r="1215" spans="1:10" x14ac:dyDescent="0.35">
      <c r="A1215" s="36" t="s">
        <v>1407</v>
      </c>
      <c r="B1215" s="35">
        <v>46093</v>
      </c>
      <c r="C1215" s="36" t="s">
        <v>210</v>
      </c>
      <c r="D1215" s="36" t="s">
        <v>211</v>
      </c>
      <c r="E1215" s="36" t="s">
        <v>69</v>
      </c>
      <c r="F1215" s="36" t="s">
        <v>70</v>
      </c>
      <c r="G1215" s="36" t="s">
        <v>66</v>
      </c>
      <c r="H1215" s="36" t="s">
        <v>71</v>
      </c>
      <c r="I1215" s="37">
        <v>8</v>
      </c>
      <c r="J1215" s="36"/>
    </row>
    <row r="1216" spans="1:10" x14ac:dyDescent="0.35">
      <c r="A1216" s="36" t="s">
        <v>1408</v>
      </c>
      <c r="B1216" s="35">
        <v>46093</v>
      </c>
      <c r="C1216" s="36" t="s">
        <v>210</v>
      </c>
      <c r="D1216" s="36" t="s">
        <v>211</v>
      </c>
      <c r="E1216" s="36" t="s">
        <v>61</v>
      </c>
      <c r="F1216" s="36" t="s">
        <v>62</v>
      </c>
      <c r="G1216" s="36" t="s">
        <v>53</v>
      </c>
      <c r="H1216" s="36" t="s">
        <v>42</v>
      </c>
      <c r="I1216" s="37">
        <v>18</v>
      </c>
      <c r="J1216" s="36"/>
    </row>
    <row r="1217" spans="1:10" x14ac:dyDescent="0.35">
      <c r="A1217" s="36" t="s">
        <v>1409</v>
      </c>
      <c r="B1217" s="35">
        <v>46093</v>
      </c>
      <c r="C1217" s="36" t="s">
        <v>210</v>
      </c>
      <c r="D1217" s="36" t="s">
        <v>211</v>
      </c>
      <c r="E1217" s="36" t="s">
        <v>106</v>
      </c>
      <c r="F1217" s="36" t="s">
        <v>107</v>
      </c>
      <c r="G1217" s="36" t="s">
        <v>102</v>
      </c>
      <c r="H1217" s="36" t="s">
        <v>108</v>
      </c>
      <c r="I1217" s="37">
        <v>9</v>
      </c>
      <c r="J1217" s="36"/>
    </row>
    <row r="1218" spans="1:10" x14ac:dyDescent="0.35">
      <c r="A1218" s="36" t="s">
        <v>1410</v>
      </c>
      <c r="B1218" s="35">
        <v>46093</v>
      </c>
      <c r="C1218" s="36" t="s">
        <v>210</v>
      </c>
      <c r="D1218" s="36" t="s">
        <v>211</v>
      </c>
      <c r="E1218" s="36" t="s">
        <v>135</v>
      </c>
      <c r="F1218" s="36" t="s">
        <v>5</v>
      </c>
      <c r="G1218" s="36" t="s">
        <v>6</v>
      </c>
      <c r="H1218" s="36" t="s">
        <v>136</v>
      </c>
      <c r="I1218" s="37">
        <v>8</v>
      </c>
      <c r="J1218" s="36"/>
    </row>
    <row r="1219" spans="1:10" x14ac:dyDescent="0.35">
      <c r="A1219" s="36" t="s">
        <v>1411</v>
      </c>
      <c r="B1219" s="35">
        <v>46093</v>
      </c>
      <c r="C1219" s="36" t="s">
        <v>210</v>
      </c>
      <c r="D1219" s="36" t="s">
        <v>211</v>
      </c>
      <c r="E1219" s="36" t="s">
        <v>29</v>
      </c>
      <c r="F1219" s="36" t="s">
        <v>30</v>
      </c>
      <c r="G1219" s="36" t="s">
        <v>31</v>
      </c>
      <c r="H1219" s="36" t="s">
        <v>32</v>
      </c>
      <c r="I1219" s="37">
        <v>7</v>
      </c>
      <c r="J1219" s="36"/>
    </row>
    <row r="1220" spans="1:10" x14ac:dyDescent="0.35">
      <c r="A1220" s="36" t="s">
        <v>1412</v>
      </c>
      <c r="B1220" s="35">
        <v>46093</v>
      </c>
      <c r="C1220" s="36" t="s">
        <v>210</v>
      </c>
      <c r="D1220" s="36" t="s">
        <v>211</v>
      </c>
      <c r="E1220" s="36" t="s">
        <v>130</v>
      </c>
      <c r="F1220" s="36" t="s">
        <v>16</v>
      </c>
      <c r="G1220" s="36" t="s">
        <v>10</v>
      </c>
      <c r="H1220" s="36" t="s">
        <v>131</v>
      </c>
      <c r="I1220" s="37">
        <v>5</v>
      </c>
      <c r="J1220" s="36"/>
    </row>
    <row r="1221" spans="1:10" x14ac:dyDescent="0.35">
      <c r="A1221" s="36" t="s">
        <v>1413</v>
      </c>
      <c r="B1221" s="35">
        <v>46093</v>
      </c>
      <c r="C1221" s="36" t="s">
        <v>210</v>
      </c>
      <c r="D1221" s="36" t="s">
        <v>211</v>
      </c>
      <c r="E1221" s="36" t="s">
        <v>117</v>
      </c>
      <c r="F1221" s="36" t="s">
        <v>118</v>
      </c>
      <c r="G1221" s="36" t="s">
        <v>14</v>
      </c>
      <c r="H1221" s="36" t="s">
        <v>119</v>
      </c>
      <c r="I1221" s="37">
        <v>4</v>
      </c>
      <c r="J1221" s="36"/>
    </row>
    <row r="1222" spans="1:10" x14ac:dyDescent="0.35">
      <c r="A1222" s="36" t="s">
        <v>1414</v>
      </c>
      <c r="B1222" s="35">
        <v>46093</v>
      </c>
      <c r="C1222" s="36" t="s">
        <v>210</v>
      </c>
      <c r="D1222" s="36" t="s">
        <v>211</v>
      </c>
      <c r="E1222" s="36" t="s">
        <v>72</v>
      </c>
      <c r="F1222" s="36" t="s">
        <v>73</v>
      </c>
      <c r="G1222" s="36" t="s">
        <v>74</v>
      </c>
      <c r="H1222" s="36" t="s">
        <v>75</v>
      </c>
      <c r="I1222" s="37">
        <v>6</v>
      </c>
      <c r="J1222" s="36"/>
    </row>
    <row r="1223" spans="1:10" x14ac:dyDescent="0.35">
      <c r="A1223" s="36" t="s">
        <v>1415</v>
      </c>
      <c r="B1223" s="35">
        <v>46093</v>
      </c>
      <c r="C1223" s="36" t="s">
        <v>210</v>
      </c>
      <c r="D1223" s="36" t="s">
        <v>211</v>
      </c>
      <c r="E1223" s="36" t="s">
        <v>120</v>
      </c>
      <c r="F1223" s="36" t="s">
        <v>121</v>
      </c>
      <c r="G1223" s="36" t="s">
        <v>14</v>
      </c>
      <c r="H1223" s="36" t="s">
        <v>119</v>
      </c>
      <c r="I1223" s="37">
        <v>4</v>
      </c>
      <c r="J1223" s="36"/>
    </row>
    <row r="1224" spans="1:10" x14ac:dyDescent="0.35">
      <c r="A1224" s="36" t="s">
        <v>1416</v>
      </c>
      <c r="B1224" s="35">
        <v>46093</v>
      </c>
      <c r="C1224" s="36" t="s">
        <v>210</v>
      </c>
      <c r="D1224" s="36" t="s">
        <v>211</v>
      </c>
      <c r="E1224" s="36" t="s">
        <v>78</v>
      </c>
      <c r="F1224" s="36" t="s">
        <v>79</v>
      </c>
      <c r="G1224" s="36" t="s">
        <v>74</v>
      </c>
      <c r="H1224" s="36" t="s">
        <v>80</v>
      </c>
      <c r="I1224" s="37">
        <v>11</v>
      </c>
      <c r="J1224" s="36"/>
    </row>
    <row r="1225" spans="1:10" x14ac:dyDescent="0.35">
      <c r="A1225" s="36" t="s">
        <v>1417</v>
      </c>
      <c r="B1225" s="35">
        <v>46093</v>
      </c>
      <c r="C1225" s="36" t="s">
        <v>298</v>
      </c>
      <c r="D1225" s="36" t="s">
        <v>299</v>
      </c>
      <c r="E1225" s="36" t="s">
        <v>111</v>
      </c>
      <c r="F1225" s="36" t="s">
        <v>112</v>
      </c>
      <c r="G1225" s="36" t="s">
        <v>102</v>
      </c>
      <c r="H1225" s="36" t="s">
        <v>113</v>
      </c>
      <c r="I1225" s="37">
        <v>6</v>
      </c>
      <c r="J1225" s="36"/>
    </row>
    <row r="1226" spans="1:10" x14ac:dyDescent="0.35">
      <c r="A1226" s="36" t="s">
        <v>1418</v>
      </c>
      <c r="B1226" s="35">
        <v>46093</v>
      </c>
      <c r="C1226" s="36" t="s">
        <v>298</v>
      </c>
      <c r="D1226" s="36" t="s">
        <v>299</v>
      </c>
      <c r="E1226" s="36" t="s">
        <v>46</v>
      </c>
      <c r="F1226" s="36" t="s">
        <v>47</v>
      </c>
      <c r="G1226" s="36" t="s">
        <v>31</v>
      </c>
      <c r="H1226" s="36" t="s">
        <v>42</v>
      </c>
      <c r="I1226" s="37">
        <v>7</v>
      </c>
      <c r="J1226" s="36"/>
    </row>
    <row r="1227" spans="1:10" x14ac:dyDescent="0.35">
      <c r="A1227" s="36" t="s">
        <v>1419</v>
      </c>
      <c r="B1227" s="35">
        <v>46093</v>
      </c>
      <c r="C1227" s="36" t="s">
        <v>298</v>
      </c>
      <c r="D1227" s="36" t="s">
        <v>299</v>
      </c>
      <c r="E1227" s="36" t="s">
        <v>157</v>
      </c>
      <c r="F1227" s="36" t="s">
        <v>158</v>
      </c>
      <c r="G1227" s="36" t="s">
        <v>159</v>
      </c>
      <c r="H1227" s="36" t="s">
        <v>160</v>
      </c>
      <c r="I1227" s="37">
        <v>1</v>
      </c>
      <c r="J1227" s="36"/>
    </row>
    <row r="1228" spans="1:10" x14ac:dyDescent="0.35">
      <c r="A1228" s="36" t="s">
        <v>1420</v>
      </c>
      <c r="B1228" s="35">
        <v>46093</v>
      </c>
      <c r="C1228" s="36" t="s">
        <v>298</v>
      </c>
      <c r="D1228" s="36" t="s">
        <v>299</v>
      </c>
      <c r="E1228" s="36" t="s">
        <v>137</v>
      </c>
      <c r="F1228" s="36" t="s">
        <v>15</v>
      </c>
      <c r="G1228" s="36" t="s">
        <v>6</v>
      </c>
      <c r="H1228" s="36" t="s">
        <v>136</v>
      </c>
      <c r="I1228" s="37">
        <v>4</v>
      </c>
      <c r="J1228" s="36"/>
    </row>
    <row r="1229" spans="1:10" x14ac:dyDescent="0.35">
      <c r="A1229" s="36" t="s">
        <v>1421</v>
      </c>
      <c r="B1229" s="35">
        <v>46093</v>
      </c>
      <c r="C1229" s="36" t="s">
        <v>298</v>
      </c>
      <c r="D1229" s="36" t="s">
        <v>299</v>
      </c>
      <c r="E1229" s="36" t="s">
        <v>156</v>
      </c>
      <c r="F1229" s="36" t="s">
        <v>11</v>
      </c>
      <c r="G1229" s="36" t="s">
        <v>12</v>
      </c>
      <c r="H1229" s="36" t="s">
        <v>155</v>
      </c>
      <c r="I1229" s="37">
        <v>2</v>
      </c>
      <c r="J1229" s="36"/>
    </row>
    <row r="1230" spans="1:10" x14ac:dyDescent="0.35">
      <c r="A1230" s="36" t="s">
        <v>1422</v>
      </c>
      <c r="B1230" s="35">
        <v>46093</v>
      </c>
      <c r="C1230" s="36" t="s">
        <v>298</v>
      </c>
      <c r="D1230" s="36" t="s">
        <v>299</v>
      </c>
      <c r="E1230" s="36" t="s">
        <v>72</v>
      </c>
      <c r="F1230" s="36" t="s">
        <v>73</v>
      </c>
      <c r="G1230" s="36" t="s">
        <v>74</v>
      </c>
      <c r="H1230" s="36" t="s">
        <v>75</v>
      </c>
      <c r="I1230" s="37">
        <v>2</v>
      </c>
      <c r="J1230" s="36"/>
    </row>
    <row r="1231" spans="1:10" x14ac:dyDescent="0.35">
      <c r="A1231" s="36" t="s">
        <v>1423</v>
      </c>
      <c r="B1231" s="35">
        <v>46093</v>
      </c>
      <c r="C1231" s="36" t="s">
        <v>298</v>
      </c>
      <c r="D1231" s="36" t="s">
        <v>299</v>
      </c>
      <c r="E1231" s="36" t="s">
        <v>138</v>
      </c>
      <c r="F1231" s="36" t="s">
        <v>139</v>
      </c>
      <c r="G1231" s="36" t="s">
        <v>6</v>
      </c>
      <c r="H1231" s="36" t="s">
        <v>140</v>
      </c>
      <c r="I1231" s="37">
        <v>2</v>
      </c>
      <c r="J1231" s="36"/>
    </row>
    <row r="1232" spans="1:10" x14ac:dyDescent="0.35">
      <c r="A1232" s="36" t="s">
        <v>1424</v>
      </c>
      <c r="B1232" s="35">
        <v>46099</v>
      </c>
      <c r="C1232" s="36" t="s">
        <v>190</v>
      </c>
      <c r="D1232" s="36" t="s">
        <v>191</v>
      </c>
      <c r="E1232" s="36" t="s">
        <v>117</v>
      </c>
      <c r="F1232" s="36" t="s">
        <v>118</v>
      </c>
      <c r="G1232" s="36" t="s">
        <v>14</v>
      </c>
      <c r="H1232" s="36" t="s">
        <v>119</v>
      </c>
      <c r="I1232" s="37">
        <v>4</v>
      </c>
      <c r="J1232" s="36"/>
    </row>
    <row r="1233" spans="1:10" x14ac:dyDescent="0.35">
      <c r="A1233" s="36" t="s">
        <v>1425</v>
      </c>
      <c r="B1233" s="35">
        <v>46099</v>
      </c>
      <c r="C1233" s="36" t="s">
        <v>190</v>
      </c>
      <c r="D1233" s="36" t="s">
        <v>191</v>
      </c>
      <c r="E1233" s="36" t="s">
        <v>157</v>
      </c>
      <c r="F1233" s="36" t="s">
        <v>158</v>
      </c>
      <c r="G1233" s="36" t="s">
        <v>159</v>
      </c>
      <c r="H1233" s="36" t="s">
        <v>160</v>
      </c>
      <c r="I1233" s="37">
        <v>6</v>
      </c>
      <c r="J1233" s="36"/>
    </row>
    <row r="1234" spans="1:10" x14ac:dyDescent="0.35">
      <c r="A1234" s="36" t="s">
        <v>1426</v>
      </c>
      <c r="B1234" s="35">
        <v>46099</v>
      </c>
      <c r="C1234" s="36" t="s">
        <v>190</v>
      </c>
      <c r="D1234" s="36" t="s">
        <v>191</v>
      </c>
      <c r="E1234" s="36" t="s">
        <v>104</v>
      </c>
      <c r="F1234" s="36" t="s">
        <v>105</v>
      </c>
      <c r="G1234" s="36" t="s">
        <v>102</v>
      </c>
      <c r="H1234" s="36" t="s">
        <v>103</v>
      </c>
      <c r="I1234" s="37">
        <v>18</v>
      </c>
      <c r="J1234" s="36"/>
    </row>
    <row r="1235" spans="1:10" x14ac:dyDescent="0.35">
      <c r="A1235" s="36" t="s">
        <v>1427</v>
      </c>
      <c r="B1235" s="35">
        <v>46099</v>
      </c>
      <c r="C1235" s="36" t="s">
        <v>190</v>
      </c>
      <c r="D1235" s="36" t="s">
        <v>191</v>
      </c>
      <c r="E1235" s="36" t="s">
        <v>97</v>
      </c>
      <c r="F1235" s="36" t="s">
        <v>98</v>
      </c>
      <c r="G1235" s="36" t="s">
        <v>93</v>
      </c>
      <c r="H1235" s="36" t="s">
        <v>99</v>
      </c>
      <c r="I1235" s="37">
        <v>14</v>
      </c>
      <c r="J1235" s="36"/>
    </row>
    <row r="1236" spans="1:10" x14ac:dyDescent="0.35">
      <c r="A1236" s="36" t="s">
        <v>1428</v>
      </c>
      <c r="B1236" s="35">
        <v>46099</v>
      </c>
      <c r="C1236" s="36" t="s">
        <v>190</v>
      </c>
      <c r="D1236" s="36" t="s">
        <v>191</v>
      </c>
      <c r="E1236" s="36" t="s">
        <v>72</v>
      </c>
      <c r="F1236" s="36" t="s">
        <v>73</v>
      </c>
      <c r="G1236" s="36" t="s">
        <v>74</v>
      </c>
      <c r="H1236" s="36" t="s">
        <v>75</v>
      </c>
      <c r="I1236" s="37">
        <v>9</v>
      </c>
      <c r="J1236" s="36"/>
    </row>
    <row r="1237" spans="1:10" x14ac:dyDescent="0.35">
      <c r="A1237" s="36" t="s">
        <v>1429</v>
      </c>
      <c r="B1237" s="35">
        <v>46099</v>
      </c>
      <c r="C1237" s="36" t="s">
        <v>190</v>
      </c>
      <c r="D1237" s="36" t="s">
        <v>191</v>
      </c>
      <c r="E1237" s="36" t="s">
        <v>144</v>
      </c>
      <c r="F1237" s="36" t="s">
        <v>7</v>
      </c>
      <c r="G1237" s="36" t="s">
        <v>8</v>
      </c>
      <c r="H1237" s="36" t="s">
        <v>145</v>
      </c>
      <c r="I1237" s="37">
        <v>7</v>
      </c>
      <c r="J1237" s="36"/>
    </row>
    <row r="1238" spans="1:10" x14ac:dyDescent="0.35">
      <c r="A1238" s="36" t="s">
        <v>1430</v>
      </c>
      <c r="B1238" s="35">
        <v>46099</v>
      </c>
      <c r="C1238" s="36" t="s">
        <v>190</v>
      </c>
      <c r="D1238" s="36" t="s">
        <v>191</v>
      </c>
      <c r="E1238" s="36" t="s">
        <v>109</v>
      </c>
      <c r="F1238" s="36" t="s">
        <v>110</v>
      </c>
      <c r="G1238" s="36" t="s">
        <v>102</v>
      </c>
      <c r="H1238" s="36" t="s">
        <v>42</v>
      </c>
      <c r="I1238" s="37">
        <v>21</v>
      </c>
      <c r="J1238" s="36"/>
    </row>
    <row r="1239" spans="1:10" x14ac:dyDescent="0.35">
      <c r="A1239" s="36" t="s">
        <v>1431</v>
      </c>
      <c r="B1239" s="35">
        <v>46099</v>
      </c>
      <c r="C1239" s="36" t="s">
        <v>210</v>
      </c>
      <c r="D1239" s="36" t="s">
        <v>211</v>
      </c>
      <c r="E1239" s="36" t="s">
        <v>59</v>
      </c>
      <c r="F1239" s="36" t="s">
        <v>60</v>
      </c>
      <c r="G1239" s="36" t="s">
        <v>53</v>
      </c>
      <c r="H1239" s="36" t="s">
        <v>56</v>
      </c>
      <c r="I1239" s="37">
        <v>13</v>
      </c>
      <c r="J1239" s="36"/>
    </row>
    <row r="1240" spans="1:10" x14ac:dyDescent="0.35">
      <c r="A1240" s="36" t="s">
        <v>1432</v>
      </c>
      <c r="B1240" s="35">
        <v>46099</v>
      </c>
      <c r="C1240" s="36" t="s">
        <v>210</v>
      </c>
      <c r="D1240" s="36" t="s">
        <v>211</v>
      </c>
      <c r="E1240" s="36" t="s">
        <v>111</v>
      </c>
      <c r="F1240" s="36" t="s">
        <v>112</v>
      </c>
      <c r="G1240" s="36" t="s">
        <v>102</v>
      </c>
      <c r="H1240" s="36" t="s">
        <v>113</v>
      </c>
      <c r="I1240" s="37">
        <v>12</v>
      </c>
      <c r="J1240" s="36"/>
    </row>
    <row r="1241" spans="1:10" x14ac:dyDescent="0.35">
      <c r="A1241" s="36" t="s">
        <v>1433</v>
      </c>
      <c r="B1241" s="35">
        <v>46099</v>
      </c>
      <c r="C1241" s="36" t="s">
        <v>210</v>
      </c>
      <c r="D1241" s="36" t="s">
        <v>211</v>
      </c>
      <c r="E1241" s="36" t="s">
        <v>100</v>
      </c>
      <c r="F1241" s="36" t="s">
        <v>101</v>
      </c>
      <c r="G1241" s="36" t="s">
        <v>102</v>
      </c>
      <c r="H1241" s="36" t="s">
        <v>103</v>
      </c>
      <c r="I1241" s="37">
        <v>12</v>
      </c>
      <c r="J1241" s="36"/>
    </row>
    <row r="1242" spans="1:10" x14ac:dyDescent="0.35">
      <c r="A1242" s="36" t="s">
        <v>1434</v>
      </c>
      <c r="B1242" s="35">
        <v>46099</v>
      </c>
      <c r="C1242" s="36" t="s">
        <v>210</v>
      </c>
      <c r="D1242" s="36" t="s">
        <v>211</v>
      </c>
      <c r="E1242" s="36" t="s">
        <v>114</v>
      </c>
      <c r="F1242" s="36" t="s">
        <v>13</v>
      </c>
      <c r="G1242" s="36" t="s">
        <v>14</v>
      </c>
      <c r="H1242" s="36" t="s">
        <v>115</v>
      </c>
      <c r="I1242" s="37">
        <v>2</v>
      </c>
      <c r="J1242" s="36"/>
    </row>
    <row r="1243" spans="1:10" x14ac:dyDescent="0.35">
      <c r="A1243" s="36" t="s">
        <v>1435</v>
      </c>
      <c r="B1243" s="35">
        <v>46099</v>
      </c>
      <c r="C1243" s="36" t="s">
        <v>210</v>
      </c>
      <c r="D1243" s="36" t="s">
        <v>211</v>
      </c>
      <c r="E1243" s="36" t="s">
        <v>83</v>
      </c>
      <c r="F1243" s="36" t="s">
        <v>84</v>
      </c>
      <c r="G1243" s="36" t="s">
        <v>74</v>
      </c>
      <c r="H1243" s="36" t="s">
        <v>85</v>
      </c>
      <c r="I1243" s="37">
        <v>9</v>
      </c>
      <c r="J1243" s="36"/>
    </row>
    <row r="1244" spans="1:10" x14ac:dyDescent="0.35">
      <c r="A1244" s="36" t="s">
        <v>1436</v>
      </c>
      <c r="B1244" s="35">
        <v>46103</v>
      </c>
      <c r="C1244" s="36" t="s">
        <v>210</v>
      </c>
      <c r="D1244" s="36" t="s">
        <v>211</v>
      </c>
      <c r="E1244" s="36" t="s">
        <v>120</v>
      </c>
      <c r="F1244" s="36" t="s">
        <v>121</v>
      </c>
      <c r="G1244" s="36" t="s">
        <v>14</v>
      </c>
      <c r="H1244" s="36" t="s">
        <v>119</v>
      </c>
      <c r="I1244" s="37">
        <v>4</v>
      </c>
      <c r="J1244" s="36"/>
    </row>
    <row r="1245" spans="1:10" x14ac:dyDescent="0.35">
      <c r="A1245" s="36" t="s">
        <v>1437</v>
      </c>
      <c r="B1245" s="35">
        <v>46103</v>
      </c>
      <c r="C1245" s="36" t="s">
        <v>210</v>
      </c>
      <c r="D1245" s="36" t="s">
        <v>211</v>
      </c>
      <c r="E1245" s="36" t="s">
        <v>114</v>
      </c>
      <c r="F1245" s="36" t="s">
        <v>13</v>
      </c>
      <c r="G1245" s="36" t="s">
        <v>14</v>
      </c>
      <c r="H1245" s="36" t="s">
        <v>115</v>
      </c>
      <c r="I1245" s="37">
        <v>4</v>
      </c>
      <c r="J1245" s="36"/>
    </row>
    <row r="1246" spans="1:10" x14ac:dyDescent="0.35">
      <c r="A1246" s="36" t="s">
        <v>1438</v>
      </c>
      <c r="B1246" s="35">
        <v>46103</v>
      </c>
      <c r="C1246" s="36" t="s">
        <v>210</v>
      </c>
      <c r="D1246" s="36" t="s">
        <v>211</v>
      </c>
      <c r="E1246" s="36" t="s">
        <v>130</v>
      </c>
      <c r="F1246" s="36" t="s">
        <v>16</v>
      </c>
      <c r="G1246" s="36" t="s">
        <v>10</v>
      </c>
      <c r="H1246" s="36" t="s">
        <v>131</v>
      </c>
      <c r="I1246" s="37">
        <v>5</v>
      </c>
      <c r="J1246" s="36"/>
    </row>
    <row r="1247" spans="1:10" x14ac:dyDescent="0.35">
      <c r="A1247" s="36" t="s">
        <v>1439</v>
      </c>
      <c r="B1247" s="35">
        <v>46103</v>
      </c>
      <c r="C1247" s="36" t="s">
        <v>210</v>
      </c>
      <c r="D1247" s="36" t="s">
        <v>211</v>
      </c>
      <c r="E1247" s="36" t="s">
        <v>153</v>
      </c>
      <c r="F1247" s="36" t="s">
        <v>154</v>
      </c>
      <c r="G1247" s="36" t="s">
        <v>12</v>
      </c>
      <c r="H1247" s="36" t="s">
        <v>155</v>
      </c>
      <c r="I1247" s="37">
        <v>2</v>
      </c>
      <c r="J1247" s="36"/>
    </row>
    <row r="1248" spans="1:10" x14ac:dyDescent="0.35">
      <c r="A1248" s="36" t="s">
        <v>1440</v>
      </c>
      <c r="B1248" s="35">
        <v>46103</v>
      </c>
      <c r="C1248" s="36" t="s">
        <v>210</v>
      </c>
      <c r="D1248" s="36" t="s">
        <v>211</v>
      </c>
      <c r="E1248" s="36" t="s">
        <v>88</v>
      </c>
      <c r="F1248" s="36" t="s">
        <v>89</v>
      </c>
      <c r="G1248" s="36" t="s">
        <v>74</v>
      </c>
      <c r="H1248" s="36" t="s">
        <v>90</v>
      </c>
      <c r="I1248" s="37">
        <v>8</v>
      </c>
      <c r="J1248" s="36"/>
    </row>
    <row r="1249" spans="1:10" x14ac:dyDescent="0.35">
      <c r="A1249" s="36" t="s">
        <v>1441</v>
      </c>
      <c r="B1249" s="35">
        <v>46103</v>
      </c>
      <c r="C1249" s="36" t="s">
        <v>210</v>
      </c>
      <c r="D1249" s="36" t="s">
        <v>211</v>
      </c>
      <c r="E1249" s="36" t="s">
        <v>104</v>
      </c>
      <c r="F1249" s="36" t="s">
        <v>105</v>
      </c>
      <c r="G1249" s="36" t="s">
        <v>102</v>
      </c>
      <c r="H1249" s="36" t="s">
        <v>103</v>
      </c>
      <c r="I1249" s="37">
        <v>6</v>
      </c>
      <c r="J1249" s="36"/>
    </row>
    <row r="1250" spans="1:10" x14ac:dyDescent="0.35">
      <c r="A1250" s="36" t="s">
        <v>1442</v>
      </c>
      <c r="B1250" s="35">
        <v>46103</v>
      </c>
      <c r="C1250" s="36" t="s">
        <v>210</v>
      </c>
      <c r="D1250" s="36" t="s">
        <v>211</v>
      </c>
      <c r="E1250" s="36" t="s">
        <v>91</v>
      </c>
      <c r="F1250" s="36" t="s">
        <v>92</v>
      </c>
      <c r="G1250" s="36" t="s">
        <v>93</v>
      </c>
      <c r="H1250" s="36" t="s">
        <v>85</v>
      </c>
      <c r="I1250" s="37">
        <v>5</v>
      </c>
      <c r="J1250" s="36"/>
    </row>
    <row r="1251" spans="1:10" x14ac:dyDescent="0.35">
      <c r="A1251" s="36" t="s">
        <v>1443</v>
      </c>
      <c r="B1251" s="35">
        <v>46103</v>
      </c>
      <c r="C1251" s="36" t="s">
        <v>210</v>
      </c>
      <c r="D1251" s="36" t="s">
        <v>211</v>
      </c>
      <c r="E1251" s="36" t="s">
        <v>81</v>
      </c>
      <c r="F1251" s="36" t="s">
        <v>82</v>
      </c>
      <c r="G1251" s="36" t="s">
        <v>74</v>
      </c>
      <c r="H1251" s="36" t="s">
        <v>80</v>
      </c>
      <c r="I1251" s="37">
        <v>12</v>
      </c>
      <c r="J1251" s="36"/>
    </row>
    <row r="1252" spans="1:10" x14ac:dyDescent="0.35">
      <c r="A1252" s="36" t="s">
        <v>1444</v>
      </c>
      <c r="B1252" s="35">
        <v>46103</v>
      </c>
      <c r="C1252" s="36" t="s">
        <v>210</v>
      </c>
      <c r="D1252" s="36" t="s">
        <v>211</v>
      </c>
      <c r="E1252" s="36" t="s">
        <v>144</v>
      </c>
      <c r="F1252" s="36" t="s">
        <v>7</v>
      </c>
      <c r="G1252" s="36" t="s">
        <v>8</v>
      </c>
      <c r="H1252" s="36" t="s">
        <v>145</v>
      </c>
      <c r="I1252" s="37">
        <v>7</v>
      </c>
      <c r="J1252" s="36"/>
    </row>
    <row r="1253" spans="1:10" x14ac:dyDescent="0.35">
      <c r="A1253" s="36" t="s">
        <v>1445</v>
      </c>
      <c r="B1253" s="35">
        <v>46103</v>
      </c>
      <c r="C1253" s="36" t="s">
        <v>210</v>
      </c>
      <c r="D1253" s="36" t="s">
        <v>211</v>
      </c>
      <c r="E1253" s="36" t="s">
        <v>59</v>
      </c>
      <c r="F1253" s="36" t="s">
        <v>60</v>
      </c>
      <c r="G1253" s="36" t="s">
        <v>53</v>
      </c>
      <c r="H1253" s="36" t="s">
        <v>56</v>
      </c>
      <c r="I1253" s="37">
        <v>14</v>
      </c>
      <c r="J1253" s="36"/>
    </row>
    <row r="1254" spans="1:10" x14ac:dyDescent="0.35">
      <c r="A1254" s="36" t="s">
        <v>1446</v>
      </c>
      <c r="B1254" s="35">
        <v>46103</v>
      </c>
      <c r="C1254" s="36" t="s">
        <v>210</v>
      </c>
      <c r="D1254" s="36" t="s">
        <v>211</v>
      </c>
      <c r="E1254" s="36" t="s">
        <v>37</v>
      </c>
      <c r="F1254" s="36" t="s">
        <v>38</v>
      </c>
      <c r="G1254" s="36" t="s">
        <v>31</v>
      </c>
      <c r="H1254" s="36" t="s">
        <v>39</v>
      </c>
      <c r="I1254" s="37">
        <v>9</v>
      </c>
      <c r="J1254" s="36"/>
    </row>
    <row r="1255" spans="1:10" x14ac:dyDescent="0.35">
      <c r="A1255" s="36" t="s">
        <v>1447</v>
      </c>
      <c r="B1255" s="35">
        <v>46103</v>
      </c>
      <c r="C1255" s="36" t="s">
        <v>210</v>
      </c>
      <c r="D1255" s="36" t="s">
        <v>211</v>
      </c>
      <c r="E1255" s="36" t="s">
        <v>135</v>
      </c>
      <c r="F1255" s="36" t="s">
        <v>5</v>
      </c>
      <c r="G1255" s="36" t="s">
        <v>6</v>
      </c>
      <c r="H1255" s="36" t="s">
        <v>136</v>
      </c>
      <c r="I1255" s="37">
        <v>5</v>
      </c>
      <c r="J1255" s="36"/>
    </row>
    <row r="1256" spans="1:10" x14ac:dyDescent="0.35">
      <c r="A1256" s="36" t="s">
        <v>1448</v>
      </c>
      <c r="B1256" s="35">
        <v>46103</v>
      </c>
      <c r="C1256" s="36" t="s">
        <v>298</v>
      </c>
      <c r="D1256" s="36" t="s">
        <v>299</v>
      </c>
      <c r="E1256" s="36" t="s">
        <v>54</v>
      </c>
      <c r="F1256" s="36" t="s">
        <v>55</v>
      </c>
      <c r="G1256" s="36" t="s">
        <v>53</v>
      </c>
      <c r="H1256" s="36" t="s">
        <v>56</v>
      </c>
      <c r="I1256" s="37">
        <v>10</v>
      </c>
      <c r="J1256" s="36"/>
    </row>
    <row r="1257" spans="1:10" x14ac:dyDescent="0.35">
      <c r="A1257" s="36" t="s">
        <v>1449</v>
      </c>
      <c r="B1257" s="35">
        <v>46103</v>
      </c>
      <c r="C1257" s="36" t="s">
        <v>298</v>
      </c>
      <c r="D1257" s="36" t="s">
        <v>299</v>
      </c>
      <c r="E1257" s="36" t="s">
        <v>137</v>
      </c>
      <c r="F1257" s="36" t="s">
        <v>15</v>
      </c>
      <c r="G1257" s="36" t="s">
        <v>6</v>
      </c>
      <c r="H1257" s="36" t="s">
        <v>136</v>
      </c>
      <c r="I1257" s="37">
        <v>4</v>
      </c>
      <c r="J1257" s="36"/>
    </row>
    <row r="1258" spans="1:10" x14ac:dyDescent="0.35">
      <c r="A1258" s="36" t="s">
        <v>1450</v>
      </c>
      <c r="B1258" s="35">
        <v>46103</v>
      </c>
      <c r="C1258" s="36" t="s">
        <v>298</v>
      </c>
      <c r="D1258" s="36" t="s">
        <v>299</v>
      </c>
      <c r="E1258" s="36" t="s">
        <v>78</v>
      </c>
      <c r="F1258" s="36" t="s">
        <v>79</v>
      </c>
      <c r="G1258" s="36" t="s">
        <v>74</v>
      </c>
      <c r="H1258" s="36" t="s">
        <v>80</v>
      </c>
      <c r="I1258" s="37">
        <v>3</v>
      </c>
      <c r="J1258" s="36"/>
    </row>
    <row r="1259" spans="1:10" x14ac:dyDescent="0.35">
      <c r="A1259" s="36" t="s">
        <v>1451</v>
      </c>
      <c r="B1259" s="35">
        <v>46103</v>
      </c>
      <c r="C1259" s="36" t="s">
        <v>298</v>
      </c>
      <c r="D1259" s="36" t="s">
        <v>299</v>
      </c>
      <c r="E1259" s="36" t="s">
        <v>156</v>
      </c>
      <c r="F1259" s="36" t="s">
        <v>11</v>
      </c>
      <c r="G1259" s="36" t="s">
        <v>12</v>
      </c>
      <c r="H1259" s="36" t="s">
        <v>155</v>
      </c>
      <c r="I1259" s="37">
        <v>1</v>
      </c>
      <c r="J1259" s="36"/>
    </row>
    <row r="1260" spans="1:10" x14ac:dyDescent="0.35">
      <c r="A1260" s="36" t="s">
        <v>1452</v>
      </c>
      <c r="B1260" s="35">
        <v>46103</v>
      </c>
      <c r="C1260" s="36" t="s">
        <v>298</v>
      </c>
      <c r="D1260" s="36" t="s">
        <v>299</v>
      </c>
      <c r="E1260" s="36" t="s">
        <v>76</v>
      </c>
      <c r="F1260" s="36" t="s">
        <v>77</v>
      </c>
      <c r="G1260" s="36" t="s">
        <v>74</v>
      </c>
      <c r="H1260" s="36" t="s">
        <v>75</v>
      </c>
      <c r="I1260" s="37">
        <v>2</v>
      </c>
      <c r="J1260" s="36"/>
    </row>
    <row r="1261" spans="1:10" x14ac:dyDescent="0.35">
      <c r="A1261" s="36" t="s">
        <v>1453</v>
      </c>
      <c r="B1261" s="35">
        <v>46103</v>
      </c>
      <c r="C1261" s="36" t="s">
        <v>298</v>
      </c>
      <c r="D1261" s="36" t="s">
        <v>299</v>
      </c>
      <c r="E1261" s="36" t="s">
        <v>29</v>
      </c>
      <c r="F1261" s="36" t="s">
        <v>30</v>
      </c>
      <c r="G1261" s="36" t="s">
        <v>31</v>
      </c>
      <c r="H1261" s="36" t="s">
        <v>32</v>
      </c>
      <c r="I1261" s="37">
        <v>6</v>
      </c>
      <c r="J1261" s="36"/>
    </row>
    <row r="1262" spans="1:10" x14ac:dyDescent="0.35">
      <c r="A1262" s="36" t="s">
        <v>1454</v>
      </c>
      <c r="B1262" s="35">
        <v>46103</v>
      </c>
      <c r="C1262" s="36" t="s">
        <v>298</v>
      </c>
      <c r="D1262" s="36" t="s">
        <v>299</v>
      </c>
      <c r="E1262" s="36" t="s">
        <v>51</v>
      </c>
      <c r="F1262" s="36" t="s">
        <v>52</v>
      </c>
      <c r="G1262" s="36" t="s">
        <v>53</v>
      </c>
      <c r="H1262" s="36" t="s">
        <v>42</v>
      </c>
      <c r="I1262" s="37">
        <v>5</v>
      </c>
      <c r="J1262" s="36"/>
    </row>
    <row r="1263" spans="1:10" x14ac:dyDescent="0.35">
      <c r="A1263" s="36" t="s">
        <v>1455</v>
      </c>
      <c r="B1263" s="35">
        <v>46103</v>
      </c>
      <c r="C1263" s="36" t="s">
        <v>298</v>
      </c>
      <c r="D1263" s="36" t="s">
        <v>299</v>
      </c>
      <c r="E1263" s="36" t="s">
        <v>135</v>
      </c>
      <c r="F1263" s="36" t="s">
        <v>5</v>
      </c>
      <c r="G1263" s="36" t="s">
        <v>6</v>
      </c>
      <c r="H1263" s="36" t="s">
        <v>136</v>
      </c>
      <c r="I1263" s="37">
        <v>2</v>
      </c>
      <c r="J1263" s="36"/>
    </row>
    <row r="1264" spans="1:10" x14ac:dyDescent="0.35">
      <c r="A1264" s="36" t="s">
        <v>1456</v>
      </c>
      <c r="B1264" s="35">
        <v>46103</v>
      </c>
      <c r="C1264" s="36" t="s">
        <v>298</v>
      </c>
      <c r="D1264" s="36" t="s">
        <v>299</v>
      </c>
      <c r="E1264" s="36" t="s">
        <v>61</v>
      </c>
      <c r="F1264" s="36" t="s">
        <v>62</v>
      </c>
      <c r="G1264" s="36" t="s">
        <v>53</v>
      </c>
      <c r="H1264" s="36" t="s">
        <v>42</v>
      </c>
      <c r="I1264" s="37">
        <v>7</v>
      </c>
      <c r="J1264" s="36"/>
    </row>
    <row r="1265" spans="1:10" x14ac:dyDescent="0.35">
      <c r="A1265" s="36" t="s">
        <v>1457</v>
      </c>
      <c r="B1265" s="35">
        <v>46106</v>
      </c>
      <c r="C1265" s="36" t="s">
        <v>298</v>
      </c>
      <c r="D1265" s="36" t="s">
        <v>299</v>
      </c>
      <c r="E1265" s="36" t="s">
        <v>76</v>
      </c>
      <c r="F1265" s="36" t="s">
        <v>77</v>
      </c>
      <c r="G1265" s="36" t="s">
        <v>74</v>
      </c>
      <c r="H1265" s="36" t="s">
        <v>75</v>
      </c>
      <c r="I1265" s="37">
        <v>4</v>
      </c>
      <c r="J1265" s="36"/>
    </row>
    <row r="1266" spans="1:10" x14ac:dyDescent="0.35">
      <c r="A1266" s="36" t="s">
        <v>1458</v>
      </c>
      <c r="B1266" s="35">
        <v>46106</v>
      </c>
      <c r="C1266" s="36" t="s">
        <v>298</v>
      </c>
      <c r="D1266" s="36" t="s">
        <v>299</v>
      </c>
      <c r="E1266" s="36" t="s">
        <v>59</v>
      </c>
      <c r="F1266" s="36" t="s">
        <v>60</v>
      </c>
      <c r="G1266" s="36" t="s">
        <v>53</v>
      </c>
      <c r="H1266" s="36" t="s">
        <v>56</v>
      </c>
      <c r="I1266" s="37">
        <v>6</v>
      </c>
      <c r="J1266" s="36"/>
    </row>
    <row r="1267" spans="1:10" x14ac:dyDescent="0.35">
      <c r="A1267" s="36" t="s">
        <v>1459</v>
      </c>
      <c r="B1267" s="35">
        <v>46106</v>
      </c>
      <c r="C1267" s="36" t="s">
        <v>298</v>
      </c>
      <c r="D1267" s="36" t="s">
        <v>299</v>
      </c>
      <c r="E1267" s="36" t="s">
        <v>43</v>
      </c>
      <c r="F1267" s="36" t="s">
        <v>44</v>
      </c>
      <c r="G1267" s="36" t="s">
        <v>31</v>
      </c>
      <c r="H1267" s="36" t="s">
        <v>42</v>
      </c>
      <c r="I1267" s="37">
        <v>5</v>
      </c>
      <c r="J1267" s="36"/>
    </row>
    <row r="1268" spans="1:10" x14ac:dyDescent="0.35">
      <c r="A1268" s="36" t="s">
        <v>1460</v>
      </c>
      <c r="B1268" s="35">
        <v>46106</v>
      </c>
      <c r="C1268" s="36" t="s">
        <v>298</v>
      </c>
      <c r="D1268" s="36" t="s">
        <v>299</v>
      </c>
      <c r="E1268" s="36" t="s">
        <v>78</v>
      </c>
      <c r="F1268" s="36" t="s">
        <v>79</v>
      </c>
      <c r="G1268" s="36" t="s">
        <v>74</v>
      </c>
      <c r="H1268" s="36" t="s">
        <v>80</v>
      </c>
      <c r="I1268" s="37">
        <v>3</v>
      </c>
      <c r="J1268" s="36"/>
    </row>
    <row r="1269" spans="1:10" x14ac:dyDescent="0.35">
      <c r="A1269" s="36" t="s">
        <v>1461</v>
      </c>
      <c r="B1269" s="35">
        <v>46106</v>
      </c>
      <c r="C1269" s="36" t="s">
        <v>298</v>
      </c>
      <c r="D1269" s="36" t="s">
        <v>299</v>
      </c>
      <c r="E1269" s="36" t="s">
        <v>40</v>
      </c>
      <c r="F1269" s="36" t="s">
        <v>41</v>
      </c>
      <c r="G1269" s="36" t="s">
        <v>31</v>
      </c>
      <c r="H1269" s="36" t="s">
        <v>42</v>
      </c>
      <c r="I1269" s="37">
        <v>7</v>
      </c>
      <c r="J1269" s="36"/>
    </row>
    <row r="1270" spans="1:10" x14ac:dyDescent="0.35">
      <c r="A1270" s="36" t="s">
        <v>1462</v>
      </c>
      <c r="B1270" s="35">
        <v>46106</v>
      </c>
      <c r="C1270" s="36" t="s">
        <v>298</v>
      </c>
      <c r="D1270" s="36" t="s">
        <v>299</v>
      </c>
      <c r="E1270" s="36" t="s">
        <v>97</v>
      </c>
      <c r="F1270" s="36" t="s">
        <v>98</v>
      </c>
      <c r="G1270" s="36" t="s">
        <v>93</v>
      </c>
      <c r="H1270" s="36" t="s">
        <v>99</v>
      </c>
      <c r="I1270" s="37">
        <v>3</v>
      </c>
      <c r="J1270" s="36"/>
    </row>
    <row r="1271" spans="1:10" x14ac:dyDescent="0.35">
      <c r="A1271" s="36" t="s">
        <v>1463</v>
      </c>
      <c r="B1271" s="35">
        <v>46106</v>
      </c>
      <c r="C1271" s="36" t="s">
        <v>298</v>
      </c>
      <c r="D1271" s="36" t="s">
        <v>299</v>
      </c>
      <c r="E1271" s="36" t="s">
        <v>149</v>
      </c>
      <c r="F1271" s="36" t="s">
        <v>150</v>
      </c>
      <c r="G1271" s="36" t="s">
        <v>8</v>
      </c>
      <c r="H1271" s="36" t="s">
        <v>75</v>
      </c>
      <c r="I1271" s="37">
        <v>1</v>
      </c>
      <c r="J1271" s="36"/>
    </row>
    <row r="1272" spans="1:10" x14ac:dyDescent="0.35">
      <c r="A1272" s="36" t="s">
        <v>1464</v>
      </c>
      <c r="B1272" s="35">
        <v>46106</v>
      </c>
      <c r="C1272" s="36" t="s">
        <v>298</v>
      </c>
      <c r="D1272" s="36" t="s">
        <v>299</v>
      </c>
      <c r="E1272" s="36" t="s">
        <v>88</v>
      </c>
      <c r="F1272" s="36" t="s">
        <v>89</v>
      </c>
      <c r="G1272" s="36" t="s">
        <v>74</v>
      </c>
      <c r="H1272" s="36" t="s">
        <v>90</v>
      </c>
      <c r="I1272" s="37">
        <v>3</v>
      </c>
      <c r="J1272" s="36"/>
    </row>
    <row r="1273" spans="1:10" x14ac:dyDescent="0.35">
      <c r="A1273" s="36" t="s">
        <v>1465</v>
      </c>
      <c r="B1273" s="35">
        <v>46106</v>
      </c>
      <c r="C1273" s="36" t="s">
        <v>298</v>
      </c>
      <c r="D1273" s="36" t="s">
        <v>299</v>
      </c>
      <c r="E1273" s="36" t="s">
        <v>151</v>
      </c>
      <c r="F1273" s="36" t="s">
        <v>152</v>
      </c>
      <c r="G1273" s="36" t="s">
        <v>8</v>
      </c>
      <c r="H1273" s="36" t="s">
        <v>143</v>
      </c>
      <c r="I1273" s="37">
        <v>1</v>
      </c>
      <c r="J1273" s="36"/>
    </row>
    <row r="1274" spans="1:10" x14ac:dyDescent="0.35">
      <c r="A1274" s="36" t="s">
        <v>1466</v>
      </c>
      <c r="B1274" s="35">
        <v>46106</v>
      </c>
      <c r="C1274" s="36" t="s">
        <v>298</v>
      </c>
      <c r="D1274" s="36" t="s">
        <v>299</v>
      </c>
      <c r="E1274" s="36" t="s">
        <v>161</v>
      </c>
      <c r="F1274" s="36" t="s">
        <v>162</v>
      </c>
      <c r="G1274" s="36" t="s">
        <v>159</v>
      </c>
      <c r="H1274" s="36" t="s">
        <v>163</v>
      </c>
      <c r="I1274" s="37">
        <v>2</v>
      </c>
      <c r="J1274" s="36"/>
    </row>
    <row r="1275" spans="1:10" x14ac:dyDescent="0.35">
      <c r="A1275" s="36" t="s">
        <v>1467</v>
      </c>
      <c r="B1275" s="35">
        <v>46106</v>
      </c>
      <c r="C1275" s="36" t="s">
        <v>238</v>
      </c>
      <c r="D1275" s="36" t="s">
        <v>239</v>
      </c>
      <c r="E1275" s="36" t="s">
        <v>137</v>
      </c>
      <c r="F1275" s="36" t="s">
        <v>15</v>
      </c>
      <c r="G1275" s="36" t="s">
        <v>6</v>
      </c>
      <c r="H1275" s="36" t="s">
        <v>136</v>
      </c>
      <c r="I1275" s="37">
        <v>3</v>
      </c>
      <c r="J1275" s="36"/>
    </row>
    <row r="1276" spans="1:10" x14ac:dyDescent="0.35">
      <c r="A1276" s="36" t="s">
        <v>1468</v>
      </c>
      <c r="B1276" s="35">
        <v>46106</v>
      </c>
      <c r="C1276" s="36" t="s">
        <v>238</v>
      </c>
      <c r="D1276" s="36" t="s">
        <v>239</v>
      </c>
      <c r="E1276" s="36" t="s">
        <v>141</v>
      </c>
      <c r="F1276" s="36" t="s">
        <v>142</v>
      </c>
      <c r="G1276" s="36" t="s">
        <v>8</v>
      </c>
      <c r="H1276" s="36" t="s">
        <v>143</v>
      </c>
      <c r="I1276" s="37">
        <v>3</v>
      </c>
      <c r="J1276" s="36"/>
    </row>
    <row r="1277" spans="1:10" x14ac:dyDescent="0.35">
      <c r="A1277" s="36" t="s">
        <v>1469</v>
      </c>
      <c r="B1277" s="35">
        <v>46106</v>
      </c>
      <c r="C1277" s="36" t="s">
        <v>238</v>
      </c>
      <c r="D1277" s="36" t="s">
        <v>239</v>
      </c>
      <c r="E1277" s="36" t="s">
        <v>48</v>
      </c>
      <c r="F1277" s="36" t="s">
        <v>49</v>
      </c>
      <c r="G1277" s="36" t="s">
        <v>31</v>
      </c>
      <c r="H1277" s="36" t="s">
        <v>50</v>
      </c>
      <c r="I1277" s="37">
        <v>6</v>
      </c>
      <c r="J1277" s="36"/>
    </row>
    <row r="1278" spans="1:10" x14ac:dyDescent="0.35">
      <c r="A1278" s="36" t="s">
        <v>1470</v>
      </c>
      <c r="B1278" s="35">
        <v>46106</v>
      </c>
      <c r="C1278" s="36" t="s">
        <v>238</v>
      </c>
      <c r="D1278" s="36" t="s">
        <v>239</v>
      </c>
      <c r="E1278" s="36" t="s">
        <v>109</v>
      </c>
      <c r="F1278" s="36" t="s">
        <v>110</v>
      </c>
      <c r="G1278" s="36" t="s">
        <v>102</v>
      </c>
      <c r="H1278" s="36" t="s">
        <v>42</v>
      </c>
      <c r="I1278" s="37">
        <v>7</v>
      </c>
      <c r="J1278" s="36"/>
    </row>
    <row r="1279" spans="1:10" x14ac:dyDescent="0.35">
      <c r="A1279" s="36" t="s">
        <v>1471</v>
      </c>
      <c r="B1279" s="35">
        <v>46106</v>
      </c>
      <c r="C1279" s="36" t="s">
        <v>238</v>
      </c>
      <c r="D1279" s="36" t="s">
        <v>239</v>
      </c>
      <c r="E1279" s="36" t="s">
        <v>151</v>
      </c>
      <c r="F1279" s="36" t="s">
        <v>152</v>
      </c>
      <c r="G1279" s="36" t="s">
        <v>8</v>
      </c>
      <c r="H1279" s="36" t="s">
        <v>143</v>
      </c>
      <c r="I1279" s="37">
        <v>4</v>
      </c>
      <c r="J1279" s="36"/>
    </row>
    <row r="1280" spans="1:10" x14ac:dyDescent="0.35">
      <c r="A1280" s="36" t="s">
        <v>1472</v>
      </c>
      <c r="B1280" s="35">
        <v>46106</v>
      </c>
      <c r="C1280" s="36" t="s">
        <v>238</v>
      </c>
      <c r="D1280" s="36" t="s">
        <v>239</v>
      </c>
      <c r="E1280" s="36" t="s">
        <v>76</v>
      </c>
      <c r="F1280" s="36" t="s">
        <v>77</v>
      </c>
      <c r="G1280" s="36" t="s">
        <v>74</v>
      </c>
      <c r="H1280" s="36" t="s">
        <v>75</v>
      </c>
      <c r="I1280" s="37">
        <v>3</v>
      </c>
      <c r="J1280" s="36"/>
    </row>
    <row r="1281" spans="1:10" x14ac:dyDescent="0.35">
      <c r="A1281" s="36" t="s">
        <v>1473</v>
      </c>
      <c r="B1281" s="35">
        <v>46106</v>
      </c>
      <c r="C1281" s="36" t="s">
        <v>238</v>
      </c>
      <c r="D1281" s="36" t="s">
        <v>239</v>
      </c>
      <c r="E1281" s="36" t="s">
        <v>156</v>
      </c>
      <c r="F1281" s="36" t="s">
        <v>11</v>
      </c>
      <c r="G1281" s="36" t="s">
        <v>12</v>
      </c>
      <c r="H1281" s="36" t="s">
        <v>155</v>
      </c>
      <c r="I1281" s="37">
        <v>3</v>
      </c>
      <c r="J1281" s="36"/>
    </row>
    <row r="1282" spans="1:10" x14ac:dyDescent="0.35">
      <c r="A1282" s="36" t="s">
        <v>1474</v>
      </c>
      <c r="B1282" s="35">
        <v>46106</v>
      </c>
      <c r="C1282" s="36" t="s">
        <v>238</v>
      </c>
      <c r="D1282" s="36" t="s">
        <v>239</v>
      </c>
      <c r="E1282" s="36" t="s">
        <v>37</v>
      </c>
      <c r="F1282" s="36" t="s">
        <v>38</v>
      </c>
      <c r="G1282" s="36" t="s">
        <v>31</v>
      </c>
      <c r="H1282" s="36" t="s">
        <v>39</v>
      </c>
      <c r="I1282" s="37">
        <v>11</v>
      </c>
      <c r="J1282" s="36"/>
    </row>
    <row r="1283" spans="1:10" x14ac:dyDescent="0.35">
      <c r="A1283" s="36" t="s">
        <v>1475</v>
      </c>
      <c r="B1283" s="35">
        <v>46108</v>
      </c>
      <c r="C1283" s="36" t="s">
        <v>238</v>
      </c>
      <c r="D1283" s="36" t="s">
        <v>239</v>
      </c>
      <c r="E1283" s="36" t="s">
        <v>137</v>
      </c>
      <c r="F1283" s="36" t="s">
        <v>15</v>
      </c>
      <c r="G1283" s="36" t="s">
        <v>6</v>
      </c>
      <c r="H1283" s="36" t="s">
        <v>136</v>
      </c>
      <c r="I1283" s="37">
        <v>7</v>
      </c>
      <c r="J1283" s="36"/>
    </row>
    <row r="1284" spans="1:10" x14ac:dyDescent="0.35">
      <c r="A1284" s="36" t="s">
        <v>1476</v>
      </c>
      <c r="B1284" s="35">
        <v>46108</v>
      </c>
      <c r="C1284" s="36" t="s">
        <v>238</v>
      </c>
      <c r="D1284" s="36" t="s">
        <v>239</v>
      </c>
      <c r="E1284" s="36" t="s">
        <v>46</v>
      </c>
      <c r="F1284" s="36" t="s">
        <v>47</v>
      </c>
      <c r="G1284" s="36" t="s">
        <v>31</v>
      </c>
      <c r="H1284" s="36" t="s">
        <v>42</v>
      </c>
      <c r="I1284" s="37">
        <v>6</v>
      </c>
      <c r="J1284" s="36"/>
    </row>
    <row r="1285" spans="1:10" x14ac:dyDescent="0.35">
      <c r="A1285" s="36" t="s">
        <v>1477</v>
      </c>
      <c r="B1285" s="35">
        <v>46108</v>
      </c>
      <c r="C1285" s="36" t="s">
        <v>238</v>
      </c>
      <c r="D1285" s="36" t="s">
        <v>239</v>
      </c>
      <c r="E1285" s="36" t="s">
        <v>40</v>
      </c>
      <c r="F1285" s="36" t="s">
        <v>41</v>
      </c>
      <c r="G1285" s="36" t="s">
        <v>31</v>
      </c>
      <c r="H1285" s="36" t="s">
        <v>42</v>
      </c>
      <c r="I1285" s="37">
        <v>9</v>
      </c>
      <c r="J1285" s="36"/>
    </row>
    <row r="1286" spans="1:10" x14ac:dyDescent="0.35">
      <c r="A1286" s="36" t="s">
        <v>1478</v>
      </c>
      <c r="B1286" s="35">
        <v>46108</v>
      </c>
      <c r="C1286" s="36" t="s">
        <v>238</v>
      </c>
      <c r="D1286" s="36" t="s">
        <v>239</v>
      </c>
      <c r="E1286" s="36" t="s">
        <v>135</v>
      </c>
      <c r="F1286" s="36" t="s">
        <v>5</v>
      </c>
      <c r="G1286" s="36" t="s">
        <v>6</v>
      </c>
      <c r="H1286" s="36" t="s">
        <v>136</v>
      </c>
      <c r="I1286" s="37">
        <v>3</v>
      </c>
      <c r="J1286" s="36"/>
    </row>
    <row r="1287" spans="1:10" x14ac:dyDescent="0.35">
      <c r="A1287" s="36" t="s">
        <v>1479</v>
      </c>
      <c r="B1287" s="35">
        <v>46108</v>
      </c>
      <c r="C1287" s="36" t="s">
        <v>238</v>
      </c>
      <c r="D1287" s="36" t="s">
        <v>239</v>
      </c>
      <c r="E1287" s="36" t="s">
        <v>144</v>
      </c>
      <c r="F1287" s="36" t="s">
        <v>7</v>
      </c>
      <c r="G1287" s="36" t="s">
        <v>8</v>
      </c>
      <c r="H1287" s="36" t="s">
        <v>145</v>
      </c>
      <c r="I1287" s="37">
        <v>4</v>
      </c>
      <c r="J1287" s="36"/>
    </row>
    <row r="1288" spans="1:10" x14ac:dyDescent="0.35">
      <c r="A1288" s="36" t="s">
        <v>1480</v>
      </c>
      <c r="B1288" s="35">
        <v>46108</v>
      </c>
      <c r="C1288" s="36" t="s">
        <v>190</v>
      </c>
      <c r="D1288" s="36" t="s">
        <v>191</v>
      </c>
      <c r="E1288" s="36" t="s">
        <v>135</v>
      </c>
      <c r="F1288" s="36" t="s">
        <v>5</v>
      </c>
      <c r="G1288" s="36" t="s">
        <v>6</v>
      </c>
      <c r="H1288" s="36" t="s">
        <v>136</v>
      </c>
      <c r="I1288" s="37">
        <v>16</v>
      </c>
      <c r="J1288" s="36"/>
    </row>
    <row r="1289" spans="1:10" x14ac:dyDescent="0.35">
      <c r="A1289" s="36" t="s">
        <v>1481</v>
      </c>
      <c r="B1289" s="35">
        <v>46108</v>
      </c>
      <c r="C1289" s="36" t="s">
        <v>190</v>
      </c>
      <c r="D1289" s="36" t="s">
        <v>191</v>
      </c>
      <c r="E1289" s="36" t="s">
        <v>54</v>
      </c>
      <c r="F1289" s="36" t="s">
        <v>55</v>
      </c>
      <c r="G1289" s="36" t="s">
        <v>53</v>
      </c>
      <c r="H1289" s="36" t="s">
        <v>56</v>
      </c>
      <c r="I1289" s="37">
        <v>16</v>
      </c>
      <c r="J1289" s="36"/>
    </row>
    <row r="1290" spans="1:10" x14ac:dyDescent="0.35">
      <c r="A1290" s="36" t="s">
        <v>1482</v>
      </c>
      <c r="B1290" s="35">
        <v>46108</v>
      </c>
      <c r="C1290" s="36" t="s">
        <v>190</v>
      </c>
      <c r="D1290" s="36" t="s">
        <v>191</v>
      </c>
      <c r="E1290" s="36" t="s">
        <v>97</v>
      </c>
      <c r="F1290" s="36" t="s">
        <v>98</v>
      </c>
      <c r="G1290" s="36" t="s">
        <v>93</v>
      </c>
      <c r="H1290" s="36" t="s">
        <v>99</v>
      </c>
      <c r="I1290" s="37">
        <v>7</v>
      </c>
      <c r="J1290" s="36"/>
    </row>
    <row r="1291" spans="1:10" x14ac:dyDescent="0.35">
      <c r="A1291" s="36" t="s">
        <v>1483</v>
      </c>
      <c r="B1291" s="35">
        <v>46108</v>
      </c>
      <c r="C1291" s="36" t="s">
        <v>190</v>
      </c>
      <c r="D1291" s="36" t="s">
        <v>191</v>
      </c>
      <c r="E1291" s="36" t="s">
        <v>144</v>
      </c>
      <c r="F1291" s="36" t="s">
        <v>7</v>
      </c>
      <c r="G1291" s="36" t="s">
        <v>8</v>
      </c>
      <c r="H1291" s="36" t="s">
        <v>145</v>
      </c>
      <c r="I1291" s="37">
        <v>6</v>
      </c>
      <c r="J1291" s="36"/>
    </row>
    <row r="1292" spans="1:10" x14ac:dyDescent="0.35">
      <c r="A1292" s="36" t="s">
        <v>1484</v>
      </c>
      <c r="B1292" s="35">
        <v>46108</v>
      </c>
      <c r="C1292" s="36" t="s">
        <v>190</v>
      </c>
      <c r="D1292" s="36" t="s">
        <v>191</v>
      </c>
      <c r="E1292" s="36" t="s">
        <v>141</v>
      </c>
      <c r="F1292" s="36" t="s">
        <v>142</v>
      </c>
      <c r="G1292" s="36" t="s">
        <v>8</v>
      </c>
      <c r="H1292" s="36" t="s">
        <v>143</v>
      </c>
      <c r="I1292" s="37">
        <v>7</v>
      </c>
      <c r="J1292" s="36"/>
    </row>
    <row r="1293" spans="1:10" x14ac:dyDescent="0.35">
      <c r="A1293" s="36" t="s">
        <v>1485</v>
      </c>
      <c r="B1293" s="35">
        <v>46108</v>
      </c>
      <c r="C1293" s="36" t="s">
        <v>190</v>
      </c>
      <c r="D1293" s="36" t="s">
        <v>191</v>
      </c>
      <c r="E1293" s="36" t="s">
        <v>130</v>
      </c>
      <c r="F1293" s="36" t="s">
        <v>16</v>
      </c>
      <c r="G1293" s="36" t="s">
        <v>10</v>
      </c>
      <c r="H1293" s="36" t="s">
        <v>131</v>
      </c>
      <c r="I1293" s="37">
        <v>10</v>
      </c>
      <c r="J1293" s="36"/>
    </row>
    <row r="1294" spans="1:10" x14ac:dyDescent="0.35">
      <c r="A1294" s="36" t="s">
        <v>1486</v>
      </c>
      <c r="B1294" s="35">
        <v>46109</v>
      </c>
      <c r="C1294" s="36" t="s">
        <v>238</v>
      </c>
      <c r="D1294" s="36" t="s">
        <v>239</v>
      </c>
      <c r="E1294" s="36" t="s">
        <v>29</v>
      </c>
      <c r="F1294" s="36" t="s">
        <v>30</v>
      </c>
      <c r="G1294" s="36" t="s">
        <v>31</v>
      </c>
      <c r="H1294" s="36" t="s">
        <v>32</v>
      </c>
      <c r="I1294" s="37">
        <v>11</v>
      </c>
      <c r="J1294" s="36"/>
    </row>
    <row r="1295" spans="1:10" x14ac:dyDescent="0.35">
      <c r="A1295" s="36" t="s">
        <v>1487</v>
      </c>
      <c r="B1295" s="35">
        <v>46109</v>
      </c>
      <c r="C1295" s="36" t="s">
        <v>238</v>
      </c>
      <c r="D1295" s="36" t="s">
        <v>239</v>
      </c>
      <c r="E1295" s="36" t="s">
        <v>81</v>
      </c>
      <c r="F1295" s="36" t="s">
        <v>82</v>
      </c>
      <c r="G1295" s="36" t="s">
        <v>74</v>
      </c>
      <c r="H1295" s="36" t="s">
        <v>80</v>
      </c>
      <c r="I1295" s="37">
        <v>5</v>
      </c>
      <c r="J1295" s="36"/>
    </row>
    <row r="1296" spans="1:10" x14ac:dyDescent="0.35">
      <c r="A1296" s="36" t="s">
        <v>1488</v>
      </c>
      <c r="B1296" s="35">
        <v>46109</v>
      </c>
      <c r="C1296" s="36" t="s">
        <v>238</v>
      </c>
      <c r="D1296" s="36" t="s">
        <v>239</v>
      </c>
      <c r="E1296" s="36" t="s">
        <v>109</v>
      </c>
      <c r="F1296" s="36" t="s">
        <v>110</v>
      </c>
      <c r="G1296" s="36" t="s">
        <v>102</v>
      </c>
      <c r="H1296" s="36" t="s">
        <v>42</v>
      </c>
      <c r="I1296" s="37">
        <v>10</v>
      </c>
      <c r="J1296" s="36"/>
    </row>
    <row r="1297" spans="1:10" x14ac:dyDescent="0.35">
      <c r="A1297" s="36" t="s">
        <v>1489</v>
      </c>
      <c r="B1297" s="35">
        <v>46109</v>
      </c>
      <c r="C1297" s="36" t="s">
        <v>238</v>
      </c>
      <c r="D1297" s="36" t="s">
        <v>239</v>
      </c>
      <c r="E1297" s="36" t="s">
        <v>97</v>
      </c>
      <c r="F1297" s="36" t="s">
        <v>98</v>
      </c>
      <c r="G1297" s="36" t="s">
        <v>93</v>
      </c>
      <c r="H1297" s="36" t="s">
        <v>99</v>
      </c>
      <c r="I1297" s="37">
        <v>6</v>
      </c>
      <c r="J1297" s="36"/>
    </row>
    <row r="1298" spans="1:10" x14ac:dyDescent="0.35">
      <c r="A1298" s="36" t="s">
        <v>1490</v>
      </c>
      <c r="B1298" s="35">
        <v>46109</v>
      </c>
      <c r="C1298" s="36" t="s">
        <v>238</v>
      </c>
      <c r="D1298" s="36" t="s">
        <v>239</v>
      </c>
      <c r="E1298" s="36" t="s">
        <v>146</v>
      </c>
      <c r="F1298" s="36" t="s">
        <v>147</v>
      </c>
      <c r="G1298" s="36" t="s">
        <v>8</v>
      </c>
      <c r="H1298" s="36" t="s">
        <v>148</v>
      </c>
      <c r="I1298" s="37">
        <v>2</v>
      </c>
      <c r="J1298" s="36"/>
    </row>
    <row r="1299" spans="1:10" x14ac:dyDescent="0.35">
      <c r="A1299" s="36" t="s">
        <v>1491</v>
      </c>
      <c r="B1299" s="35">
        <v>46109</v>
      </c>
      <c r="C1299" s="36" t="s">
        <v>238</v>
      </c>
      <c r="D1299" s="36" t="s">
        <v>239</v>
      </c>
      <c r="E1299" s="36" t="s">
        <v>86</v>
      </c>
      <c r="F1299" s="36" t="s">
        <v>87</v>
      </c>
      <c r="G1299" s="36" t="s">
        <v>74</v>
      </c>
      <c r="H1299" s="36" t="s">
        <v>75</v>
      </c>
      <c r="I1299" s="37">
        <v>4</v>
      </c>
      <c r="J1299" s="36"/>
    </row>
    <row r="1300" spans="1:10" x14ac:dyDescent="0.35">
      <c r="A1300" s="36" t="s">
        <v>1492</v>
      </c>
      <c r="B1300" s="35">
        <v>46109</v>
      </c>
      <c r="C1300" s="36" t="s">
        <v>238</v>
      </c>
      <c r="D1300" s="36" t="s">
        <v>239</v>
      </c>
      <c r="E1300" s="36" t="s">
        <v>122</v>
      </c>
      <c r="F1300" s="36" t="s">
        <v>123</v>
      </c>
      <c r="G1300" s="36" t="s">
        <v>14</v>
      </c>
      <c r="H1300" s="36" t="s">
        <v>124</v>
      </c>
      <c r="I1300" s="37">
        <v>1</v>
      </c>
      <c r="J1300" s="36"/>
    </row>
    <row r="1301" spans="1:10" x14ac:dyDescent="0.35">
      <c r="A1301" s="36" t="s">
        <v>1493</v>
      </c>
      <c r="B1301" s="35">
        <v>46109</v>
      </c>
      <c r="C1301" s="36" t="s">
        <v>238</v>
      </c>
      <c r="D1301" s="36" t="s">
        <v>239</v>
      </c>
      <c r="E1301" s="36" t="s">
        <v>37</v>
      </c>
      <c r="F1301" s="36" t="s">
        <v>38</v>
      </c>
      <c r="G1301" s="36" t="s">
        <v>31</v>
      </c>
      <c r="H1301" s="36" t="s">
        <v>39</v>
      </c>
      <c r="I1301" s="37">
        <v>9</v>
      </c>
      <c r="J1301" s="36"/>
    </row>
    <row r="1302" spans="1:10" x14ac:dyDescent="0.35">
      <c r="A1302" s="36" t="s">
        <v>1494</v>
      </c>
      <c r="B1302" s="35">
        <v>46109</v>
      </c>
      <c r="C1302" s="36" t="s">
        <v>238</v>
      </c>
      <c r="D1302" s="36" t="s">
        <v>239</v>
      </c>
      <c r="E1302" s="36" t="s">
        <v>48</v>
      </c>
      <c r="F1302" s="36" t="s">
        <v>49</v>
      </c>
      <c r="G1302" s="36" t="s">
        <v>31</v>
      </c>
      <c r="H1302" s="36" t="s">
        <v>50</v>
      </c>
      <c r="I1302" s="37">
        <v>7</v>
      </c>
      <c r="J1302" s="36"/>
    </row>
    <row r="1303" spans="1:10" x14ac:dyDescent="0.35">
      <c r="A1303" s="36" t="s">
        <v>1495</v>
      </c>
      <c r="B1303" s="35">
        <v>46109</v>
      </c>
      <c r="C1303" s="36" t="s">
        <v>238</v>
      </c>
      <c r="D1303" s="36" t="s">
        <v>239</v>
      </c>
      <c r="E1303" s="36" t="s">
        <v>125</v>
      </c>
      <c r="F1303" s="36" t="s">
        <v>126</v>
      </c>
      <c r="G1303" s="36" t="s">
        <v>14</v>
      </c>
      <c r="H1303" s="36" t="s">
        <v>127</v>
      </c>
      <c r="I1303" s="37">
        <v>1</v>
      </c>
      <c r="J1303" s="36"/>
    </row>
    <row r="1304" spans="1:10" x14ac:dyDescent="0.35">
      <c r="A1304" s="36" t="s">
        <v>1496</v>
      </c>
      <c r="B1304" s="35">
        <v>46109</v>
      </c>
      <c r="C1304" s="36" t="s">
        <v>238</v>
      </c>
      <c r="D1304" s="36" t="s">
        <v>239</v>
      </c>
      <c r="E1304" s="36" t="s">
        <v>91</v>
      </c>
      <c r="F1304" s="36" t="s">
        <v>92</v>
      </c>
      <c r="G1304" s="36" t="s">
        <v>93</v>
      </c>
      <c r="H1304" s="36" t="s">
        <v>85</v>
      </c>
      <c r="I1304" s="37">
        <v>6</v>
      </c>
      <c r="J1304" s="36"/>
    </row>
    <row r="1305" spans="1:10" x14ac:dyDescent="0.35">
      <c r="A1305" s="36" t="s">
        <v>1497</v>
      </c>
      <c r="B1305" s="35">
        <v>46109</v>
      </c>
      <c r="C1305" s="36" t="s">
        <v>298</v>
      </c>
      <c r="D1305" s="36" t="s">
        <v>299</v>
      </c>
      <c r="E1305" s="36" t="s">
        <v>88</v>
      </c>
      <c r="F1305" s="36" t="s">
        <v>89</v>
      </c>
      <c r="G1305" s="36" t="s">
        <v>74</v>
      </c>
      <c r="H1305" s="36" t="s">
        <v>90</v>
      </c>
      <c r="I1305" s="37">
        <v>3</v>
      </c>
      <c r="J1305" s="36"/>
    </row>
    <row r="1306" spans="1:10" x14ac:dyDescent="0.35">
      <c r="A1306" s="36" t="s">
        <v>1498</v>
      </c>
      <c r="B1306" s="35">
        <v>46109</v>
      </c>
      <c r="C1306" s="36" t="s">
        <v>298</v>
      </c>
      <c r="D1306" s="36" t="s">
        <v>299</v>
      </c>
      <c r="E1306" s="36" t="s">
        <v>146</v>
      </c>
      <c r="F1306" s="36" t="s">
        <v>147</v>
      </c>
      <c r="G1306" s="36" t="s">
        <v>8</v>
      </c>
      <c r="H1306" s="36" t="s">
        <v>148</v>
      </c>
      <c r="I1306" s="37">
        <v>3</v>
      </c>
      <c r="J1306" s="36"/>
    </row>
    <row r="1307" spans="1:10" x14ac:dyDescent="0.35">
      <c r="A1307" s="36" t="s">
        <v>1499</v>
      </c>
      <c r="B1307" s="35">
        <v>46109</v>
      </c>
      <c r="C1307" s="36" t="s">
        <v>298</v>
      </c>
      <c r="D1307" s="36" t="s">
        <v>299</v>
      </c>
      <c r="E1307" s="36" t="s">
        <v>149</v>
      </c>
      <c r="F1307" s="36" t="s">
        <v>150</v>
      </c>
      <c r="G1307" s="36" t="s">
        <v>8</v>
      </c>
      <c r="H1307" s="36" t="s">
        <v>75</v>
      </c>
      <c r="I1307" s="37">
        <v>1</v>
      </c>
      <c r="J1307" s="36"/>
    </row>
    <row r="1308" spans="1:10" x14ac:dyDescent="0.35">
      <c r="A1308" s="36" t="s">
        <v>1500</v>
      </c>
      <c r="B1308" s="35">
        <v>46109</v>
      </c>
      <c r="C1308" s="36" t="s">
        <v>298</v>
      </c>
      <c r="D1308" s="36" t="s">
        <v>299</v>
      </c>
      <c r="E1308" s="36" t="s">
        <v>61</v>
      </c>
      <c r="F1308" s="36" t="s">
        <v>62</v>
      </c>
      <c r="G1308" s="36" t="s">
        <v>53</v>
      </c>
      <c r="H1308" s="36" t="s">
        <v>42</v>
      </c>
      <c r="I1308" s="37">
        <v>5</v>
      </c>
      <c r="J1308" s="36"/>
    </row>
    <row r="1309" spans="1:10" x14ac:dyDescent="0.35">
      <c r="A1309" s="36" t="s">
        <v>1501</v>
      </c>
      <c r="B1309" s="35">
        <v>46109</v>
      </c>
      <c r="C1309" s="36" t="s">
        <v>298</v>
      </c>
      <c r="D1309" s="36" t="s">
        <v>299</v>
      </c>
      <c r="E1309" s="36" t="s">
        <v>86</v>
      </c>
      <c r="F1309" s="36" t="s">
        <v>87</v>
      </c>
      <c r="G1309" s="36" t="s">
        <v>74</v>
      </c>
      <c r="H1309" s="36" t="s">
        <v>75</v>
      </c>
      <c r="I1309" s="37">
        <v>2</v>
      </c>
      <c r="J1309" s="36"/>
    </row>
    <row r="1310" spans="1:10" x14ac:dyDescent="0.35">
      <c r="A1310" s="36" t="s">
        <v>1502</v>
      </c>
      <c r="B1310" s="35">
        <v>46109</v>
      </c>
      <c r="C1310" s="36" t="s">
        <v>298</v>
      </c>
      <c r="D1310" s="36" t="s">
        <v>299</v>
      </c>
      <c r="E1310" s="36" t="s">
        <v>128</v>
      </c>
      <c r="F1310" s="36" t="s">
        <v>9</v>
      </c>
      <c r="G1310" s="36" t="s">
        <v>10</v>
      </c>
      <c r="H1310" s="36" t="s">
        <v>129</v>
      </c>
      <c r="I1310" s="37">
        <v>2</v>
      </c>
      <c r="J1310" s="36"/>
    </row>
    <row r="1311" spans="1:10" x14ac:dyDescent="0.35">
      <c r="A1311" s="36" t="s">
        <v>1503</v>
      </c>
      <c r="B1311" s="35">
        <v>46109</v>
      </c>
      <c r="C1311" s="36" t="s">
        <v>298</v>
      </c>
      <c r="D1311" s="36" t="s">
        <v>299</v>
      </c>
      <c r="E1311" s="36" t="s">
        <v>29</v>
      </c>
      <c r="F1311" s="36" t="s">
        <v>30</v>
      </c>
      <c r="G1311" s="36" t="s">
        <v>31</v>
      </c>
      <c r="H1311" s="36" t="s">
        <v>32</v>
      </c>
      <c r="I1311" s="37">
        <v>4</v>
      </c>
      <c r="J1311" s="36"/>
    </row>
    <row r="1312" spans="1:10" x14ac:dyDescent="0.35">
      <c r="A1312" s="36" t="s">
        <v>1504</v>
      </c>
      <c r="B1312" s="35">
        <v>46115</v>
      </c>
      <c r="C1312" s="36" t="s">
        <v>298</v>
      </c>
      <c r="D1312" s="36" t="s">
        <v>299</v>
      </c>
      <c r="E1312" s="36" t="s">
        <v>130</v>
      </c>
      <c r="F1312" s="36" t="s">
        <v>16</v>
      </c>
      <c r="G1312" s="36" t="s">
        <v>10</v>
      </c>
      <c r="H1312" s="36" t="s">
        <v>131</v>
      </c>
      <c r="I1312" s="37">
        <v>1</v>
      </c>
      <c r="J1312" s="36"/>
    </row>
    <row r="1313" spans="1:10" x14ac:dyDescent="0.35">
      <c r="A1313" s="36" t="s">
        <v>1505</v>
      </c>
      <c r="B1313" s="35">
        <v>46115</v>
      </c>
      <c r="C1313" s="36" t="s">
        <v>298</v>
      </c>
      <c r="D1313" s="36" t="s">
        <v>299</v>
      </c>
      <c r="E1313" s="36" t="s">
        <v>29</v>
      </c>
      <c r="F1313" s="36" t="s">
        <v>30</v>
      </c>
      <c r="G1313" s="36" t="s">
        <v>31</v>
      </c>
      <c r="H1313" s="36" t="s">
        <v>32</v>
      </c>
      <c r="I1313" s="37">
        <v>7</v>
      </c>
      <c r="J1313" s="36"/>
    </row>
    <row r="1314" spans="1:10" x14ac:dyDescent="0.35">
      <c r="A1314" s="36" t="s">
        <v>1506</v>
      </c>
      <c r="B1314" s="35">
        <v>46115</v>
      </c>
      <c r="C1314" s="36" t="s">
        <v>298</v>
      </c>
      <c r="D1314" s="36" t="s">
        <v>299</v>
      </c>
      <c r="E1314" s="36" t="s">
        <v>151</v>
      </c>
      <c r="F1314" s="36" t="s">
        <v>152</v>
      </c>
      <c r="G1314" s="36" t="s">
        <v>8</v>
      </c>
      <c r="H1314" s="36" t="s">
        <v>143</v>
      </c>
      <c r="I1314" s="37">
        <v>3</v>
      </c>
      <c r="J1314" s="36"/>
    </row>
    <row r="1315" spans="1:10" x14ac:dyDescent="0.35">
      <c r="A1315" s="36" t="s">
        <v>1507</v>
      </c>
      <c r="B1315" s="35">
        <v>46115</v>
      </c>
      <c r="C1315" s="36" t="s">
        <v>298</v>
      </c>
      <c r="D1315" s="36" t="s">
        <v>299</v>
      </c>
      <c r="E1315" s="36" t="s">
        <v>106</v>
      </c>
      <c r="F1315" s="36" t="s">
        <v>107</v>
      </c>
      <c r="G1315" s="36" t="s">
        <v>102</v>
      </c>
      <c r="H1315" s="36" t="s">
        <v>108</v>
      </c>
      <c r="I1315" s="37">
        <v>5</v>
      </c>
      <c r="J1315" s="36"/>
    </row>
    <row r="1316" spans="1:10" x14ac:dyDescent="0.35">
      <c r="A1316" s="36" t="s">
        <v>1508</v>
      </c>
      <c r="B1316" s="35">
        <v>46115</v>
      </c>
      <c r="C1316" s="36" t="s">
        <v>298</v>
      </c>
      <c r="D1316" s="36" t="s">
        <v>299</v>
      </c>
      <c r="E1316" s="36" t="s">
        <v>100</v>
      </c>
      <c r="F1316" s="36" t="s">
        <v>101</v>
      </c>
      <c r="G1316" s="36" t="s">
        <v>102</v>
      </c>
      <c r="H1316" s="36" t="s">
        <v>103</v>
      </c>
      <c r="I1316" s="37">
        <v>5</v>
      </c>
      <c r="J1316" s="36"/>
    </row>
    <row r="1317" spans="1:10" x14ac:dyDescent="0.35">
      <c r="A1317" s="36" t="s">
        <v>1509</v>
      </c>
      <c r="B1317" s="35">
        <v>46115</v>
      </c>
      <c r="C1317" s="36" t="s">
        <v>298</v>
      </c>
      <c r="D1317" s="36" t="s">
        <v>299</v>
      </c>
      <c r="E1317" s="36" t="s">
        <v>43</v>
      </c>
      <c r="F1317" s="36" t="s">
        <v>44</v>
      </c>
      <c r="G1317" s="36" t="s">
        <v>31</v>
      </c>
      <c r="H1317" s="36" t="s">
        <v>42</v>
      </c>
      <c r="I1317" s="37">
        <v>7</v>
      </c>
      <c r="J1317" s="36"/>
    </row>
    <row r="1318" spans="1:10" x14ac:dyDescent="0.35">
      <c r="A1318" s="36" t="s">
        <v>1510</v>
      </c>
      <c r="B1318" s="35">
        <v>46115</v>
      </c>
      <c r="C1318" s="36" t="s">
        <v>298</v>
      </c>
      <c r="D1318" s="36" t="s">
        <v>299</v>
      </c>
      <c r="E1318" s="36" t="s">
        <v>69</v>
      </c>
      <c r="F1318" s="36" t="s">
        <v>70</v>
      </c>
      <c r="G1318" s="36" t="s">
        <v>66</v>
      </c>
      <c r="H1318" s="36" t="s">
        <v>71</v>
      </c>
      <c r="I1318" s="37">
        <v>4</v>
      </c>
      <c r="J1318" s="36"/>
    </row>
    <row r="1319" spans="1:10" x14ac:dyDescent="0.35">
      <c r="A1319" s="36" t="s">
        <v>1511</v>
      </c>
      <c r="B1319" s="35">
        <v>46116</v>
      </c>
      <c r="C1319" s="36" t="s">
        <v>298</v>
      </c>
      <c r="D1319" s="36" t="s">
        <v>299</v>
      </c>
      <c r="E1319" s="36" t="s">
        <v>109</v>
      </c>
      <c r="F1319" s="36" t="s">
        <v>110</v>
      </c>
      <c r="G1319" s="36" t="s">
        <v>102</v>
      </c>
      <c r="H1319" s="36" t="s">
        <v>42</v>
      </c>
      <c r="I1319" s="37">
        <v>5</v>
      </c>
      <c r="J1319" s="36"/>
    </row>
    <row r="1320" spans="1:10" x14ac:dyDescent="0.35">
      <c r="A1320" s="36" t="s">
        <v>1512</v>
      </c>
      <c r="B1320" s="35">
        <v>46116</v>
      </c>
      <c r="C1320" s="36" t="s">
        <v>298</v>
      </c>
      <c r="D1320" s="36" t="s">
        <v>299</v>
      </c>
      <c r="E1320" s="36" t="s">
        <v>34</v>
      </c>
      <c r="F1320" s="36" t="s">
        <v>35</v>
      </c>
      <c r="G1320" s="36" t="s">
        <v>31</v>
      </c>
      <c r="H1320" s="36" t="s">
        <v>36</v>
      </c>
      <c r="I1320" s="37">
        <v>6</v>
      </c>
      <c r="J1320" s="36"/>
    </row>
    <row r="1321" spans="1:10" x14ac:dyDescent="0.35">
      <c r="A1321" s="36" t="s">
        <v>1513</v>
      </c>
      <c r="B1321" s="35">
        <v>46116</v>
      </c>
      <c r="C1321" s="36" t="s">
        <v>298</v>
      </c>
      <c r="D1321" s="36" t="s">
        <v>299</v>
      </c>
      <c r="E1321" s="36" t="s">
        <v>37</v>
      </c>
      <c r="F1321" s="36" t="s">
        <v>38</v>
      </c>
      <c r="G1321" s="36" t="s">
        <v>31</v>
      </c>
      <c r="H1321" s="36" t="s">
        <v>39</v>
      </c>
      <c r="I1321" s="37">
        <v>6</v>
      </c>
      <c r="J1321" s="36"/>
    </row>
    <row r="1322" spans="1:10" x14ac:dyDescent="0.35">
      <c r="A1322" s="36" t="s">
        <v>1514</v>
      </c>
      <c r="B1322" s="35">
        <v>46116</v>
      </c>
      <c r="C1322" s="36" t="s">
        <v>298</v>
      </c>
      <c r="D1322" s="36" t="s">
        <v>299</v>
      </c>
      <c r="E1322" s="36" t="s">
        <v>88</v>
      </c>
      <c r="F1322" s="36" t="s">
        <v>89</v>
      </c>
      <c r="G1322" s="36" t="s">
        <v>74</v>
      </c>
      <c r="H1322" s="36" t="s">
        <v>90</v>
      </c>
      <c r="I1322" s="37">
        <v>2</v>
      </c>
      <c r="J1322" s="36"/>
    </row>
    <row r="1323" spans="1:10" x14ac:dyDescent="0.35">
      <c r="A1323" s="36" t="s">
        <v>1515</v>
      </c>
      <c r="B1323" s="35">
        <v>46116</v>
      </c>
      <c r="C1323" s="36" t="s">
        <v>298</v>
      </c>
      <c r="D1323" s="36" t="s">
        <v>299</v>
      </c>
      <c r="E1323" s="36" t="s">
        <v>40</v>
      </c>
      <c r="F1323" s="36" t="s">
        <v>41</v>
      </c>
      <c r="G1323" s="36" t="s">
        <v>31</v>
      </c>
      <c r="H1323" s="36" t="s">
        <v>42</v>
      </c>
      <c r="I1323" s="37">
        <v>5</v>
      </c>
      <c r="J1323" s="36"/>
    </row>
    <row r="1324" spans="1:10" x14ac:dyDescent="0.35">
      <c r="A1324" s="36" t="s">
        <v>1516</v>
      </c>
      <c r="B1324" s="35">
        <v>46116</v>
      </c>
      <c r="C1324" s="36" t="s">
        <v>298</v>
      </c>
      <c r="D1324" s="36" t="s">
        <v>299</v>
      </c>
      <c r="E1324" s="36" t="s">
        <v>151</v>
      </c>
      <c r="F1324" s="36" t="s">
        <v>152</v>
      </c>
      <c r="G1324" s="36" t="s">
        <v>8</v>
      </c>
      <c r="H1324" s="36" t="s">
        <v>143</v>
      </c>
      <c r="I1324" s="37">
        <v>3</v>
      </c>
      <c r="J1324" s="36"/>
    </row>
    <row r="1325" spans="1:10" x14ac:dyDescent="0.35">
      <c r="A1325" s="36" t="s">
        <v>1517</v>
      </c>
      <c r="B1325" s="35">
        <v>46116</v>
      </c>
      <c r="C1325" s="36" t="s">
        <v>298</v>
      </c>
      <c r="D1325" s="36" t="s">
        <v>299</v>
      </c>
      <c r="E1325" s="36" t="s">
        <v>153</v>
      </c>
      <c r="F1325" s="36" t="s">
        <v>154</v>
      </c>
      <c r="G1325" s="36" t="s">
        <v>12</v>
      </c>
      <c r="H1325" s="36" t="s">
        <v>155</v>
      </c>
      <c r="I1325" s="37">
        <v>1</v>
      </c>
      <c r="J1325" s="36"/>
    </row>
    <row r="1326" spans="1:10" x14ac:dyDescent="0.35">
      <c r="A1326" s="36" t="s">
        <v>1518</v>
      </c>
      <c r="B1326" s="35">
        <v>46116</v>
      </c>
      <c r="C1326" s="36" t="s">
        <v>298</v>
      </c>
      <c r="D1326" s="36" t="s">
        <v>299</v>
      </c>
      <c r="E1326" s="36" t="s">
        <v>100</v>
      </c>
      <c r="F1326" s="36" t="s">
        <v>101</v>
      </c>
      <c r="G1326" s="36" t="s">
        <v>102</v>
      </c>
      <c r="H1326" s="36" t="s">
        <v>103</v>
      </c>
      <c r="I1326" s="37">
        <v>3</v>
      </c>
      <c r="J1326" s="36"/>
    </row>
    <row r="1327" spans="1:10" x14ac:dyDescent="0.35">
      <c r="A1327" s="36" t="s">
        <v>1519</v>
      </c>
      <c r="B1327" s="35">
        <v>46116</v>
      </c>
      <c r="C1327" s="36" t="s">
        <v>298</v>
      </c>
      <c r="D1327" s="36" t="s">
        <v>299</v>
      </c>
      <c r="E1327" s="36" t="s">
        <v>51</v>
      </c>
      <c r="F1327" s="36" t="s">
        <v>52</v>
      </c>
      <c r="G1327" s="36" t="s">
        <v>53</v>
      </c>
      <c r="H1327" s="36" t="s">
        <v>42</v>
      </c>
      <c r="I1327" s="37">
        <v>8</v>
      </c>
      <c r="J1327" s="36"/>
    </row>
    <row r="1328" spans="1:10" x14ac:dyDescent="0.35">
      <c r="A1328" s="36" t="s">
        <v>1520</v>
      </c>
      <c r="B1328" s="35">
        <v>46116</v>
      </c>
      <c r="C1328" s="36" t="s">
        <v>298</v>
      </c>
      <c r="D1328" s="36" t="s">
        <v>299</v>
      </c>
      <c r="E1328" s="36" t="s">
        <v>67</v>
      </c>
      <c r="F1328" s="36" t="s">
        <v>68</v>
      </c>
      <c r="G1328" s="36" t="s">
        <v>66</v>
      </c>
      <c r="H1328" s="36" t="s">
        <v>42</v>
      </c>
      <c r="I1328" s="37">
        <v>4</v>
      </c>
      <c r="J1328" s="36"/>
    </row>
    <row r="1329" spans="1:10" x14ac:dyDescent="0.35">
      <c r="A1329" s="36" t="s">
        <v>1521</v>
      </c>
      <c r="B1329" s="35">
        <v>46118</v>
      </c>
      <c r="C1329" s="36" t="s">
        <v>210</v>
      </c>
      <c r="D1329" s="36" t="s">
        <v>211</v>
      </c>
      <c r="E1329" s="36" t="s">
        <v>94</v>
      </c>
      <c r="F1329" s="36" t="s">
        <v>95</v>
      </c>
      <c r="G1329" s="36" t="s">
        <v>93</v>
      </c>
      <c r="H1329" s="36" t="s">
        <v>96</v>
      </c>
      <c r="I1329" s="37">
        <v>8</v>
      </c>
      <c r="J1329" s="36"/>
    </row>
    <row r="1330" spans="1:10" x14ac:dyDescent="0.35">
      <c r="A1330" s="36" t="s">
        <v>1522</v>
      </c>
      <c r="B1330" s="35">
        <v>46118</v>
      </c>
      <c r="C1330" s="36" t="s">
        <v>210</v>
      </c>
      <c r="D1330" s="36" t="s">
        <v>211</v>
      </c>
      <c r="E1330" s="36" t="s">
        <v>125</v>
      </c>
      <c r="F1330" s="36" t="s">
        <v>126</v>
      </c>
      <c r="G1330" s="36" t="s">
        <v>14</v>
      </c>
      <c r="H1330" s="36" t="s">
        <v>127</v>
      </c>
      <c r="I1330" s="37">
        <v>2</v>
      </c>
      <c r="J1330" s="36"/>
    </row>
    <row r="1331" spans="1:10" x14ac:dyDescent="0.35">
      <c r="A1331" s="36" t="s">
        <v>1523</v>
      </c>
      <c r="B1331" s="35">
        <v>46118</v>
      </c>
      <c r="C1331" s="36" t="s">
        <v>210</v>
      </c>
      <c r="D1331" s="36" t="s">
        <v>211</v>
      </c>
      <c r="E1331" s="36" t="s">
        <v>88</v>
      </c>
      <c r="F1331" s="36" t="s">
        <v>89</v>
      </c>
      <c r="G1331" s="36" t="s">
        <v>74</v>
      </c>
      <c r="H1331" s="36" t="s">
        <v>90</v>
      </c>
      <c r="I1331" s="37">
        <v>5</v>
      </c>
      <c r="J1331" s="36"/>
    </row>
    <row r="1332" spans="1:10" x14ac:dyDescent="0.35">
      <c r="A1332" s="36" t="s">
        <v>1524</v>
      </c>
      <c r="B1332" s="35">
        <v>46118</v>
      </c>
      <c r="C1332" s="36" t="s">
        <v>210</v>
      </c>
      <c r="D1332" s="36" t="s">
        <v>211</v>
      </c>
      <c r="E1332" s="36" t="s">
        <v>46</v>
      </c>
      <c r="F1332" s="36" t="s">
        <v>47</v>
      </c>
      <c r="G1332" s="36" t="s">
        <v>31</v>
      </c>
      <c r="H1332" s="36" t="s">
        <v>42</v>
      </c>
      <c r="I1332" s="37">
        <v>10</v>
      </c>
      <c r="J1332" s="36"/>
    </row>
    <row r="1333" spans="1:10" x14ac:dyDescent="0.35">
      <c r="A1333" s="36" t="s">
        <v>1525</v>
      </c>
      <c r="B1333" s="35">
        <v>46118</v>
      </c>
      <c r="C1333" s="36" t="s">
        <v>210</v>
      </c>
      <c r="D1333" s="36" t="s">
        <v>211</v>
      </c>
      <c r="E1333" s="36" t="s">
        <v>111</v>
      </c>
      <c r="F1333" s="36" t="s">
        <v>112</v>
      </c>
      <c r="G1333" s="36" t="s">
        <v>102</v>
      </c>
      <c r="H1333" s="36" t="s">
        <v>113</v>
      </c>
      <c r="I1333" s="37">
        <v>6</v>
      </c>
      <c r="J1333" s="36"/>
    </row>
    <row r="1334" spans="1:10" x14ac:dyDescent="0.35">
      <c r="A1334" s="36" t="s">
        <v>1526</v>
      </c>
      <c r="B1334" s="35">
        <v>46118</v>
      </c>
      <c r="C1334" s="36" t="s">
        <v>210</v>
      </c>
      <c r="D1334" s="36" t="s">
        <v>211</v>
      </c>
      <c r="E1334" s="36" t="s">
        <v>81</v>
      </c>
      <c r="F1334" s="36" t="s">
        <v>82</v>
      </c>
      <c r="G1334" s="36" t="s">
        <v>74</v>
      </c>
      <c r="H1334" s="36" t="s">
        <v>80</v>
      </c>
      <c r="I1334" s="37">
        <v>9</v>
      </c>
      <c r="J1334" s="36"/>
    </row>
    <row r="1335" spans="1:10" x14ac:dyDescent="0.35">
      <c r="A1335" s="36" t="s">
        <v>1527</v>
      </c>
      <c r="B1335" s="35">
        <v>46118</v>
      </c>
      <c r="C1335" s="36" t="s">
        <v>190</v>
      </c>
      <c r="D1335" s="36" t="s">
        <v>191</v>
      </c>
      <c r="E1335" s="36" t="s">
        <v>138</v>
      </c>
      <c r="F1335" s="36" t="s">
        <v>139</v>
      </c>
      <c r="G1335" s="36" t="s">
        <v>6</v>
      </c>
      <c r="H1335" s="36" t="s">
        <v>140</v>
      </c>
      <c r="I1335" s="37">
        <v>12</v>
      </c>
      <c r="J1335" s="36"/>
    </row>
    <row r="1336" spans="1:10" x14ac:dyDescent="0.35">
      <c r="A1336" s="36" t="s">
        <v>1528</v>
      </c>
      <c r="B1336" s="35">
        <v>46118</v>
      </c>
      <c r="C1336" s="36" t="s">
        <v>190</v>
      </c>
      <c r="D1336" s="36" t="s">
        <v>191</v>
      </c>
      <c r="E1336" s="36" t="s">
        <v>149</v>
      </c>
      <c r="F1336" s="36" t="s">
        <v>150</v>
      </c>
      <c r="G1336" s="36" t="s">
        <v>8</v>
      </c>
      <c r="H1336" s="36" t="s">
        <v>75</v>
      </c>
      <c r="I1336" s="37">
        <v>7</v>
      </c>
      <c r="J1336" s="36"/>
    </row>
    <row r="1337" spans="1:10" x14ac:dyDescent="0.35">
      <c r="A1337" s="36" t="s">
        <v>1529</v>
      </c>
      <c r="B1337" s="35">
        <v>46118</v>
      </c>
      <c r="C1337" s="36" t="s">
        <v>190</v>
      </c>
      <c r="D1337" s="36" t="s">
        <v>191</v>
      </c>
      <c r="E1337" s="36" t="s">
        <v>91</v>
      </c>
      <c r="F1337" s="36" t="s">
        <v>92</v>
      </c>
      <c r="G1337" s="36" t="s">
        <v>93</v>
      </c>
      <c r="H1337" s="36" t="s">
        <v>85</v>
      </c>
      <c r="I1337" s="37">
        <v>7</v>
      </c>
      <c r="J1337" s="36"/>
    </row>
    <row r="1338" spans="1:10" x14ac:dyDescent="0.35">
      <c r="A1338" s="36" t="s">
        <v>1530</v>
      </c>
      <c r="B1338" s="35">
        <v>46118</v>
      </c>
      <c r="C1338" s="36" t="s">
        <v>190</v>
      </c>
      <c r="D1338" s="36" t="s">
        <v>191</v>
      </c>
      <c r="E1338" s="36" t="s">
        <v>117</v>
      </c>
      <c r="F1338" s="36" t="s">
        <v>118</v>
      </c>
      <c r="G1338" s="36" t="s">
        <v>14</v>
      </c>
      <c r="H1338" s="36" t="s">
        <v>119</v>
      </c>
      <c r="I1338" s="37">
        <v>2</v>
      </c>
      <c r="J1338" s="36"/>
    </row>
    <row r="1339" spans="1:10" x14ac:dyDescent="0.35">
      <c r="A1339" s="36" t="s">
        <v>1531</v>
      </c>
      <c r="B1339" s="35">
        <v>46118</v>
      </c>
      <c r="C1339" s="36" t="s">
        <v>190</v>
      </c>
      <c r="D1339" s="36" t="s">
        <v>191</v>
      </c>
      <c r="E1339" s="36" t="s">
        <v>46</v>
      </c>
      <c r="F1339" s="36" t="s">
        <v>47</v>
      </c>
      <c r="G1339" s="36" t="s">
        <v>31</v>
      </c>
      <c r="H1339" s="36" t="s">
        <v>42</v>
      </c>
      <c r="I1339" s="37">
        <v>27</v>
      </c>
      <c r="J1339" s="36"/>
    </row>
    <row r="1340" spans="1:10" x14ac:dyDescent="0.35">
      <c r="A1340" s="36" t="s">
        <v>1532</v>
      </c>
      <c r="B1340" s="35">
        <v>46118</v>
      </c>
      <c r="C1340" s="36" t="s">
        <v>190</v>
      </c>
      <c r="D1340" s="36" t="s">
        <v>191</v>
      </c>
      <c r="E1340" s="36" t="s">
        <v>161</v>
      </c>
      <c r="F1340" s="36" t="s">
        <v>162</v>
      </c>
      <c r="G1340" s="36" t="s">
        <v>159</v>
      </c>
      <c r="H1340" s="36" t="s">
        <v>163</v>
      </c>
      <c r="I1340" s="37">
        <v>6</v>
      </c>
      <c r="J1340" s="36"/>
    </row>
    <row r="1341" spans="1:10" x14ac:dyDescent="0.35">
      <c r="A1341" s="36" t="s">
        <v>1533</v>
      </c>
      <c r="B1341" s="35">
        <v>46121</v>
      </c>
      <c r="C1341" s="36" t="s">
        <v>190</v>
      </c>
      <c r="D1341" s="36" t="s">
        <v>191</v>
      </c>
      <c r="E1341" s="36" t="s">
        <v>138</v>
      </c>
      <c r="F1341" s="36" t="s">
        <v>139</v>
      </c>
      <c r="G1341" s="36" t="s">
        <v>6</v>
      </c>
      <c r="H1341" s="36" t="s">
        <v>140</v>
      </c>
      <c r="I1341" s="37">
        <v>16</v>
      </c>
      <c r="J1341" s="36"/>
    </row>
    <row r="1342" spans="1:10" x14ac:dyDescent="0.35">
      <c r="A1342" s="36" t="s">
        <v>1534</v>
      </c>
      <c r="B1342" s="35">
        <v>46121</v>
      </c>
      <c r="C1342" s="36" t="s">
        <v>190</v>
      </c>
      <c r="D1342" s="36" t="s">
        <v>191</v>
      </c>
      <c r="E1342" s="36" t="s">
        <v>40</v>
      </c>
      <c r="F1342" s="36" t="s">
        <v>41</v>
      </c>
      <c r="G1342" s="36" t="s">
        <v>31</v>
      </c>
      <c r="H1342" s="36" t="s">
        <v>42</v>
      </c>
      <c r="I1342" s="37">
        <v>12</v>
      </c>
      <c r="J1342" s="36"/>
    </row>
    <row r="1343" spans="1:10" x14ac:dyDescent="0.35">
      <c r="A1343" s="36" t="s">
        <v>1535</v>
      </c>
      <c r="B1343" s="35">
        <v>46121</v>
      </c>
      <c r="C1343" s="36" t="s">
        <v>190</v>
      </c>
      <c r="D1343" s="36" t="s">
        <v>191</v>
      </c>
      <c r="E1343" s="36" t="s">
        <v>83</v>
      </c>
      <c r="F1343" s="36" t="s">
        <v>84</v>
      </c>
      <c r="G1343" s="36" t="s">
        <v>74</v>
      </c>
      <c r="H1343" s="36" t="s">
        <v>85</v>
      </c>
      <c r="I1343" s="37">
        <v>18</v>
      </c>
      <c r="J1343" s="36"/>
    </row>
    <row r="1344" spans="1:10" x14ac:dyDescent="0.35">
      <c r="A1344" s="36" t="s">
        <v>1536</v>
      </c>
      <c r="B1344" s="35">
        <v>46121</v>
      </c>
      <c r="C1344" s="36" t="s">
        <v>190</v>
      </c>
      <c r="D1344" s="36" t="s">
        <v>191</v>
      </c>
      <c r="E1344" s="36" t="s">
        <v>48</v>
      </c>
      <c r="F1344" s="36" t="s">
        <v>49</v>
      </c>
      <c r="G1344" s="36" t="s">
        <v>31</v>
      </c>
      <c r="H1344" s="36" t="s">
        <v>50</v>
      </c>
      <c r="I1344" s="37">
        <v>13</v>
      </c>
      <c r="J1344" s="36"/>
    </row>
    <row r="1345" spans="1:10" x14ac:dyDescent="0.35">
      <c r="A1345" s="36" t="s">
        <v>1537</v>
      </c>
      <c r="B1345" s="35">
        <v>46121</v>
      </c>
      <c r="C1345" s="36" t="s">
        <v>190</v>
      </c>
      <c r="D1345" s="36" t="s">
        <v>191</v>
      </c>
      <c r="E1345" s="36" t="s">
        <v>111</v>
      </c>
      <c r="F1345" s="36" t="s">
        <v>112</v>
      </c>
      <c r="G1345" s="36" t="s">
        <v>102</v>
      </c>
      <c r="H1345" s="36" t="s">
        <v>113</v>
      </c>
      <c r="I1345" s="37">
        <v>18</v>
      </c>
      <c r="J1345" s="36"/>
    </row>
    <row r="1346" spans="1:10" x14ac:dyDescent="0.35">
      <c r="A1346" s="36" t="s">
        <v>1538</v>
      </c>
      <c r="B1346" s="35">
        <v>46121</v>
      </c>
      <c r="C1346" s="36" t="s">
        <v>190</v>
      </c>
      <c r="D1346" s="36" t="s">
        <v>191</v>
      </c>
      <c r="E1346" s="36" t="s">
        <v>137</v>
      </c>
      <c r="F1346" s="36" t="s">
        <v>15</v>
      </c>
      <c r="G1346" s="36" t="s">
        <v>6</v>
      </c>
      <c r="H1346" s="36" t="s">
        <v>136</v>
      </c>
      <c r="I1346" s="37">
        <v>14</v>
      </c>
      <c r="J1346" s="36"/>
    </row>
    <row r="1347" spans="1:10" x14ac:dyDescent="0.35">
      <c r="A1347" s="36" t="s">
        <v>1539</v>
      </c>
      <c r="B1347" s="35">
        <v>46121</v>
      </c>
      <c r="C1347" s="36" t="s">
        <v>190</v>
      </c>
      <c r="D1347" s="36" t="s">
        <v>191</v>
      </c>
      <c r="E1347" s="36" t="s">
        <v>59</v>
      </c>
      <c r="F1347" s="36" t="s">
        <v>60</v>
      </c>
      <c r="G1347" s="36" t="s">
        <v>53</v>
      </c>
      <c r="H1347" s="36" t="s">
        <v>56</v>
      </c>
      <c r="I1347" s="37">
        <v>14</v>
      </c>
      <c r="J1347" s="36"/>
    </row>
    <row r="1348" spans="1:10" x14ac:dyDescent="0.35">
      <c r="A1348" s="36" t="s">
        <v>1540</v>
      </c>
      <c r="B1348" s="35">
        <v>46121</v>
      </c>
      <c r="C1348" s="36" t="s">
        <v>298</v>
      </c>
      <c r="D1348" s="36" t="s">
        <v>299</v>
      </c>
      <c r="E1348" s="36" t="s">
        <v>86</v>
      </c>
      <c r="F1348" s="36" t="s">
        <v>87</v>
      </c>
      <c r="G1348" s="36" t="s">
        <v>74</v>
      </c>
      <c r="H1348" s="36" t="s">
        <v>75</v>
      </c>
      <c r="I1348" s="37">
        <v>2</v>
      </c>
      <c r="J1348" s="36"/>
    </row>
    <row r="1349" spans="1:10" x14ac:dyDescent="0.35">
      <c r="A1349" s="36" t="s">
        <v>1541</v>
      </c>
      <c r="B1349" s="35">
        <v>46121</v>
      </c>
      <c r="C1349" s="36" t="s">
        <v>298</v>
      </c>
      <c r="D1349" s="36" t="s">
        <v>299</v>
      </c>
      <c r="E1349" s="36" t="s">
        <v>51</v>
      </c>
      <c r="F1349" s="36" t="s">
        <v>52</v>
      </c>
      <c r="G1349" s="36" t="s">
        <v>53</v>
      </c>
      <c r="H1349" s="36" t="s">
        <v>42</v>
      </c>
      <c r="I1349" s="37">
        <v>5</v>
      </c>
      <c r="J1349" s="36"/>
    </row>
    <row r="1350" spans="1:10" x14ac:dyDescent="0.35">
      <c r="A1350" s="36" t="s">
        <v>1542</v>
      </c>
      <c r="B1350" s="35">
        <v>46121</v>
      </c>
      <c r="C1350" s="36" t="s">
        <v>298</v>
      </c>
      <c r="D1350" s="36" t="s">
        <v>299</v>
      </c>
      <c r="E1350" s="36" t="s">
        <v>146</v>
      </c>
      <c r="F1350" s="36" t="s">
        <v>147</v>
      </c>
      <c r="G1350" s="36" t="s">
        <v>8</v>
      </c>
      <c r="H1350" s="36" t="s">
        <v>148</v>
      </c>
      <c r="I1350" s="37">
        <v>1</v>
      </c>
      <c r="J1350" s="36"/>
    </row>
    <row r="1351" spans="1:10" x14ac:dyDescent="0.35">
      <c r="A1351" s="36" t="s">
        <v>1543</v>
      </c>
      <c r="B1351" s="35">
        <v>46121</v>
      </c>
      <c r="C1351" s="36" t="s">
        <v>298</v>
      </c>
      <c r="D1351" s="36" t="s">
        <v>299</v>
      </c>
      <c r="E1351" s="36" t="s">
        <v>130</v>
      </c>
      <c r="F1351" s="36" t="s">
        <v>16</v>
      </c>
      <c r="G1351" s="36" t="s">
        <v>10</v>
      </c>
      <c r="H1351" s="36" t="s">
        <v>131</v>
      </c>
      <c r="I1351" s="37">
        <v>2</v>
      </c>
      <c r="J1351" s="36"/>
    </row>
    <row r="1352" spans="1:10" x14ac:dyDescent="0.35">
      <c r="A1352" s="36" t="s">
        <v>1544</v>
      </c>
      <c r="B1352" s="35">
        <v>46121</v>
      </c>
      <c r="C1352" s="36" t="s">
        <v>298</v>
      </c>
      <c r="D1352" s="36" t="s">
        <v>299</v>
      </c>
      <c r="E1352" s="36" t="s">
        <v>54</v>
      </c>
      <c r="F1352" s="36" t="s">
        <v>55</v>
      </c>
      <c r="G1352" s="36" t="s">
        <v>53</v>
      </c>
      <c r="H1352" s="36" t="s">
        <v>56</v>
      </c>
      <c r="I1352" s="37">
        <v>8</v>
      </c>
      <c r="J1352" s="36"/>
    </row>
    <row r="1353" spans="1:10" x14ac:dyDescent="0.35">
      <c r="A1353" s="36" t="s">
        <v>1545</v>
      </c>
      <c r="B1353" s="35">
        <v>46121</v>
      </c>
      <c r="C1353" s="36" t="s">
        <v>298</v>
      </c>
      <c r="D1353" s="36" t="s">
        <v>299</v>
      </c>
      <c r="E1353" s="36" t="s">
        <v>161</v>
      </c>
      <c r="F1353" s="36" t="s">
        <v>162</v>
      </c>
      <c r="G1353" s="36" t="s">
        <v>159</v>
      </c>
      <c r="H1353" s="36" t="s">
        <v>163</v>
      </c>
      <c r="I1353" s="37">
        <v>2</v>
      </c>
      <c r="J1353" s="36"/>
    </row>
    <row r="1354" spans="1:10" x14ac:dyDescent="0.35">
      <c r="A1354" s="36" t="s">
        <v>1546</v>
      </c>
      <c r="B1354" s="35">
        <v>46121</v>
      </c>
      <c r="C1354" s="36" t="s">
        <v>298</v>
      </c>
      <c r="D1354" s="36" t="s">
        <v>299</v>
      </c>
      <c r="E1354" s="36" t="s">
        <v>67</v>
      </c>
      <c r="F1354" s="36" t="s">
        <v>68</v>
      </c>
      <c r="G1354" s="36" t="s">
        <v>66</v>
      </c>
      <c r="H1354" s="36" t="s">
        <v>42</v>
      </c>
      <c r="I1354" s="37">
        <v>4</v>
      </c>
      <c r="J1354" s="36"/>
    </row>
    <row r="1355" spans="1:10" x14ac:dyDescent="0.35">
      <c r="A1355" s="36" t="s">
        <v>1547</v>
      </c>
      <c r="B1355" s="35">
        <v>46121</v>
      </c>
      <c r="C1355" s="36" t="s">
        <v>298</v>
      </c>
      <c r="D1355" s="36" t="s">
        <v>299</v>
      </c>
      <c r="E1355" s="36" t="s">
        <v>37</v>
      </c>
      <c r="F1355" s="36" t="s">
        <v>38</v>
      </c>
      <c r="G1355" s="36" t="s">
        <v>31</v>
      </c>
      <c r="H1355" s="36" t="s">
        <v>39</v>
      </c>
      <c r="I1355" s="37">
        <v>7</v>
      </c>
      <c r="J1355" s="36"/>
    </row>
    <row r="1356" spans="1:10" x14ac:dyDescent="0.35">
      <c r="A1356" s="36" t="s">
        <v>1548</v>
      </c>
      <c r="B1356" s="35">
        <v>46121</v>
      </c>
      <c r="C1356" s="36" t="s">
        <v>298</v>
      </c>
      <c r="D1356" s="36" t="s">
        <v>299</v>
      </c>
      <c r="E1356" s="36" t="s">
        <v>132</v>
      </c>
      <c r="F1356" s="36" t="s">
        <v>133</v>
      </c>
      <c r="G1356" s="36" t="s">
        <v>10</v>
      </c>
      <c r="H1356" s="36" t="s">
        <v>134</v>
      </c>
      <c r="I1356" s="37">
        <v>1</v>
      </c>
      <c r="J1356" s="36"/>
    </row>
    <row r="1357" spans="1:10" x14ac:dyDescent="0.35">
      <c r="A1357" s="36" t="s">
        <v>1549</v>
      </c>
      <c r="B1357" s="35">
        <v>46121</v>
      </c>
      <c r="C1357" s="36" t="s">
        <v>298</v>
      </c>
      <c r="D1357" s="36" t="s">
        <v>299</v>
      </c>
      <c r="E1357" s="36" t="s">
        <v>61</v>
      </c>
      <c r="F1357" s="36" t="s">
        <v>62</v>
      </c>
      <c r="G1357" s="36" t="s">
        <v>53</v>
      </c>
      <c r="H1357" s="36" t="s">
        <v>42</v>
      </c>
      <c r="I1357" s="37">
        <v>5</v>
      </c>
      <c r="J1357" s="36"/>
    </row>
    <row r="1358" spans="1:10" x14ac:dyDescent="0.35">
      <c r="A1358" s="36" t="s">
        <v>1550</v>
      </c>
      <c r="B1358" s="35">
        <v>46121</v>
      </c>
      <c r="C1358" s="36" t="s">
        <v>210</v>
      </c>
      <c r="D1358" s="36" t="s">
        <v>211</v>
      </c>
      <c r="E1358" s="36" t="s">
        <v>161</v>
      </c>
      <c r="F1358" s="36" t="s">
        <v>162</v>
      </c>
      <c r="G1358" s="36" t="s">
        <v>159</v>
      </c>
      <c r="H1358" s="36" t="s">
        <v>163</v>
      </c>
      <c r="I1358" s="37">
        <v>4</v>
      </c>
      <c r="J1358" s="36"/>
    </row>
    <row r="1359" spans="1:10" x14ac:dyDescent="0.35">
      <c r="A1359" s="36" t="s">
        <v>1551</v>
      </c>
      <c r="B1359" s="35">
        <v>46121</v>
      </c>
      <c r="C1359" s="36" t="s">
        <v>210</v>
      </c>
      <c r="D1359" s="36" t="s">
        <v>211</v>
      </c>
      <c r="E1359" s="36" t="s">
        <v>59</v>
      </c>
      <c r="F1359" s="36" t="s">
        <v>60</v>
      </c>
      <c r="G1359" s="36" t="s">
        <v>53</v>
      </c>
      <c r="H1359" s="36" t="s">
        <v>56</v>
      </c>
      <c r="I1359" s="37">
        <v>16</v>
      </c>
      <c r="J1359" s="36"/>
    </row>
    <row r="1360" spans="1:10" x14ac:dyDescent="0.35">
      <c r="A1360" s="36" t="s">
        <v>1552</v>
      </c>
      <c r="B1360" s="35">
        <v>46121</v>
      </c>
      <c r="C1360" s="36" t="s">
        <v>210</v>
      </c>
      <c r="D1360" s="36" t="s">
        <v>211</v>
      </c>
      <c r="E1360" s="36" t="s">
        <v>34</v>
      </c>
      <c r="F1360" s="36" t="s">
        <v>35</v>
      </c>
      <c r="G1360" s="36" t="s">
        <v>31</v>
      </c>
      <c r="H1360" s="36" t="s">
        <v>36</v>
      </c>
      <c r="I1360" s="37">
        <v>13</v>
      </c>
      <c r="J1360" s="36"/>
    </row>
    <row r="1361" spans="1:10" x14ac:dyDescent="0.35">
      <c r="A1361" s="36" t="s">
        <v>1553</v>
      </c>
      <c r="B1361" s="35">
        <v>46121</v>
      </c>
      <c r="C1361" s="36" t="s">
        <v>210</v>
      </c>
      <c r="D1361" s="36" t="s">
        <v>211</v>
      </c>
      <c r="E1361" s="36" t="s">
        <v>117</v>
      </c>
      <c r="F1361" s="36" t="s">
        <v>118</v>
      </c>
      <c r="G1361" s="36" t="s">
        <v>14</v>
      </c>
      <c r="H1361" s="36" t="s">
        <v>119</v>
      </c>
      <c r="I1361" s="37">
        <v>4</v>
      </c>
      <c r="J1361" s="36"/>
    </row>
    <row r="1362" spans="1:10" x14ac:dyDescent="0.35">
      <c r="A1362" s="36" t="s">
        <v>1554</v>
      </c>
      <c r="B1362" s="35">
        <v>46121</v>
      </c>
      <c r="C1362" s="36" t="s">
        <v>210</v>
      </c>
      <c r="D1362" s="36" t="s">
        <v>211</v>
      </c>
      <c r="E1362" s="36" t="s">
        <v>46</v>
      </c>
      <c r="F1362" s="36" t="s">
        <v>47</v>
      </c>
      <c r="G1362" s="36" t="s">
        <v>31</v>
      </c>
      <c r="H1362" s="36" t="s">
        <v>42</v>
      </c>
      <c r="I1362" s="37">
        <v>8</v>
      </c>
      <c r="J1362" s="36"/>
    </row>
    <row r="1363" spans="1:10" x14ac:dyDescent="0.35">
      <c r="A1363" s="36" t="s">
        <v>1555</v>
      </c>
      <c r="B1363" s="35">
        <v>46121</v>
      </c>
      <c r="C1363" s="36" t="s">
        <v>210</v>
      </c>
      <c r="D1363" s="36" t="s">
        <v>211</v>
      </c>
      <c r="E1363" s="36" t="s">
        <v>29</v>
      </c>
      <c r="F1363" s="36" t="s">
        <v>30</v>
      </c>
      <c r="G1363" s="36" t="s">
        <v>31</v>
      </c>
      <c r="H1363" s="36" t="s">
        <v>32</v>
      </c>
      <c r="I1363" s="37">
        <v>12</v>
      </c>
      <c r="J1363" s="36"/>
    </row>
    <row r="1364" spans="1:10" x14ac:dyDescent="0.35">
      <c r="A1364" s="36" t="s">
        <v>1556</v>
      </c>
      <c r="B1364" s="35">
        <v>46121</v>
      </c>
      <c r="C1364" s="36" t="s">
        <v>210</v>
      </c>
      <c r="D1364" s="36" t="s">
        <v>211</v>
      </c>
      <c r="E1364" s="36" t="s">
        <v>149</v>
      </c>
      <c r="F1364" s="36" t="s">
        <v>150</v>
      </c>
      <c r="G1364" s="36" t="s">
        <v>8</v>
      </c>
      <c r="H1364" s="36" t="s">
        <v>75</v>
      </c>
      <c r="I1364" s="37">
        <v>6</v>
      </c>
      <c r="J1364" s="36"/>
    </row>
    <row r="1365" spans="1:10" x14ac:dyDescent="0.35">
      <c r="A1365" s="36" t="s">
        <v>1557</v>
      </c>
      <c r="B1365" s="35">
        <v>46121</v>
      </c>
      <c r="C1365" s="36" t="s">
        <v>210</v>
      </c>
      <c r="D1365" s="36" t="s">
        <v>211</v>
      </c>
      <c r="E1365" s="36" t="s">
        <v>61</v>
      </c>
      <c r="F1365" s="36" t="s">
        <v>62</v>
      </c>
      <c r="G1365" s="36" t="s">
        <v>53</v>
      </c>
      <c r="H1365" s="36" t="s">
        <v>42</v>
      </c>
      <c r="I1365" s="37">
        <v>12</v>
      </c>
      <c r="J1365" s="36"/>
    </row>
    <row r="1366" spans="1:10" x14ac:dyDescent="0.35">
      <c r="A1366" s="36" t="s">
        <v>1558</v>
      </c>
      <c r="B1366" s="35">
        <v>46121</v>
      </c>
      <c r="C1366" s="36" t="s">
        <v>210</v>
      </c>
      <c r="D1366" s="36" t="s">
        <v>211</v>
      </c>
      <c r="E1366" s="36" t="s">
        <v>151</v>
      </c>
      <c r="F1366" s="36" t="s">
        <v>152</v>
      </c>
      <c r="G1366" s="36" t="s">
        <v>8</v>
      </c>
      <c r="H1366" s="36" t="s">
        <v>143</v>
      </c>
      <c r="I1366" s="37">
        <v>8</v>
      </c>
      <c r="J1366" s="36"/>
    </row>
    <row r="1367" spans="1:10" x14ac:dyDescent="0.35">
      <c r="A1367" s="36" t="s">
        <v>1559</v>
      </c>
      <c r="B1367" s="35">
        <v>46121</v>
      </c>
      <c r="C1367" s="36" t="s">
        <v>210</v>
      </c>
      <c r="D1367" s="36" t="s">
        <v>211</v>
      </c>
      <c r="E1367" s="36" t="s">
        <v>132</v>
      </c>
      <c r="F1367" s="36" t="s">
        <v>133</v>
      </c>
      <c r="G1367" s="36" t="s">
        <v>10</v>
      </c>
      <c r="H1367" s="36" t="s">
        <v>134</v>
      </c>
      <c r="I1367" s="37">
        <v>6</v>
      </c>
      <c r="J1367" s="36"/>
    </row>
    <row r="1368" spans="1:10" x14ac:dyDescent="0.35">
      <c r="A1368" s="36" t="s">
        <v>1560</v>
      </c>
      <c r="B1368" s="35">
        <v>46121</v>
      </c>
      <c r="C1368" s="36" t="s">
        <v>210</v>
      </c>
      <c r="D1368" s="36" t="s">
        <v>211</v>
      </c>
      <c r="E1368" s="36" t="s">
        <v>81</v>
      </c>
      <c r="F1368" s="36" t="s">
        <v>82</v>
      </c>
      <c r="G1368" s="36" t="s">
        <v>74</v>
      </c>
      <c r="H1368" s="36" t="s">
        <v>80</v>
      </c>
      <c r="I1368" s="37">
        <v>5</v>
      </c>
      <c r="J1368" s="36"/>
    </row>
    <row r="1369" spans="1:10" x14ac:dyDescent="0.35">
      <c r="A1369" s="36" t="s">
        <v>1561</v>
      </c>
      <c r="B1369" s="35">
        <v>46132</v>
      </c>
      <c r="C1369" s="36" t="s">
        <v>190</v>
      </c>
      <c r="D1369" s="36" t="s">
        <v>191</v>
      </c>
      <c r="E1369" s="36" t="s">
        <v>91</v>
      </c>
      <c r="F1369" s="36" t="s">
        <v>92</v>
      </c>
      <c r="G1369" s="36" t="s">
        <v>93</v>
      </c>
      <c r="H1369" s="36" t="s">
        <v>85</v>
      </c>
      <c r="I1369" s="37">
        <v>12</v>
      </c>
      <c r="J1369" s="36"/>
    </row>
    <row r="1370" spans="1:10" x14ac:dyDescent="0.35">
      <c r="A1370" s="36" t="s">
        <v>1562</v>
      </c>
      <c r="B1370" s="35">
        <v>46132</v>
      </c>
      <c r="C1370" s="36" t="s">
        <v>190</v>
      </c>
      <c r="D1370" s="36" t="s">
        <v>191</v>
      </c>
      <c r="E1370" s="36" t="s">
        <v>104</v>
      </c>
      <c r="F1370" s="36" t="s">
        <v>105</v>
      </c>
      <c r="G1370" s="36" t="s">
        <v>102</v>
      </c>
      <c r="H1370" s="36" t="s">
        <v>103</v>
      </c>
      <c r="I1370" s="37">
        <v>21</v>
      </c>
      <c r="J1370" s="36"/>
    </row>
    <row r="1371" spans="1:10" x14ac:dyDescent="0.35">
      <c r="A1371" s="36" t="s">
        <v>1563</v>
      </c>
      <c r="B1371" s="35">
        <v>46132</v>
      </c>
      <c r="C1371" s="36" t="s">
        <v>190</v>
      </c>
      <c r="D1371" s="36" t="s">
        <v>191</v>
      </c>
      <c r="E1371" s="36" t="s">
        <v>29</v>
      </c>
      <c r="F1371" s="36" t="s">
        <v>30</v>
      </c>
      <c r="G1371" s="36" t="s">
        <v>31</v>
      </c>
      <c r="H1371" s="36" t="s">
        <v>32</v>
      </c>
      <c r="I1371" s="37">
        <v>27</v>
      </c>
      <c r="J1371" s="36"/>
    </row>
    <row r="1372" spans="1:10" x14ac:dyDescent="0.35">
      <c r="A1372" s="36" t="s">
        <v>1564</v>
      </c>
      <c r="B1372" s="35">
        <v>46132</v>
      </c>
      <c r="C1372" s="36" t="s">
        <v>190</v>
      </c>
      <c r="D1372" s="36" t="s">
        <v>191</v>
      </c>
      <c r="E1372" s="36" t="s">
        <v>128</v>
      </c>
      <c r="F1372" s="36" t="s">
        <v>9</v>
      </c>
      <c r="G1372" s="36" t="s">
        <v>10</v>
      </c>
      <c r="H1372" s="36" t="s">
        <v>129</v>
      </c>
      <c r="I1372" s="37">
        <v>9</v>
      </c>
      <c r="J1372" s="36"/>
    </row>
    <row r="1373" spans="1:10" x14ac:dyDescent="0.35">
      <c r="A1373" s="36" t="s">
        <v>1565</v>
      </c>
      <c r="B1373" s="35">
        <v>46132</v>
      </c>
      <c r="C1373" s="36" t="s">
        <v>190</v>
      </c>
      <c r="D1373" s="36" t="s">
        <v>191</v>
      </c>
      <c r="E1373" s="36" t="s">
        <v>72</v>
      </c>
      <c r="F1373" s="36" t="s">
        <v>73</v>
      </c>
      <c r="G1373" s="36" t="s">
        <v>74</v>
      </c>
      <c r="H1373" s="36" t="s">
        <v>75</v>
      </c>
      <c r="I1373" s="37">
        <v>13</v>
      </c>
      <c r="J1373" s="36"/>
    </row>
    <row r="1374" spans="1:10" x14ac:dyDescent="0.35">
      <c r="A1374" s="36" t="s">
        <v>1566</v>
      </c>
      <c r="B1374" s="35">
        <v>46132</v>
      </c>
      <c r="C1374" s="36" t="s">
        <v>190</v>
      </c>
      <c r="D1374" s="36" t="s">
        <v>191</v>
      </c>
      <c r="E1374" s="36" t="s">
        <v>64</v>
      </c>
      <c r="F1374" s="36" t="s">
        <v>65</v>
      </c>
      <c r="G1374" s="36" t="s">
        <v>66</v>
      </c>
      <c r="H1374" s="36" t="s">
        <v>42</v>
      </c>
      <c r="I1374" s="37">
        <v>13</v>
      </c>
      <c r="J1374" s="36"/>
    </row>
    <row r="1375" spans="1:10" x14ac:dyDescent="0.35">
      <c r="A1375" s="36" t="s">
        <v>1567</v>
      </c>
      <c r="B1375" s="35">
        <v>46132</v>
      </c>
      <c r="C1375" s="36" t="s">
        <v>190</v>
      </c>
      <c r="D1375" s="36" t="s">
        <v>191</v>
      </c>
      <c r="E1375" s="36" t="s">
        <v>51</v>
      </c>
      <c r="F1375" s="36" t="s">
        <v>52</v>
      </c>
      <c r="G1375" s="36" t="s">
        <v>53</v>
      </c>
      <c r="H1375" s="36" t="s">
        <v>42</v>
      </c>
      <c r="I1375" s="37">
        <v>17</v>
      </c>
      <c r="J1375" s="36"/>
    </row>
    <row r="1376" spans="1:10" x14ac:dyDescent="0.35">
      <c r="A1376" s="36" t="s">
        <v>1568</v>
      </c>
      <c r="B1376" s="35">
        <v>46132</v>
      </c>
      <c r="C1376" s="36" t="s">
        <v>190</v>
      </c>
      <c r="D1376" s="36" t="s">
        <v>191</v>
      </c>
      <c r="E1376" s="36" t="s">
        <v>122</v>
      </c>
      <c r="F1376" s="36" t="s">
        <v>123</v>
      </c>
      <c r="G1376" s="36" t="s">
        <v>14</v>
      </c>
      <c r="H1376" s="36" t="s">
        <v>124</v>
      </c>
      <c r="I1376" s="37">
        <v>2</v>
      </c>
      <c r="J1376" s="36"/>
    </row>
    <row r="1377" spans="1:10" x14ac:dyDescent="0.35">
      <c r="A1377" s="36" t="s">
        <v>1569</v>
      </c>
      <c r="B1377" s="35">
        <v>46132</v>
      </c>
      <c r="C1377" s="36" t="s">
        <v>190</v>
      </c>
      <c r="D1377" s="36" t="s">
        <v>191</v>
      </c>
      <c r="E1377" s="36" t="s">
        <v>48</v>
      </c>
      <c r="F1377" s="36" t="s">
        <v>49</v>
      </c>
      <c r="G1377" s="36" t="s">
        <v>31</v>
      </c>
      <c r="H1377" s="36" t="s">
        <v>50</v>
      </c>
      <c r="I1377" s="37">
        <v>13</v>
      </c>
      <c r="J1377" s="36"/>
    </row>
    <row r="1378" spans="1:10" x14ac:dyDescent="0.35">
      <c r="A1378" s="36" t="s">
        <v>1570</v>
      </c>
      <c r="B1378" s="35">
        <v>46132</v>
      </c>
      <c r="C1378" s="36" t="s">
        <v>298</v>
      </c>
      <c r="D1378" s="36" t="s">
        <v>299</v>
      </c>
      <c r="E1378" s="36" t="s">
        <v>146</v>
      </c>
      <c r="F1378" s="36" t="s">
        <v>147</v>
      </c>
      <c r="G1378" s="36" t="s">
        <v>8</v>
      </c>
      <c r="H1378" s="36" t="s">
        <v>148</v>
      </c>
      <c r="I1378" s="37">
        <v>1</v>
      </c>
      <c r="J1378" s="36"/>
    </row>
    <row r="1379" spans="1:10" x14ac:dyDescent="0.35">
      <c r="A1379" s="36" t="s">
        <v>1571</v>
      </c>
      <c r="B1379" s="35">
        <v>46132</v>
      </c>
      <c r="C1379" s="36" t="s">
        <v>298</v>
      </c>
      <c r="D1379" s="36" t="s">
        <v>299</v>
      </c>
      <c r="E1379" s="36" t="s">
        <v>61</v>
      </c>
      <c r="F1379" s="36" t="s">
        <v>62</v>
      </c>
      <c r="G1379" s="36" t="s">
        <v>53</v>
      </c>
      <c r="H1379" s="36" t="s">
        <v>42</v>
      </c>
      <c r="I1379" s="37">
        <v>6</v>
      </c>
      <c r="J1379" s="36"/>
    </row>
    <row r="1380" spans="1:10" x14ac:dyDescent="0.35">
      <c r="A1380" s="36" t="s">
        <v>1572</v>
      </c>
      <c r="B1380" s="35">
        <v>46132</v>
      </c>
      <c r="C1380" s="36" t="s">
        <v>298</v>
      </c>
      <c r="D1380" s="36" t="s">
        <v>299</v>
      </c>
      <c r="E1380" s="36" t="s">
        <v>59</v>
      </c>
      <c r="F1380" s="36" t="s">
        <v>60</v>
      </c>
      <c r="G1380" s="36" t="s">
        <v>53</v>
      </c>
      <c r="H1380" s="36" t="s">
        <v>56</v>
      </c>
      <c r="I1380" s="37">
        <v>5</v>
      </c>
      <c r="J1380" s="36"/>
    </row>
    <row r="1381" spans="1:10" x14ac:dyDescent="0.35">
      <c r="A1381" s="36" t="s">
        <v>1573</v>
      </c>
      <c r="B1381" s="35">
        <v>46132</v>
      </c>
      <c r="C1381" s="36" t="s">
        <v>298</v>
      </c>
      <c r="D1381" s="36" t="s">
        <v>299</v>
      </c>
      <c r="E1381" s="36" t="s">
        <v>144</v>
      </c>
      <c r="F1381" s="36" t="s">
        <v>7</v>
      </c>
      <c r="G1381" s="36" t="s">
        <v>8</v>
      </c>
      <c r="H1381" s="36" t="s">
        <v>145</v>
      </c>
      <c r="I1381" s="37">
        <v>2</v>
      </c>
      <c r="J1381" s="36"/>
    </row>
    <row r="1382" spans="1:10" x14ac:dyDescent="0.35">
      <c r="A1382" s="36" t="s">
        <v>1574</v>
      </c>
      <c r="B1382" s="35">
        <v>46132</v>
      </c>
      <c r="C1382" s="36" t="s">
        <v>298</v>
      </c>
      <c r="D1382" s="36" t="s">
        <v>299</v>
      </c>
      <c r="E1382" s="36" t="s">
        <v>37</v>
      </c>
      <c r="F1382" s="36" t="s">
        <v>38</v>
      </c>
      <c r="G1382" s="36" t="s">
        <v>31</v>
      </c>
      <c r="H1382" s="36" t="s">
        <v>39</v>
      </c>
      <c r="I1382" s="37">
        <v>5</v>
      </c>
      <c r="J1382" s="36"/>
    </row>
    <row r="1383" spans="1:10" x14ac:dyDescent="0.35">
      <c r="A1383" s="36" t="s">
        <v>1575</v>
      </c>
      <c r="B1383" s="35">
        <v>46133</v>
      </c>
      <c r="C1383" s="36" t="s">
        <v>190</v>
      </c>
      <c r="D1383" s="36" t="s">
        <v>191</v>
      </c>
      <c r="E1383" s="36" t="s">
        <v>125</v>
      </c>
      <c r="F1383" s="36" t="s">
        <v>126</v>
      </c>
      <c r="G1383" s="36" t="s">
        <v>14</v>
      </c>
      <c r="H1383" s="36" t="s">
        <v>127</v>
      </c>
      <c r="I1383" s="37">
        <v>4</v>
      </c>
      <c r="J1383" s="36"/>
    </row>
    <row r="1384" spans="1:10" x14ac:dyDescent="0.35">
      <c r="A1384" s="36" t="s">
        <v>1576</v>
      </c>
      <c r="B1384" s="35">
        <v>46133</v>
      </c>
      <c r="C1384" s="36" t="s">
        <v>190</v>
      </c>
      <c r="D1384" s="36" t="s">
        <v>191</v>
      </c>
      <c r="E1384" s="36" t="s">
        <v>61</v>
      </c>
      <c r="F1384" s="36" t="s">
        <v>62</v>
      </c>
      <c r="G1384" s="36" t="s">
        <v>53</v>
      </c>
      <c r="H1384" s="36" t="s">
        <v>42</v>
      </c>
      <c r="I1384" s="37">
        <v>14</v>
      </c>
      <c r="J1384" s="36"/>
    </row>
    <row r="1385" spans="1:10" x14ac:dyDescent="0.35">
      <c r="A1385" s="36" t="s">
        <v>1577</v>
      </c>
      <c r="B1385" s="35">
        <v>46133</v>
      </c>
      <c r="C1385" s="36" t="s">
        <v>190</v>
      </c>
      <c r="D1385" s="36" t="s">
        <v>191</v>
      </c>
      <c r="E1385" s="36" t="s">
        <v>59</v>
      </c>
      <c r="F1385" s="36" t="s">
        <v>60</v>
      </c>
      <c r="G1385" s="36" t="s">
        <v>53</v>
      </c>
      <c r="H1385" s="36" t="s">
        <v>56</v>
      </c>
      <c r="I1385" s="37">
        <v>17</v>
      </c>
      <c r="J1385" s="36"/>
    </row>
    <row r="1386" spans="1:10" x14ac:dyDescent="0.35">
      <c r="A1386" s="36" t="s">
        <v>1578</v>
      </c>
      <c r="B1386" s="35">
        <v>46133</v>
      </c>
      <c r="C1386" s="36" t="s">
        <v>190</v>
      </c>
      <c r="D1386" s="36" t="s">
        <v>191</v>
      </c>
      <c r="E1386" s="36" t="s">
        <v>34</v>
      </c>
      <c r="F1386" s="36" t="s">
        <v>35</v>
      </c>
      <c r="G1386" s="36" t="s">
        <v>31</v>
      </c>
      <c r="H1386" s="36" t="s">
        <v>36</v>
      </c>
      <c r="I1386" s="37">
        <v>18</v>
      </c>
      <c r="J1386" s="36"/>
    </row>
    <row r="1387" spans="1:10" x14ac:dyDescent="0.35">
      <c r="A1387" s="36" t="s">
        <v>1579</v>
      </c>
      <c r="B1387" s="35">
        <v>46133</v>
      </c>
      <c r="C1387" s="36" t="s">
        <v>190</v>
      </c>
      <c r="D1387" s="36" t="s">
        <v>191</v>
      </c>
      <c r="E1387" s="36" t="s">
        <v>117</v>
      </c>
      <c r="F1387" s="36" t="s">
        <v>118</v>
      </c>
      <c r="G1387" s="36" t="s">
        <v>14</v>
      </c>
      <c r="H1387" s="36" t="s">
        <v>119</v>
      </c>
      <c r="I1387" s="37">
        <v>4</v>
      </c>
      <c r="J1387" s="36"/>
    </row>
    <row r="1388" spans="1:10" x14ac:dyDescent="0.35">
      <c r="A1388" s="36" t="s">
        <v>1580</v>
      </c>
      <c r="B1388" s="35">
        <v>46133</v>
      </c>
      <c r="C1388" s="36" t="s">
        <v>210</v>
      </c>
      <c r="D1388" s="36" t="s">
        <v>211</v>
      </c>
      <c r="E1388" s="36" t="s">
        <v>64</v>
      </c>
      <c r="F1388" s="36" t="s">
        <v>65</v>
      </c>
      <c r="G1388" s="36" t="s">
        <v>66</v>
      </c>
      <c r="H1388" s="36" t="s">
        <v>42</v>
      </c>
      <c r="I1388" s="37">
        <v>12</v>
      </c>
      <c r="J1388" s="36"/>
    </row>
    <row r="1389" spans="1:10" x14ac:dyDescent="0.35">
      <c r="A1389" s="36" t="s">
        <v>1581</v>
      </c>
      <c r="B1389" s="35">
        <v>46133</v>
      </c>
      <c r="C1389" s="36" t="s">
        <v>210</v>
      </c>
      <c r="D1389" s="36" t="s">
        <v>211</v>
      </c>
      <c r="E1389" s="36" t="s">
        <v>156</v>
      </c>
      <c r="F1389" s="36" t="s">
        <v>11</v>
      </c>
      <c r="G1389" s="36" t="s">
        <v>12</v>
      </c>
      <c r="H1389" s="36" t="s">
        <v>155</v>
      </c>
      <c r="I1389" s="37">
        <v>4</v>
      </c>
      <c r="J1389" s="36"/>
    </row>
    <row r="1390" spans="1:10" x14ac:dyDescent="0.35">
      <c r="A1390" s="36" t="s">
        <v>1582</v>
      </c>
      <c r="B1390" s="35">
        <v>46133</v>
      </c>
      <c r="C1390" s="36" t="s">
        <v>210</v>
      </c>
      <c r="D1390" s="36" t="s">
        <v>211</v>
      </c>
      <c r="E1390" s="36" t="s">
        <v>146</v>
      </c>
      <c r="F1390" s="36" t="s">
        <v>147</v>
      </c>
      <c r="G1390" s="36" t="s">
        <v>8</v>
      </c>
      <c r="H1390" s="36" t="s">
        <v>148</v>
      </c>
      <c r="I1390" s="37">
        <v>4</v>
      </c>
      <c r="J1390" s="36"/>
    </row>
    <row r="1391" spans="1:10" x14ac:dyDescent="0.35">
      <c r="A1391" s="36" t="s">
        <v>1583</v>
      </c>
      <c r="B1391" s="35">
        <v>46133</v>
      </c>
      <c r="C1391" s="36" t="s">
        <v>210</v>
      </c>
      <c r="D1391" s="36" t="s">
        <v>211</v>
      </c>
      <c r="E1391" s="36" t="s">
        <v>86</v>
      </c>
      <c r="F1391" s="36" t="s">
        <v>87</v>
      </c>
      <c r="G1391" s="36" t="s">
        <v>74</v>
      </c>
      <c r="H1391" s="36" t="s">
        <v>75</v>
      </c>
      <c r="I1391" s="37">
        <v>8</v>
      </c>
      <c r="J1391" s="36"/>
    </row>
    <row r="1392" spans="1:10" x14ac:dyDescent="0.35">
      <c r="A1392" s="36" t="s">
        <v>1584</v>
      </c>
      <c r="B1392" s="35">
        <v>46133</v>
      </c>
      <c r="C1392" s="36" t="s">
        <v>210</v>
      </c>
      <c r="D1392" s="36" t="s">
        <v>211</v>
      </c>
      <c r="E1392" s="36" t="s">
        <v>69</v>
      </c>
      <c r="F1392" s="36" t="s">
        <v>70</v>
      </c>
      <c r="G1392" s="36" t="s">
        <v>66</v>
      </c>
      <c r="H1392" s="36" t="s">
        <v>71</v>
      </c>
      <c r="I1392" s="37">
        <v>9</v>
      </c>
      <c r="J1392" s="36"/>
    </row>
    <row r="1393" spans="1:10" x14ac:dyDescent="0.35">
      <c r="A1393" s="36" t="s">
        <v>1585</v>
      </c>
      <c r="B1393" s="35">
        <v>46133</v>
      </c>
      <c r="C1393" s="36" t="s">
        <v>210</v>
      </c>
      <c r="D1393" s="36" t="s">
        <v>211</v>
      </c>
      <c r="E1393" s="36" t="s">
        <v>51</v>
      </c>
      <c r="F1393" s="36" t="s">
        <v>52</v>
      </c>
      <c r="G1393" s="36" t="s">
        <v>53</v>
      </c>
      <c r="H1393" s="36" t="s">
        <v>42</v>
      </c>
      <c r="I1393" s="37">
        <v>17</v>
      </c>
      <c r="J1393" s="36"/>
    </row>
    <row r="1394" spans="1:10" x14ac:dyDescent="0.35">
      <c r="A1394" s="36" t="s">
        <v>1586</v>
      </c>
      <c r="B1394" s="35">
        <v>46133</v>
      </c>
      <c r="C1394" s="36" t="s">
        <v>210</v>
      </c>
      <c r="D1394" s="36" t="s">
        <v>211</v>
      </c>
      <c r="E1394" s="36" t="s">
        <v>153</v>
      </c>
      <c r="F1394" s="36" t="s">
        <v>154</v>
      </c>
      <c r="G1394" s="36" t="s">
        <v>12</v>
      </c>
      <c r="H1394" s="36" t="s">
        <v>155</v>
      </c>
      <c r="I1394" s="37">
        <v>3</v>
      </c>
      <c r="J1394" s="36"/>
    </row>
    <row r="1395" spans="1:10" x14ac:dyDescent="0.35">
      <c r="A1395" s="36" t="s">
        <v>1587</v>
      </c>
      <c r="B1395" s="35">
        <v>46133</v>
      </c>
      <c r="C1395" s="36" t="s">
        <v>210</v>
      </c>
      <c r="D1395" s="36" t="s">
        <v>211</v>
      </c>
      <c r="E1395" s="36" t="s">
        <v>151</v>
      </c>
      <c r="F1395" s="36" t="s">
        <v>152</v>
      </c>
      <c r="G1395" s="36" t="s">
        <v>8</v>
      </c>
      <c r="H1395" s="36" t="s">
        <v>143</v>
      </c>
      <c r="I1395" s="37">
        <v>7</v>
      </c>
      <c r="J1395" s="36"/>
    </row>
    <row r="1396" spans="1:10" x14ac:dyDescent="0.35">
      <c r="A1396" s="36" t="s">
        <v>1588</v>
      </c>
      <c r="B1396" s="35">
        <v>46133</v>
      </c>
      <c r="C1396" s="36" t="s">
        <v>210</v>
      </c>
      <c r="D1396" s="36" t="s">
        <v>211</v>
      </c>
      <c r="E1396" s="36" t="s">
        <v>48</v>
      </c>
      <c r="F1396" s="36" t="s">
        <v>49</v>
      </c>
      <c r="G1396" s="36" t="s">
        <v>31</v>
      </c>
      <c r="H1396" s="36" t="s">
        <v>50</v>
      </c>
      <c r="I1396" s="37">
        <v>10</v>
      </c>
      <c r="J1396" s="36"/>
    </row>
    <row r="1397" spans="1:10" x14ac:dyDescent="0.35">
      <c r="A1397" s="36" t="s">
        <v>1589</v>
      </c>
      <c r="B1397" s="35">
        <v>46133</v>
      </c>
      <c r="C1397" s="36" t="s">
        <v>210</v>
      </c>
      <c r="D1397" s="36" t="s">
        <v>211</v>
      </c>
      <c r="E1397" s="36" t="s">
        <v>72</v>
      </c>
      <c r="F1397" s="36" t="s">
        <v>73</v>
      </c>
      <c r="G1397" s="36" t="s">
        <v>74</v>
      </c>
      <c r="H1397" s="36" t="s">
        <v>75</v>
      </c>
      <c r="I1397" s="37">
        <v>7</v>
      </c>
      <c r="J1397" s="36"/>
    </row>
    <row r="1398" spans="1:10" x14ac:dyDescent="0.35">
      <c r="A1398" s="36" t="s">
        <v>1590</v>
      </c>
      <c r="B1398" s="35">
        <v>46133</v>
      </c>
      <c r="C1398" s="36" t="s">
        <v>210</v>
      </c>
      <c r="D1398" s="36" t="s">
        <v>211</v>
      </c>
      <c r="E1398" s="36" t="s">
        <v>104</v>
      </c>
      <c r="F1398" s="36" t="s">
        <v>105</v>
      </c>
      <c r="G1398" s="36" t="s">
        <v>102</v>
      </c>
      <c r="H1398" s="36" t="s">
        <v>103</v>
      </c>
      <c r="I1398" s="37">
        <v>6</v>
      </c>
      <c r="J1398" s="36"/>
    </row>
    <row r="1399" spans="1:10" x14ac:dyDescent="0.35">
      <c r="A1399" s="36" t="s">
        <v>1591</v>
      </c>
      <c r="B1399" s="35">
        <v>46135</v>
      </c>
      <c r="C1399" s="36" t="s">
        <v>210</v>
      </c>
      <c r="D1399" s="36" t="s">
        <v>211</v>
      </c>
      <c r="E1399" s="36" t="s">
        <v>37</v>
      </c>
      <c r="F1399" s="36" t="s">
        <v>38</v>
      </c>
      <c r="G1399" s="36" t="s">
        <v>31</v>
      </c>
      <c r="H1399" s="36" t="s">
        <v>39</v>
      </c>
      <c r="I1399" s="37">
        <v>7</v>
      </c>
      <c r="J1399" s="36"/>
    </row>
    <row r="1400" spans="1:10" x14ac:dyDescent="0.35">
      <c r="A1400" s="36" t="s">
        <v>1592</v>
      </c>
      <c r="B1400" s="35">
        <v>46135</v>
      </c>
      <c r="C1400" s="36" t="s">
        <v>210</v>
      </c>
      <c r="D1400" s="36" t="s">
        <v>211</v>
      </c>
      <c r="E1400" s="36" t="s">
        <v>114</v>
      </c>
      <c r="F1400" s="36" t="s">
        <v>13</v>
      </c>
      <c r="G1400" s="36" t="s">
        <v>14</v>
      </c>
      <c r="H1400" s="36" t="s">
        <v>115</v>
      </c>
      <c r="I1400" s="37">
        <v>3</v>
      </c>
      <c r="J1400" s="36"/>
    </row>
    <row r="1401" spans="1:10" x14ac:dyDescent="0.35">
      <c r="A1401" s="36" t="s">
        <v>1593</v>
      </c>
      <c r="B1401" s="35">
        <v>46135</v>
      </c>
      <c r="C1401" s="36" t="s">
        <v>210</v>
      </c>
      <c r="D1401" s="36" t="s">
        <v>211</v>
      </c>
      <c r="E1401" s="36" t="s">
        <v>153</v>
      </c>
      <c r="F1401" s="36" t="s">
        <v>154</v>
      </c>
      <c r="G1401" s="36" t="s">
        <v>12</v>
      </c>
      <c r="H1401" s="36" t="s">
        <v>155</v>
      </c>
      <c r="I1401" s="37">
        <v>4</v>
      </c>
      <c r="J1401" s="36"/>
    </row>
    <row r="1402" spans="1:10" x14ac:dyDescent="0.35">
      <c r="A1402" s="36" t="s">
        <v>1594</v>
      </c>
      <c r="B1402" s="35">
        <v>46135</v>
      </c>
      <c r="C1402" s="36" t="s">
        <v>210</v>
      </c>
      <c r="D1402" s="36" t="s">
        <v>211</v>
      </c>
      <c r="E1402" s="36" t="s">
        <v>161</v>
      </c>
      <c r="F1402" s="36" t="s">
        <v>162</v>
      </c>
      <c r="G1402" s="36" t="s">
        <v>159</v>
      </c>
      <c r="H1402" s="36" t="s">
        <v>163</v>
      </c>
      <c r="I1402" s="37">
        <v>6</v>
      </c>
      <c r="J1402" s="36"/>
    </row>
    <row r="1403" spans="1:10" x14ac:dyDescent="0.35">
      <c r="A1403" s="36" t="s">
        <v>1595</v>
      </c>
      <c r="B1403" s="35">
        <v>46135</v>
      </c>
      <c r="C1403" s="36" t="s">
        <v>210</v>
      </c>
      <c r="D1403" s="36" t="s">
        <v>211</v>
      </c>
      <c r="E1403" s="36" t="s">
        <v>120</v>
      </c>
      <c r="F1403" s="36" t="s">
        <v>121</v>
      </c>
      <c r="G1403" s="36" t="s">
        <v>14</v>
      </c>
      <c r="H1403" s="36" t="s">
        <v>119</v>
      </c>
      <c r="I1403" s="37">
        <v>4</v>
      </c>
      <c r="J1403" s="36"/>
    </row>
    <row r="1404" spans="1:10" x14ac:dyDescent="0.35">
      <c r="A1404" s="36" t="s">
        <v>1596</v>
      </c>
      <c r="B1404" s="35">
        <v>46139</v>
      </c>
      <c r="C1404" s="36" t="s">
        <v>298</v>
      </c>
      <c r="D1404" s="36" t="s">
        <v>299</v>
      </c>
      <c r="E1404" s="36" t="s">
        <v>54</v>
      </c>
      <c r="F1404" s="36" t="s">
        <v>55</v>
      </c>
      <c r="G1404" s="36" t="s">
        <v>53</v>
      </c>
      <c r="H1404" s="36" t="s">
        <v>56</v>
      </c>
      <c r="I1404" s="37">
        <v>7</v>
      </c>
      <c r="J1404" s="36"/>
    </row>
    <row r="1405" spans="1:10" x14ac:dyDescent="0.35">
      <c r="A1405" s="36" t="s">
        <v>1597</v>
      </c>
      <c r="B1405" s="35">
        <v>46139</v>
      </c>
      <c r="C1405" s="36" t="s">
        <v>298</v>
      </c>
      <c r="D1405" s="36" t="s">
        <v>299</v>
      </c>
      <c r="E1405" s="36" t="s">
        <v>37</v>
      </c>
      <c r="F1405" s="36" t="s">
        <v>38</v>
      </c>
      <c r="G1405" s="36" t="s">
        <v>31</v>
      </c>
      <c r="H1405" s="36" t="s">
        <v>39</v>
      </c>
      <c r="I1405" s="37">
        <v>6</v>
      </c>
      <c r="J1405" s="36"/>
    </row>
    <row r="1406" spans="1:10" x14ac:dyDescent="0.35">
      <c r="A1406" s="36" t="s">
        <v>1598</v>
      </c>
      <c r="B1406" s="35">
        <v>46139</v>
      </c>
      <c r="C1406" s="36" t="s">
        <v>298</v>
      </c>
      <c r="D1406" s="36" t="s">
        <v>299</v>
      </c>
      <c r="E1406" s="36" t="s">
        <v>149</v>
      </c>
      <c r="F1406" s="36" t="s">
        <v>150</v>
      </c>
      <c r="G1406" s="36" t="s">
        <v>8</v>
      </c>
      <c r="H1406" s="36" t="s">
        <v>75</v>
      </c>
      <c r="I1406" s="37">
        <v>2</v>
      </c>
      <c r="J1406" s="36"/>
    </row>
    <row r="1407" spans="1:10" x14ac:dyDescent="0.35">
      <c r="A1407" s="36" t="s">
        <v>1599</v>
      </c>
      <c r="B1407" s="35">
        <v>46139</v>
      </c>
      <c r="C1407" s="36" t="s">
        <v>298</v>
      </c>
      <c r="D1407" s="36" t="s">
        <v>299</v>
      </c>
      <c r="E1407" s="36" t="s">
        <v>130</v>
      </c>
      <c r="F1407" s="36" t="s">
        <v>16</v>
      </c>
      <c r="G1407" s="36" t="s">
        <v>10</v>
      </c>
      <c r="H1407" s="36" t="s">
        <v>131</v>
      </c>
      <c r="I1407" s="37">
        <v>2</v>
      </c>
      <c r="J1407" s="36"/>
    </row>
    <row r="1408" spans="1:10" x14ac:dyDescent="0.35">
      <c r="A1408" s="36" t="s">
        <v>1600</v>
      </c>
      <c r="B1408" s="35">
        <v>46139</v>
      </c>
      <c r="C1408" s="36" t="s">
        <v>298</v>
      </c>
      <c r="D1408" s="36" t="s">
        <v>299</v>
      </c>
      <c r="E1408" s="36" t="s">
        <v>40</v>
      </c>
      <c r="F1408" s="36" t="s">
        <v>41</v>
      </c>
      <c r="G1408" s="36" t="s">
        <v>31</v>
      </c>
      <c r="H1408" s="36" t="s">
        <v>42</v>
      </c>
      <c r="I1408" s="37">
        <v>3</v>
      </c>
      <c r="J1408" s="36"/>
    </row>
    <row r="1409" spans="1:10" x14ac:dyDescent="0.35">
      <c r="A1409" s="36" t="s">
        <v>1601</v>
      </c>
      <c r="B1409" s="35">
        <v>46139</v>
      </c>
      <c r="C1409" s="36" t="s">
        <v>298</v>
      </c>
      <c r="D1409" s="36" t="s">
        <v>299</v>
      </c>
      <c r="E1409" s="36" t="s">
        <v>78</v>
      </c>
      <c r="F1409" s="36" t="s">
        <v>79</v>
      </c>
      <c r="G1409" s="36" t="s">
        <v>74</v>
      </c>
      <c r="H1409" s="36" t="s">
        <v>80</v>
      </c>
      <c r="I1409" s="37">
        <v>4</v>
      </c>
      <c r="J1409" s="36"/>
    </row>
    <row r="1410" spans="1:10" x14ac:dyDescent="0.35">
      <c r="A1410" s="36" t="s">
        <v>1602</v>
      </c>
      <c r="B1410" s="35">
        <v>46139</v>
      </c>
      <c r="C1410" s="36" t="s">
        <v>298</v>
      </c>
      <c r="D1410" s="36" t="s">
        <v>299</v>
      </c>
      <c r="E1410" s="36" t="s">
        <v>161</v>
      </c>
      <c r="F1410" s="36" t="s">
        <v>162</v>
      </c>
      <c r="G1410" s="36" t="s">
        <v>159</v>
      </c>
      <c r="H1410" s="36" t="s">
        <v>163</v>
      </c>
      <c r="I1410" s="37">
        <v>3</v>
      </c>
      <c r="J1410" s="36"/>
    </row>
    <row r="1411" spans="1:10" x14ac:dyDescent="0.35">
      <c r="A1411" s="36" t="s">
        <v>1603</v>
      </c>
      <c r="B1411" s="35">
        <v>46139</v>
      </c>
      <c r="C1411" s="36" t="s">
        <v>298</v>
      </c>
      <c r="D1411" s="36" t="s">
        <v>299</v>
      </c>
      <c r="E1411" s="36" t="s">
        <v>51</v>
      </c>
      <c r="F1411" s="36" t="s">
        <v>52</v>
      </c>
      <c r="G1411" s="36" t="s">
        <v>53</v>
      </c>
      <c r="H1411" s="36" t="s">
        <v>42</v>
      </c>
      <c r="I1411" s="37">
        <v>10</v>
      </c>
      <c r="J1411" s="36"/>
    </row>
    <row r="1412" spans="1:10" x14ac:dyDescent="0.35">
      <c r="A1412" s="36" t="s">
        <v>1604</v>
      </c>
      <c r="B1412" s="35">
        <v>46139</v>
      </c>
      <c r="C1412" s="36" t="s">
        <v>298</v>
      </c>
      <c r="D1412" s="36" t="s">
        <v>299</v>
      </c>
      <c r="E1412" s="36" t="s">
        <v>111</v>
      </c>
      <c r="F1412" s="36" t="s">
        <v>112</v>
      </c>
      <c r="G1412" s="36" t="s">
        <v>102</v>
      </c>
      <c r="H1412" s="36" t="s">
        <v>113</v>
      </c>
      <c r="I1412" s="37">
        <v>5</v>
      </c>
      <c r="J1412" s="36"/>
    </row>
    <row r="1413" spans="1:10" x14ac:dyDescent="0.35">
      <c r="A1413" s="36" t="s">
        <v>1605</v>
      </c>
      <c r="B1413" s="35">
        <v>46139</v>
      </c>
      <c r="C1413" s="36" t="s">
        <v>298</v>
      </c>
      <c r="D1413" s="36" t="s">
        <v>299</v>
      </c>
      <c r="E1413" s="36" t="s">
        <v>141</v>
      </c>
      <c r="F1413" s="36" t="s">
        <v>142</v>
      </c>
      <c r="G1413" s="36" t="s">
        <v>8</v>
      </c>
      <c r="H1413" s="36" t="s">
        <v>143</v>
      </c>
      <c r="I1413" s="37">
        <v>2</v>
      </c>
      <c r="J1413" s="36"/>
    </row>
    <row r="1414" spans="1:10" x14ac:dyDescent="0.35">
      <c r="A1414" s="36" t="s">
        <v>1606</v>
      </c>
      <c r="B1414" s="35">
        <v>46139</v>
      </c>
      <c r="C1414" s="36" t="s">
        <v>190</v>
      </c>
      <c r="D1414" s="36" t="s">
        <v>191</v>
      </c>
      <c r="E1414" s="36" t="s">
        <v>46</v>
      </c>
      <c r="F1414" s="36" t="s">
        <v>47</v>
      </c>
      <c r="G1414" s="36" t="s">
        <v>31</v>
      </c>
      <c r="H1414" s="36" t="s">
        <v>42</v>
      </c>
      <c r="I1414" s="37">
        <v>16</v>
      </c>
      <c r="J1414" s="36"/>
    </row>
    <row r="1415" spans="1:10" x14ac:dyDescent="0.35">
      <c r="A1415" s="36" t="s">
        <v>1607</v>
      </c>
      <c r="B1415" s="35">
        <v>46139</v>
      </c>
      <c r="C1415" s="36" t="s">
        <v>190</v>
      </c>
      <c r="D1415" s="36" t="s">
        <v>191</v>
      </c>
      <c r="E1415" s="36" t="s">
        <v>104</v>
      </c>
      <c r="F1415" s="36" t="s">
        <v>105</v>
      </c>
      <c r="G1415" s="36" t="s">
        <v>102</v>
      </c>
      <c r="H1415" s="36" t="s">
        <v>103</v>
      </c>
      <c r="I1415" s="37">
        <v>20</v>
      </c>
      <c r="J1415" s="36"/>
    </row>
    <row r="1416" spans="1:10" x14ac:dyDescent="0.35">
      <c r="A1416" s="36" t="s">
        <v>1608</v>
      </c>
      <c r="B1416" s="35">
        <v>46139</v>
      </c>
      <c r="C1416" s="36" t="s">
        <v>190</v>
      </c>
      <c r="D1416" s="36" t="s">
        <v>191</v>
      </c>
      <c r="E1416" s="36" t="s">
        <v>122</v>
      </c>
      <c r="F1416" s="36" t="s">
        <v>123</v>
      </c>
      <c r="G1416" s="36" t="s">
        <v>14</v>
      </c>
      <c r="H1416" s="36" t="s">
        <v>124</v>
      </c>
      <c r="I1416" s="37">
        <v>4</v>
      </c>
      <c r="J1416" s="36"/>
    </row>
    <row r="1417" spans="1:10" x14ac:dyDescent="0.35">
      <c r="A1417" s="36" t="s">
        <v>1609</v>
      </c>
      <c r="B1417" s="35">
        <v>46139</v>
      </c>
      <c r="C1417" s="36" t="s">
        <v>190</v>
      </c>
      <c r="D1417" s="36" t="s">
        <v>191</v>
      </c>
      <c r="E1417" s="36" t="s">
        <v>117</v>
      </c>
      <c r="F1417" s="36" t="s">
        <v>118</v>
      </c>
      <c r="G1417" s="36" t="s">
        <v>14</v>
      </c>
      <c r="H1417" s="36" t="s">
        <v>119</v>
      </c>
      <c r="I1417" s="37">
        <v>3</v>
      </c>
      <c r="J1417" s="36"/>
    </row>
    <row r="1418" spans="1:10" x14ac:dyDescent="0.35">
      <c r="A1418" s="36" t="s">
        <v>1610</v>
      </c>
      <c r="B1418" s="35">
        <v>46139</v>
      </c>
      <c r="C1418" s="36" t="s">
        <v>190</v>
      </c>
      <c r="D1418" s="36" t="s">
        <v>191</v>
      </c>
      <c r="E1418" s="36" t="s">
        <v>67</v>
      </c>
      <c r="F1418" s="36" t="s">
        <v>68</v>
      </c>
      <c r="G1418" s="36" t="s">
        <v>66</v>
      </c>
      <c r="H1418" s="36" t="s">
        <v>42</v>
      </c>
      <c r="I1418" s="37">
        <v>10</v>
      </c>
      <c r="J1418" s="36"/>
    </row>
    <row r="1419" spans="1:10" x14ac:dyDescent="0.35">
      <c r="A1419" s="36" t="s">
        <v>1611</v>
      </c>
      <c r="B1419" s="35">
        <v>46139</v>
      </c>
      <c r="C1419" s="36" t="s">
        <v>190</v>
      </c>
      <c r="D1419" s="36" t="s">
        <v>191</v>
      </c>
      <c r="E1419" s="36" t="s">
        <v>132</v>
      </c>
      <c r="F1419" s="36" t="s">
        <v>133</v>
      </c>
      <c r="G1419" s="36" t="s">
        <v>10</v>
      </c>
      <c r="H1419" s="36" t="s">
        <v>134</v>
      </c>
      <c r="I1419" s="37">
        <v>9</v>
      </c>
      <c r="J1419" s="36"/>
    </row>
    <row r="1420" spans="1:10" x14ac:dyDescent="0.35">
      <c r="A1420" s="36" t="s">
        <v>1612</v>
      </c>
      <c r="B1420" s="35">
        <v>46139</v>
      </c>
      <c r="C1420" s="36" t="s">
        <v>190</v>
      </c>
      <c r="D1420" s="36" t="s">
        <v>191</v>
      </c>
      <c r="E1420" s="36" t="s">
        <v>114</v>
      </c>
      <c r="F1420" s="36" t="s">
        <v>13</v>
      </c>
      <c r="G1420" s="36" t="s">
        <v>14</v>
      </c>
      <c r="H1420" s="36" t="s">
        <v>115</v>
      </c>
      <c r="I1420" s="37">
        <v>5</v>
      </c>
      <c r="J1420" s="36"/>
    </row>
    <row r="1421" spans="1:10" x14ac:dyDescent="0.35">
      <c r="A1421" s="36" t="s">
        <v>1613</v>
      </c>
      <c r="B1421" s="35">
        <v>46139</v>
      </c>
      <c r="C1421" s="36" t="s">
        <v>190</v>
      </c>
      <c r="D1421" s="36" t="s">
        <v>191</v>
      </c>
      <c r="E1421" s="36" t="s">
        <v>111</v>
      </c>
      <c r="F1421" s="36" t="s">
        <v>112</v>
      </c>
      <c r="G1421" s="36" t="s">
        <v>102</v>
      </c>
      <c r="H1421" s="36" t="s">
        <v>113</v>
      </c>
      <c r="I1421" s="37">
        <v>18</v>
      </c>
      <c r="J1421" s="36"/>
    </row>
    <row r="1422" spans="1:10" x14ac:dyDescent="0.35">
      <c r="A1422" s="36" t="s">
        <v>1614</v>
      </c>
      <c r="B1422" s="35">
        <v>46142</v>
      </c>
      <c r="C1422" s="36" t="s">
        <v>190</v>
      </c>
      <c r="D1422" s="36" t="s">
        <v>191</v>
      </c>
      <c r="E1422" s="36" t="s">
        <v>161</v>
      </c>
      <c r="F1422" s="36" t="s">
        <v>162</v>
      </c>
      <c r="G1422" s="36" t="s">
        <v>159</v>
      </c>
      <c r="H1422" s="36" t="s">
        <v>163</v>
      </c>
      <c r="I1422" s="37">
        <v>11</v>
      </c>
      <c r="J1422" s="36"/>
    </row>
    <row r="1423" spans="1:10" x14ac:dyDescent="0.35">
      <c r="A1423" s="36" t="s">
        <v>1615</v>
      </c>
      <c r="B1423" s="35">
        <v>46142</v>
      </c>
      <c r="C1423" s="36" t="s">
        <v>190</v>
      </c>
      <c r="D1423" s="36" t="s">
        <v>191</v>
      </c>
      <c r="E1423" s="36" t="s">
        <v>54</v>
      </c>
      <c r="F1423" s="36" t="s">
        <v>55</v>
      </c>
      <c r="G1423" s="36" t="s">
        <v>53</v>
      </c>
      <c r="H1423" s="36" t="s">
        <v>56</v>
      </c>
      <c r="I1423" s="37">
        <v>19</v>
      </c>
      <c r="J1423" s="36"/>
    </row>
    <row r="1424" spans="1:10" x14ac:dyDescent="0.35">
      <c r="A1424" s="36" t="s">
        <v>1616</v>
      </c>
      <c r="B1424" s="35">
        <v>46142</v>
      </c>
      <c r="C1424" s="36" t="s">
        <v>190</v>
      </c>
      <c r="D1424" s="36" t="s">
        <v>191</v>
      </c>
      <c r="E1424" s="36" t="s">
        <v>151</v>
      </c>
      <c r="F1424" s="36" t="s">
        <v>152</v>
      </c>
      <c r="G1424" s="36" t="s">
        <v>8</v>
      </c>
      <c r="H1424" s="36" t="s">
        <v>143</v>
      </c>
      <c r="I1424" s="37">
        <v>5</v>
      </c>
      <c r="J1424" s="36"/>
    </row>
    <row r="1425" spans="1:10" x14ac:dyDescent="0.35">
      <c r="A1425" s="36" t="s">
        <v>1617</v>
      </c>
      <c r="B1425" s="35">
        <v>46142</v>
      </c>
      <c r="C1425" s="36" t="s">
        <v>190</v>
      </c>
      <c r="D1425" s="36" t="s">
        <v>191</v>
      </c>
      <c r="E1425" s="36" t="s">
        <v>100</v>
      </c>
      <c r="F1425" s="36" t="s">
        <v>101</v>
      </c>
      <c r="G1425" s="36" t="s">
        <v>102</v>
      </c>
      <c r="H1425" s="36" t="s">
        <v>103</v>
      </c>
      <c r="I1425" s="37">
        <v>15</v>
      </c>
      <c r="J1425" s="36"/>
    </row>
    <row r="1426" spans="1:10" x14ac:dyDescent="0.35">
      <c r="A1426" s="36" t="s">
        <v>1618</v>
      </c>
      <c r="B1426" s="35">
        <v>46142</v>
      </c>
      <c r="C1426" s="36" t="s">
        <v>190</v>
      </c>
      <c r="D1426" s="36" t="s">
        <v>191</v>
      </c>
      <c r="E1426" s="36" t="s">
        <v>61</v>
      </c>
      <c r="F1426" s="36" t="s">
        <v>62</v>
      </c>
      <c r="G1426" s="36" t="s">
        <v>53</v>
      </c>
      <c r="H1426" s="36" t="s">
        <v>42</v>
      </c>
      <c r="I1426" s="37">
        <v>18</v>
      </c>
      <c r="J1426" s="36"/>
    </row>
    <row r="1427" spans="1:10" x14ac:dyDescent="0.35">
      <c r="A1427" s="36" t="s">
        <v>1619</v>
      </c>
      <c r="B1427" s="35">
        <v>46142</v>
      </c>
      <c r="C1427" s="36" t="s">
        <v>190</v>
      </c>
      <c r="D1427" s="36" t="s">
        <v>191</v>
      </c>
      <c r="E1427" s="36" t="s">
        <v>94</v>
      </c>
      <c r="F1427" s="36" t="s">
        <v>95</v>
      </c>
      <c r="G1427" s="36" t="s">
        <v>93</v>
      </c>
      <c r="H1427" s="36" t="s">
        <v>96</v>
      </c>
      <c r="I1427" s="37">
        <v>15</v>
      </c>
      <c r="J1427" s="36"/>
    </row>
    <row r="1428" spans="1:10" x14ac:dyDescent="0.35">
      <c r="A1428" s="36" t="s">
        <v>1620</v>
      </c>
      <c r="B1428" s="35">
        <v>46142</v>
      </c>
      <c r="C1428" s="36" t="s">
        <v>190</v>
      </c>
      <c r="D1428" s="36" t="s">
        <v>191</v>
      </c>
      <c r="E1428" s="36" t="s">
        <v>138</v>
      </c>
      <c r="F1428" s="36" t="s">
        <v>139</v>
      </c>
      <c r="G1428" s="36" t="s">
        <v>6</v>
      </c>
      <c r="H1428" s="36" t="s">
        <v>140</v>
      </c>
      <c r="I1428" s="37">
        <v>13</v>
      </c>
      <c r="J1428" s="36"/>
    </row>
    <row r="1429" spans="1:10" x14ac:dyDescent="0.35">
      <c r="A1429" s="36" t="s">
        <v>1621</v>
      </c>
      <c r="B1429" s="35">
        <v>46142</v>
      </c>
      <c r="C1429" s="36" t="s">
        <v>190</v>
      </c>
      <c r="D1429" s="36" t="s">
        <v>191</v>
      </c>
      <c r="E1429" s="36" t="s">
        <v>111</v>
      </c>
      <c r="F1429" s="36" t="s">
        <v>112</v>
      </c>
      <c r="G1429" s="36" t="s">
        <v>102</v>
      </c>
      <c r="H1429" s="36" t="s">
        <v>113</v>
      </c>
      <c r="I1429" s="37">
        <v>21</v>
      </c>
      <c r="J1429" s="36"/>
    </row>
    <row r="1430" spans="1:10" x14ac:dyDescent="0.35">
      <c r="A1430" s="36" t="s">
        <v>1622</v>
      </c>
      <c r="B1430" s="35">
        <v>46142</v>
      </c>
      <c r="C1430" s="36" t="s">
        <v>190</v>
      </c>
      <c r="D1430" s="36" t="s">
        <v>191</v>
      </c>
      <c r="E1430" s="36" t="s">
        <v>146</v>
      </c>
      <c r="F1430" s="36" t="s">
        <v>147</v>
      </c>
      <c r="G1430" s="36" t="s">
        <v>8</v>
      </c>
      <c r="H1430" s="36" t="s">
        <v>148</v>
      </c>
      <c r="I1430" s="37">
        <v>11</v>
      </c>
      <c r="J1430" s="36"/>
    </row>
    <row r="1431" spans="1:10" x14ac:dyDescent="0.35">
      <c r="A1431" s="36" t="s">
        <v>1623</v>
      </c>
      <c r="B1431" s="35">
        <v>46142</v>
      </c>
      <c r="C1431" s="36" t="s">
        <v>190</v>
      </c>
      <c r="D1431" s="36" t="s">
        <v>191</v>
      </c>
      <c r="E1431" s="36" t="s">
        <v>29</v>
      </c>
      <c r="F1431" s="36" t="s">
        <v>30</v>
      </c>
      <c r="G1431" s="36" t="s">
        <v>31</v>
      </c>
      <c r="H1431" s="36" t="s">
        <v>32</v>
      </c>
      <c r="I1431" s="37">
        <v>13</v>
      </c>
      <c r="J1431" s="36"/>
    </row>
    <row r="1432" spans="1:10" x14ac:dyDescent="0.35">
      <c r="A1432" s="36" t="s">
        <v>1624</v>
      </c>
      <c r="B1432" s="35">
        <v>46142</v>
      </c>
      <c r="C1432" s="36" t="s">
        <v>190</v>
      </c>
      <c r="D1432" s="36" t="s">
        <v>191</v>
      </c>
      <c r="E1432" s="36" t="s">
        <v>43</v>
      </c>
      <c r="F1432" s="36" t="s">
        <v>44</v>
      </c>
      <c r="G1432" s="36" t="s">
        <v>31</v>
      </c>
      <c r="H1432" s="36" t="s">
        <v>42</v>
      </c>
      <c r="I1432" s="37">
        <v>25</v>
      </c>
      <c r="J1432" s="36"/>
    </row>
    <row r="1433" spans="1:10" x14ac:dyDescent="0.35">
      <c r="A1433" s="36" t="s">
        <v>1625</v>
      </c>
      <c r="B1433" s="35">
        <v>46142</v>
      </c>
      <c r="C1433" s="36" t="s">
        <v>190</v>
      </c>
      <c r="D1433" s="36" t="s">
        <v>191</v>
      </c>
      <c r="E1433" s="36" t="s">
        <v>97</v>
      </c>
      <c r="F1433" s="36" t="s">
        <v>98</v>
      </c>
      <c r="G1433" s="36" t="s">
        <v>93</v>
      </c>
      <c r="H1433" s="36" t="s">
        <v>99</v>
      </c>
      <c r="I1433" s="37">
        <v>13</v>
      </c>
      <c r="J1433" s="36"/>
    </row>
    <row r="1434" spans="1:10" x14ac:dyDescent="0.35">
      <c r="A1434" s="36" t="s">
        <v>1626</v>
      </c>
      <c r="B1434" s="35">
        <v>46142</v>
      </c>
      <c r="C1434" s="36" t="s">
        <v>238</v>
      </c>
      <c r="D1434" s="36" t="s">
        <v>239</v>
      </c>
      <c r="E1434" s="36" t="s">
        <v>120</v>
      </c>
      <c r="F1434" s="36" t="s">
        <v>121</v>
      </c>
      <c r="G1434" s="36" t="s">
        <v>14</v>
      </c>
      <c r="H1434" s="36" t="s">
        <v>119</v>
      </c>
      <c r="I1434" s="37">
        <v>1</v>
      </c>
      <c r="J1434" s="36"/>
    </row>
    <row r="1435" spans="1:10" x14ac:dyDescent="0.35">
      <c r="A1435" s="36" t="s">
        <v>1627</v>
      </c>
      <c r="B1435" s="35">
        <v>46142</v>
      </c>
      <c r="C1435" s="36" t="s">
        <v>238</v>
      </c>
      <c r="D1435" s="36" t="s">
        <v>239</v>
      </c>
      <c r="E1435" s="36" t="s">
        <v>146</v>
      </c>
      <c r="F1435" s="36" t="s">
        <v>147</v>
      </c>
      <c r="G1435" s="36" t="s">
        <v>8</v>
      </c>
      <c r="H1435" s="36" t="s">
        <v>148</v>
      </c>
      <c r="I1435" s="37">
        <v>2</v>
      </c>
      <c r="J1435" s="36"/>
    </row>
    <row r="1436" spans="1:10" x14ac:dyDescent="0.35">
      <c r="A1436" s="36" t="s">
        <v>1628</v>
      </c>
      <c r="B1436" s="35">
        <v>46142</v>
      </c>
      <c r="C1436" s="36" t="s">
        <v>238</v>
      </c>
      <c r="D1436" s="36" t="s">
        <v>239</v>
      </c>
      <c r="E1436" s="36" t="s">
        <v>94</v>
      </c>
      <c r="F1436" s="36" t="s">
        <v>95</v>
      </c>
      <c r="G1436" s="36" t="s">
        <v>93</v>
      </c>
      <c r="H1436" s="36" t="s">
        <v>96</v>
      </c>
      <c r="I1436" s="37">
        <v>3</v>
      </c>
      <c r="J1436" s="36"/>
    </row>
    <row r="1437" spans="1:10" x14ac:dyDescent="0.35">
      <c r="A1437" s="36" t="s">
        <v>1629</v>
      </c>
      <c r="B1437" s="35">
        <v>46142</v>
      </c>
      <c r="C1437" s="36" t="s">
        <v>238</v>
      </c>
      <c r="D1437" s="36" t="s">
        <v>239</v>
      </c>
      <c r="E1437" s="36" t="s">
        <v>40</v>
      </c>
      <c r="F1437" s="36" t="s">
        <v>41</v>
      </c>
      <c r="G1437" s="36" t="s">
        <v>31</v>
      </c>
      <c r="H1437" s="36" t="s">
        <v>42</v>
      </c>
      <c r="I1437" s="37">
        <v>7</v>
      </c>
      <c r="J1437" s="36"/>
    </row>
    <row r="1438" spans="1:10" x14ac:dyDescent="0.35">
      <c r="A1438" s="36" t="s">
        <v>1630</v>
      </c>
      <c r="B1438" s="35">
        <v>46142</v>
      </c>
      <c r="C1438" s="36" t="s">
        <v>238</v>
      </c>
      <c r="D1438" s="36" t="s">
        <v>239</v>
      </c>
      <c r="E1438" s="36" t="s">
        <v>51</v>
      </c>
      <c r="F1438" s="36" t="s">
        <v>52</v>
      </c>
      <c r="G1438" s="36" t="s">
        <v>53</v>
      </c>
      <c r="H1438" s="36" t="s">
        <v>42</v>
      </c>
      <c r="I1438" s="37">
        <v>8</v>
      </c>
      <c r="J1438" s="36"/>
    </row>
    <row r="1439" spans="1:10" x14ac:dyDescent="0.35">
      <c r="A1439" s="36" t="s">
        <v>1631</v>
      </c>
      <c r="B1439" s="35">
        <v>46144</v>
      </c>
      <c r="C1439" s="36" t="s">
        <v>190</v>
      </c>
      <c r="D1439" s="36" t="s">
        <v>191</v>
      </c>
      <c r="E1439" s="36" t="s">
        <v>149</v>
      </c>
      <c r="F1439" s="36" t="s">
        <v>150</v>
      </c>
      <c r="G1439" s="36" t="s">
        <v>8</v>
      </c>
      <c r="H1439" s="36" t="s">
        <v>75</v>
      </c>
      <c r="I1439" s="37">
        <v>8</v>
      </c>
      <c r="J1439" s="36"/>
    </row>
    <row r="1440" spans="1:10" x14ac:dyDescent="0.35">
      <c r="A1440" s="36" t="s">
        <v>1632</v>
      </c>
      <c r="B1440" s="35">
        <v>46144</v>
      </c>
      <c r="C1440" s="36" t="s">
        <v>190</v>
      </c>
      <c r="D1440" s="36" t="s">
        <v>191</v>
      </c>
      <c r="E1440" s="36" t="s">
        <v>153</v>
      </c>
      <c r="F1440" s="36" t="s">
        <v>154</v>
      </c>
      <c r="G1440" s="36" t="s">
        <v>12</v>
      </c>
      <c r="H1440" s="36" t="s">
        <v>155</v>
      </c>
      <c r="I1440" s="37">
        <v>4</v>
      </c>
      <c r="J1440" s="36"/>
    </row>
    <row r="1441" spans="1:10" x14ac:dyDescent="0.35">
      <c r="A1441" s="36" t="s">
        <v>1633</v>
      </c>
      <c r="B1441" s="35">
        <v>46144</v>
      </c>
      <c r="C1441" s="36" t="s">
        <v>190</v>
      </c>
      <c r="D1441" s="36" t="s">
        <v>191</v>
      </c>
      <c r="E1441" s="36" t="s">
        <v>104</v>
      </c>
      <c r="F1441" s="36" t="s">
        <v>105</v>
      </c>
      <c r="G1441" s="36" t="s">
        <v>102</v>
      </c>
      <c r="H1441" s="36" t="s">
        <v>103</v>
      </c>
      <c r="I1441" s="37">
        <v>23</v>
      </c>
      <c r="J1441" s="36"/>
    </row>
    <row r="1442" spans="1:10" x14ac:dyDescent="0.35">
      <c r="A1442" s="36" t="s">
        <v>1634</v>
      </c>
      <c r="B1442" s="35">
        <v>46144</v>
      </c>
      <c r="C1442" s="36" t="s">
        <v>190</v>
      </c>
      <c r="D1442" s="36" t="s">
        <v>191</v>
      </c>
      <c r="E1442" s="36" t="s">
        <v>67</v>
      </c>
      <c r="F1442" s="36" t="s">
        <v>68</v>
      </c>
      <c r="G1442" s="36" t="s">
        <v>66</v>
      </c>
      <c r="H1442" s="36" t="s">
        <v>42</v>
      </c>
      <c r="I1442" s="37">
        <v>7</v>
      </c>
      <c r="J1442" s="36"/>
    </row>
    <row r="1443" spans="1:10" x14ac:dyDescent="0.35">
      <c r="A1443" s="36" t="s">
        <v>1635</v>
      </c>
      <c r="B1443" s="35">
        <v>46144</v>
      </c>
      <c r="C1443" s="36" t="s">
        <v>190</v>
      </c>
      <c r="D1443" s="36" t="s">
        <v>191</v>
      </c>
      <c r="E1443" s="36" t="s">
        <v>54</v>
      </c>
      <c r="F1443" s="36" t="s">
        <v>55</v>
      </c>
      <c r="G1443" s="36" t="s">
        <v>53</v>
      </c>
      <c r="H1443" s="36" t="s">
        <v>56</v>
      </c>
      <c r="I1443" s="37">
        <v>25</v>
      </c>
      <c r="J1443" s="36"/>
    </row>
    <row r="1444" spans="1:10" x14ac:dyDescent="0.35">
      <c r="A1444" s="36" t="s">
        <v>1636</v>
      </c>
      <c r="B1444" s="35">
        <v>46146</v>
      </c>
      <c r="C1444" s="36" t="s">
        <v>238</v>
      </c>
      <c r="D1444" s="36" t="s">
        <v>239</v>
      </c>
      <c r="E1444" s="36" t="s">
        <v>88</v>
      </c>
      <c r="F1444" s="36" t="s">
        <v>89</v>
      </c>
      <c r="G1444" s="36" t="s">
        <v>74</v>
      </c>
      <c r="H1444" s="36" t="s">
        <v>90</v>
      </c>
      <c r="I1444" s="37">
        <v>7</v>
      </c>
      <c r="J1444" s="36"/>
    </row>
    <row r="1445" spans="1:10" x14ac:dyDescent="0.35">
      <c r="A1445" s="36" t="s">
        <v>1637</v>
      </c>
      <c r="B1445" s="35">
        <v>46146</v>
      </c>
      <c r="C1445" s="36" t="s">
        <v>238</v>
      </c>
      <c r="D1445" s="36" t="s">
        <v>239</v>
      </c>
      <c r="E1445" s="36" t="s">
        <v>72</v>
      </c>
      <c r="F1445" s="36" t="s">
        <v>73</v>
      </c>
      <c r="G1445" s="36" t="s">
        <v>74</v>
      </c>
      <c r="H1445" s="36" t="s">
        <v>75</v>
      </c>
      <c r="I1445" s="37">
        <v>6</v>
      </c>
      <c r="J1445" s="36"/>
    </row>
    <row r="1446" spans="1:10" x14ac:dyDescent="0.35">
      <c r="A1446" s="36" t="s">
        <v>1638</v>
      </c>
      <c r="B1446" s="35">
        <v>46146</v>
      </c>
      <c r="C1446" s="36" t="s">
        <v>238</v>
      </c>
      <c r="D1446" s="36" t="s">
        <v>239</v>
      </c>
      <c r="E1446" s="36" t="s">
        <v>125</v>
      </c>
      <c r="F1446" s="36" t="s">
        <v>126</v>
      </c>
      <c r="G1446" s="36" t="s">
        <v>14</v>
      </c>
      <c r="H1446" s="36" t="s">
        <v>127</v>
      </c>
      <c r="I1446" s="37">
        <v>1</v>
      </c>
      <c r="J1446" s="36"/>
    </row>
    <row r="1447" spans="1:10" x14ac:dyDescent="0.35">
      <c r="A1447" s="36" t="s">
        <v>1639</v>
      </c>
      <c r="B1447" s="35">
        <v>46146</v>
      </c>
      <c r="C1447" s="36" t="s">
        <v>238</v>
      </c>
      <c r="D1447" s="36" t="s">
        <v>239</v>
      </c>
      <c r="E1447" s="36" t="s">
        <v>51</v>
      </c>
      <c r="F1447" s="36" t="s">
        <v>52</v>
      </c>
      <c r="G1447" s="36" t="s">
        <v>53</v>
      </c>
      <c r="H1447" s="36" t="s">
        <v>42</v>
      </c>
      <c r="I1447" s="37">
        <v>9</v>
      </c>
      <c r="J1447" s="36"/>
    </row>
    <row r="1448" spans="1:10" x14ac:dyDescent="0.35">
      <c r="A1448" s="36" t="s">
        <v>1640</v>
      </c>
      <c r="B1448" s="35">
        <v>46146</v>
      </c>
      <c r="C1448" s="36" t="s">
        <v>238</v>
      </c>
      <c r="D1448" s="36" t="s">
        <v>239</v>
      </c>
      <c r="E1448" s="36" t="s">
        <v>141</v>
      </c>
      <c r="F1448" s="36" t="s">
        <v>142</v>
      </c>
      <c r="G1448" s="36" t="s">
        <v>8</v>
      </c>
      <c r="H1448" s="36" t="s">
        <v>143</v>
      </c>
      <c r="I1448" s="37">
        <v>2</v>
      </c>
      <c r="J1448" s="36"/>
    </row>
    <row r="1449" spans="1:10" x14ac:dyDescent="0.35">
      <c r="A1449" s="36" t="s">
        <v>1641</v>
      </c>
      <c r="B1449" s="35">
        <v>46146</v>
      </c>
      <c r="C1449" s="36" t="s">
        <v>238</v>
      </c>
      <c r="D1449" s="36" t="s">
        <v>239</v>
      </c>
      <c r="E1449" s="36" t="s">
        <v>114</v>
      </c>
      <c r="F1449" s="36" t="s">
        <v>13</v>
      </c>
      <c r="G1449" s="36" t="s">
        <v>14</v>
      </c>
      <c r="H1449" s="36" t="s">
        <v>115</v>
      </c>
      <c r="I1449" s="37">
        <v>1</v>
      </c>
      <c r="J1449" s="36"/>
    </row>
    <row r="1450" spans="1:10" x14ac:dyDescent="0.35">
      <c r="A1450" s="36" t="s">
        <v>1642</v>
      </c>
      <c r="B1450" s="35">
        <v>46146</v>
      </c>
      <c r="C1450" s="36" t="s">
        <v>238</v>
      </c>
      <c r="D1450" s="36" t="s">
        <v>239</v>
      </c>
      <c r="E1450" s="36" t="s">
        <v>132</v>
      </c>
      <c r="F1450" s="36" t="s">
        <v>133</v>
      </c>
      <c r="G1450" s="36" t="s">
        <v>10</v>
      </c>
      <c r="H1450" s="36" t="s">
        <v>134</v>
      </c>
      <c r="I1450" s="37">
        <v>2</v>
      </c>
      <c r="J1450" s="36"/>
    </row>
    <row r="1451" spans="1:10" x14ac:dyDescent="0.35">
      <c r="A1451" s="36" t="s">
        <v>1643</v>
      </c>
      <c r="B1451" s="35">
        <v>46149</v>
      </c>
      <c r="C1451" s="36" t="s">
        <v>190</v>
      </c>
      <c r="D1451" s="36" t="s">
        <v>191</v>
      </c>
      <c r="E1451" s="36" t="s">
        <v>78</v>
      </c>
      <c r="F1451" s="36" t="s">
        <v>79</v>
      </c>
      <c r="G1451" s="36" t="s">
        <v>74</v>
      </c>
      <c r="H1451" s="36" t="s">
        <v>80</v>
      </c>
      <c r="I1451" s="37">
        <v>14</v>
      </c>
      <c r="J1451" s="36"/>
    </row>
    <row r="1452" spans="1:10" x14ac:dyDescent="0.35">
      <c r="A1452" s="36" t="s">
        <v>1644</v>
      </c>
      <c r="B1452" s="35">
        <v>46149</v>
      </c>
      <c r="C1452" s="36" t="s">
        <v>190</v>
      </c>
      <c r="D1452" s="36" t="s">
        <v>191</v>
      </c>
      <c r="E1452" s="36" t="s">
        <v>51</v>
      </c>
      <c r="F1452" s="36" t="s">
        <v>52</v>
      </c>
      <c r="G1452" s="36" t="s">
        <v>53</v>
      </c>
      <c r="H1452" s="36" t="s">
        <v>42</v>
      </c>
      <c r="I1452" s="37">
        <v>24</v>
      </c>
      <c r="J1452" s="36"/>
    </row>
    <row r="1453" spans="1:10" x14ac:dyDescent="0.35">
      <c r="A1453" s="36" t="s">
        <v>1645</v>
      </c>
      <c r="B1453" s="35">
        <v>46149</v>
      </c>
      <c r="C1453" s="36" t="s">
        <v>190</v>
      </c>
      <c r="D1453" s="36" t="s">
        <v>191</v>
      </c>
      <c r="E1453" s="36" t="s">
        <v>149</v>
      </c>
      <c r="F1453" s="36" t="s">
        <v>150</v>
      </c>
      <c r="G1453" s="36" t="s">
        <v>8</v>
      </c>
      <c r="H1453" s="36" t="s">
        <v>75</v>
      </c>
      <c r="I1453" s="37">
        <v>7</v>
      </c>
      <c r="J1453" s="36"/>
    </row>
    <row r="1454" spans="1:10" x14ac:dyDescent="0.35">
      <c r="A1454" s="36" t="s">
        <v>1646</v>
      </c>
      <c r="B1454" s="35">
        <v>46149</v>
      </c>
      <c r="C1454" s="36" t="s">
        <v>190</v>
      </c>
      <c r="D1454" s="36" t="s">
        <v>191</v>
      </c>
      <c r="E1454" s="36" t="s">
        <v>57</v>
      </c>
      <c r="F1454" s="36" t="s">
        <v>58</v>
      </c>
      <c r="G1454" s="36" t="s">
        <v>53</v>
      </c>
      <c r="H1454" s="36" t="s">
        <v>42</v>
      </c>
      <c r="I1454" s="37">
        <v>30</v>
      </c>
      <c r="J1454" s="36"/>
    </row>
    <row r="1455" spans="1:10" x14ac:dyDescent="0.35">
      <c r="A1455" s="36" t="s">
        <v>1647</v>
      </c>
      <c r="B1455" s="35">
        <v>46149</v>
      </c>
      <c r="C1455" s="36" t="s">
        <v>190</v>
      </c>
      <c r="D1455" s="36" t="s">
        <v>191</v>
      </c>
      <c r="E1455" s="36" t="s">
        <v>117</v>
      </c>
      <c r="F1455" s="36" t="s">
        <v>118</v>
      </c>
      <c r="G1455" s="36" t="s">
        <v>14</v>
      </c>
      <c r="H1455" s="36" t="s">
        <v>119</v>
      </c>
      <c r="I1455" s="37">
        <v>4</v>
      </c>
      <c r="J1455" s="36"/>
    </row>
    <row r="1456" spans="1:10" x14ac:dyDescent="0.35">
      <c r="A1456" s="36" t="s">
        <v>1648</v>
      </c>
      <c r="B1456" s="35">
        <v>46149</v>
      </c>
      <c r="C1456" s="36" t="s">
        <v>190</v>
      </c>
      <c r="D1456" s="36" t="s">
        <v>191</v>
      </c>
      <c r="E1456" s="36" t="s">
        <v>153</v>
      </c>
      <c r="F1456" s="36" t="s">
        <v>154</v>
      </c>
      <c r="G1456" s="36" t="s">
        <v>12</v>
      </c>
      <c r="H1456" s="36" t="s">
        <v>155</v>
      </c>
      <c r="I1456" s="37">
        <v>4</v>
      </c>
      <c r="J1456" s="36"/>
    </row>
    <row r="1457" spans="1:10" x14ac:dyDescent="0.35">
      <c r="A1457" s="36" t="s">
        <v>1649</v>
      </c>
      <c r="B1457" s="35">
        <v>46149</v>
      </c>
      <c r="C1457" s="36" t="s">
        <v>190</v>
      </c>
      <c r="D1457" s="36" t="s">
        <v>191</v>
      </c>
      <c r="E1457" s="36" t="s">
        <v>67</v>
      </c>
      <c r="F1457" s="36" t="s">
        <v>68</v>
      </c>
      <c r="G1457" s="36" t="s">
        <v>66</v>
      </c>
      <c r="H1457" s="36" t="s">
        <v>42</v>
      </c>
      <c r="I1457" s="37">
        <v>11</v>
      </c>
      <c r="J1457" s="36"/>
    </row>
    <row r="1458" spans="1:10" x14ac:dyDescent="0.35">
      <c r="A1458" s="36" t="s">
        <v>1650</v>
      </c>
      <c r="B1458" s="35">
        <v>46149</v>
      </c>
      <c r="C1458" s="36" t="s">
        <v>210</v>
      </c>
      <c r="D1458" s="36" t="s">
        <v>211</v>
      </c>
      <c r="E1458" s="36" t="s">
        <v>156</v>
      </c>
      <c r="F1458" s="36" t="s">
        <v>11</v>
      </c>
      <c r="G1458" s="36" t="s">
        <v>12</v>
      </c>
      <c r="H1458" s="36" t="s">
        <v>155</v>
      </c>
      <c r="I1458" s="37">
        <v>4</v>
      </c>
      <c r="J1458" s="36"/>
    </row>
    <row r="1459" spans="1:10" x14ac:dyDescent="0.35">
      <c r="A1459" s="36" t="s">
        <v>1651</v>
      </c>
      <c r="B1459" s="35">
        <v>46149</v>
      </c>
      <c r="C1459" s="36" t="s">
        <v>210</v>
      </c>
      <c r="D1459" s="36" t="s">
        <v>211</v>
      </c>
      <c r="E1459" s="36" t="s">
        <v>141</v>
      </c>
      <c r="F1459" s="36" t="s">
        <v>142</v>
      </c>
      <c r="G1459" s="36" t="s">
        <v>8</v>
      </c>
      <c r="H1459" s="36" t="s">
        <v>143</v>
      </c>
      <c r="I1459" s="37">
        <v>6</v>
      </c>
      <c r="J1459" s="36"/>
    </row>
    <row r="1460" spans="1:10" x14ac:dyDescent="0.35">
      <c r="A1460" s="36" t="s">
        <v>1652</v>
      </c>
      <c r="B1460" s="35">
        <v>46149</v>
      </c>
      <c r="C1460" s="36" t="s">
        <v>210</v>
      </c>
      <c r="D1460" s="36" t="s">
        <v>211</v>
      </c>
      <c r="E1460" s="36" t="s">
        <v>34</v>
      </c>
      <c r="F1460" s="36" t="s">
        <v>35</v>
      </c>
      <c r="G1460" s="36" t="s">
        <v>31</v>
      </c>
      <c r="H1460" s="36" t="s">
        <v>36</v>
      </c>
      <c r="I1460" s="37">
        <v>9</v>
      </c>
      <c r="J1460" s="36"/>
    </row>
    <row r="1461" spans="1:10" x14ac:dyDescent="0.35">
      <c r="A1461" s="36" t="s">
        <v>1653</v>
      </c>
      <c r="B1461" s="35">
        <v>46149</v>
      </c>
      <c r="C1461" s="36" t="s">
        <v>210</v>
      </c>
      <c r="D1461" s="36" t="s">
        <v>211</v>
      </c>
      <c r="E1461" s="36" t="s">
        <v>81</v>
      </c>
      <c r="F1461" s="36" t="s">
        <v>82</v>
      </c>
      <c r="G1461" s="36" t="s">
        <v>74</v>
      </c>
      <c r="H1461" s="36" t="s">
        <v>80</v>
      </c>
      <c r="I1461" s="37">
        <v>9</v>
      </c>
      <c r="J1461" s="36"/>
    </row>
    <row r="1462" spans="1:10" x14ac:dyDescent="0.35">
      <c r="A1462" s="36" t="s">
        <v>1654</v>
      </c>
      <c r="B1462" s="35">
        <v>46149</v>
      </c>
      <c r="C1462" s="36" t="s">
        <v>210</v>
      </c>
      <c r="D1462" s="36" t="s">
        <v>211</v>
      </c>
      <c r="E1462" s="36" t="s">
        <v>64</v>
      </c>
      <c r="F1462" s="36" t="s">
        <v>65</v>
      </c>
      <c r="G1462" s="36" t="s">
        <v>66</v>
      </c>
      <c r="H1462" s="36" t="s">
        <v>42</v>
      </c>
      <c r="I1462" s="37">
        <v>11</v>
      </c>
      <c r="J1462" s="36"/>
    </row>
    <row r="1463" spans="1:10" x14ac:dyDescent="0.35">
      <c r="A1463" s="36" t="s">
        <v>1655</v>
      </c>
      <c r="B1463" s="35">
        <v>46149</v>
      </c>
      <c r="C1463" s="36" t="s">
        <v>210</v>
      </c>
      <c r="D1463" s="36" t="s">
        <v>211</v>
      </c>
      <c r="E1463" s="36" t="s">
        <v>43</v>
      </c>
      <c r="F1463" s="36" t="s">
        <v>44</v>
      </c>
      <c r="G1463" s="36" t="s">
        <v>31</v>
      </c>
      <c r="H1463" s="36" t="s">
        <v>42</v>
      </c>
      <c r="I1463" s="37">
        <v>14</v>
      </c>
      <c r="J1463" s="36"/>
    </row>
    <row r="1464" spans="1:10" x14ac:dyDescent="0.35">
      <c r="A1464" s="36" t="s">
        <v>1656</v>
      </c>
      <c r="B1464" s="35">
        <v>46149</v>
      </c>
      <c r="C1464" s="36" t="s">
        <v>210</v>
      </c>
      <c r="D1464" s="36" t="s">
        <v>211</v>
      </c>
      <c r="E1464" s="36" t="s">
        <v>161</v>
      </c>
      <c r="F1464" s="36" t="s">
        <v>162</v>
      </c>
      <c r="G1464" s="36" t="s">
        <v>159</v>
      </c>
      <c r="H1464" s="36" t="s">
        <v>163</v>
      </c>
      <c r="I1464" s="37">
        <v>4</v>
      </c>
      <c r="J1464" s="36"/>
    </row>
    <row r="1465" spans="1:10" x14ac:dyDescent="0.35">
      <c r="A1465" s="36" t="s">
        <v>1657</v>
      </c>
      <c r="B1465" s="35">
        <v>46149</v>
      </c>
      <c r="C1465" s="36" t="s">
        <v>210</v>
      </c>
      <c r="D1465" s="36" t="s">
        <v>211</v>
      </c>
      <c r="E1465" s="36" t="s">
        <v>69</v>
      </c>
      <c r="F1465" s="36" t="s">
        <v>70</v>
      </c>
      <c r="G1465" s="36" t="s">
        <v>66</v>
      </c>
      <c r="H1465" s="36" t="s">
        <v>71</v>
      </c>
      <c r="I1465" s="37">
        <v>8</v>
      </c>
      <c r="J1465" s="36"/>
    </row>
    <row r="1466" spans="1:10" x14ac:dyDescent="0.35">
      <c r="A1466" s="36" t="s">
        <v>1658</v>
      </c>
      <c r="B1466" s="35">
        <v>46149</v>
      </c>
      <c r="C1466" s="36" t="s">
        <v>210</v>
      </c>
      <c r="D1466" s="36" t="s">
        <v>211</v>
      </c>
      <c r="E1466" s="36" t="s">
        <v>122</v>
      </c>
      <c r="F1466" s="36" t="s">
        <v>123</v>
      </c>
      <c r="G1466" s="36" t="s">
        <v>14</v>
      </c>
      <c r="H1466" s="36" t="s">
        <v>124</v>
      </c>
      <c r="I1466" s="37">
        <v>2</v>
      </c>
      <c r="J1466" s="36"/>
    </row>
    <row r="1467" spans="1:10" x14ac:dyDescent="0.35">
      <c r="A1467" s="36" t="s">
        <v>1659</v>
      </c>
      <c r="B1467" s="35">
        <v>46149</v>
      </c>
      <c r="C1467" s="36" t="s">
        <v>210</v>
      </c>
      <c r="D1467" s="36" t="s">
        <v>211</v>
      </c>
      <c r="E1467" s="36" t="s">
        <v>88</v>
      </c>
      <c r="F1467" s="36" t="s">
        <v>89</v>
      </c>
      <c r="G1467" s="36" t="s">
        <v>74</v>
      </c>
      <c r="H1467" s="36" t="s">
        <v>90</v>
      </c>
      <c r="I1467" s="37">
        <v>10</v>
      </c>
      <c r="J1467" s="36"/>
    </row>
    <row r="1468" spans="1:10" x14ac:dyDescent="0.35">
      <c r="A1468" s="36" t="s">
        <v>1660</v>
      </c>
      <c r="B1468" s="35">
        <v>46149</v>
      </c>
      <c r="C1468" s="36" t="s">
        <v>210</v>
      </c>
      <c r="D1468" s="36" t="s">
        <v>211</v>
      </c>
      <c r="E1468" s="36" t="s">
        <v>104</v>
      </c>
      <c r="F1468" s="36" t="s">
        <v>105</v>
      </c>
      <c r="G1468" s="36" t="s">
        <v>102</v>
      </c>
      <c r="H1468" s="36" t="s">
        <v>103</v>
      </c>
      <c r="I1468" s="37">
        <v>6</v>
      </c>
      <c r="J1468" s="36"/>
    </row>
    <row r="1469" spans="1:10" x14ac:dyDescent="0.35">
      <c r="A1469" s="36" t="s">
        <v>1661</v>
      </c>
      <c r="B1469" s="35">
        <v>46149</v>
      </c>
      <c r="C1469" s="36" t="s">
        <v>210</v>
      </c>
      <c r="D1469" s="36" t="s">
        <v>211</v>
      </c>
      <c r="E1469" s="36" t="s">
        <v>132</v>
      </c>
      <c r="F1469" s="36" t="s">
        <v>133</v>
      </c>
      <c r="G1469" s="36" t="s">
        <v>10</v>
      </c>
      <c r="H1469" s="36" t="s">
        <v>134</v>
      </c>
      <c r="I1469" s="37">
        <v>4</v>
      </c>
      <c r="J1469" s="36"/>
    </row>
    <row r="1470" spans="1:10" x14ac:dyDescent="0.35">
      <c r="A1470" s="36" t="s">
        <v>1662</v>
      </c>
      <c r="B1470" s="35">
        <v>46150</v>
      </c>
      <c r="C1470" s="36" t="s">
        <v>190</v>
      </c>
      <c r="D1470" s="36" t="s">
        <v>191</v>
      </c>
      <c r="E1470" s="36" t="s">
        <v>91</v>
      </c>
      <c r="F1470" s="36" t="s">
        <v>92</v>
      </c>
      <c r="G1470" s="36" t="s">
        <v>93</v>
      </c>
      <c r="H1470" s="36" t="s">
        <v>85</v>
      </c>
      <c r="I1470" s="37">
        <v>10</v>
      </c>
      <c r="J1470" s="36"/>
    </row>
    <row r="1471" spans="1:10" x14ac:dyDescent="0.35">
      <c r="A1471" s="36" t="s">
        <v>1663</v>
      </c>
      <c r="B1471" s="35">
        <v>46150</v>
      </c>
      <c r="C1471" s="36" t="s">
        <v>190</v>
      </c>
      <c r="D1471" s="36" t="s">
        <v>191</v>
      </c>
      <c r="E1471" s="36" t="s">
        <v>109</v>
      </c>
      <c r="F1471" s="36" t="s">
        <v>110</v>
      </c>
      <c r="G1471" s="36" t="s">
        <v>102</v>
      </c>
      <c r="H1471" s="36" t="s">
        <v>42</v>
      </c>
      <c r="I1471" s="37">
        <v>15</v>
      </c>
      <c r="J1471" s="36"/>
    </row>
    <row r="1472" spans="1:10" x14ac:dyDescent="0.35">
      <c r="A1472" s="36" t="s">
        <v>1664</v>
      </c>
      <c r="B1472" s="35">
        <v>46150</v>
      </c>
      <c r="C1472" s="36" t="s">
        <v>190</v>
      </c>
      <c r="D1472" s="36" t="s">
        <v>191</v>
      </c>
      <c r="E1472" s="36" t="s">
        <v>117</v>
      </c>
      <c r="F1472" s="36" t="s">
        <v>118</v>
      </c>
      <c r="G1472" s="36" t="s">
        <v>14</v>
      </c>
      <c r="H1472" s="36" t="s">
        <v>119</v>
      </c>
      <c r="I1472" s="37">
        <v>4</v>
      </c>
      <c r="J1472" s="36"/>
    </row>
    <row r="1473" spans="1:10" x14ac:dyDescent="0.35">
      <c r="A1473" s="36" t="s">
        <v>1665</v>
      </c>
      <c r="B1473" s="35">
        <v>46150</v>
      </c>
      <c r="C1473" s="36" t="s">
        <v>190</v>
      </c>
      <c r="D1473" s="36" t="s">
        <v>191</v>
      </c>
      <c r="E1473" s="36" t="s">
        <v>120</v>
      </c>
      <c r="F1473" s="36" t="s">
        <v>121</v>
      </c>
      <c r="G1473" s="36" t="s">
        <v>14</v>
      </c>
      <c r="H1473" s="36" t="s">
        <v>119</v>
      </c>
      <c r="I1473" s="37">
        <v>4</v>
      </c>
      <c r="J1473" s="36"/>
    </row>
    <row r="1474" spans="1:10" x14ac:dyDescent="0.35">
      <c r="A1474" s="36" t="s">
        <v>1666</v>
      </c>
      <c r="B1474" s="35">
        <v>46150</v>
      </c>
      <c r="C1474" s="36" t="s">
        <v>190</v>
      </c>
      <c r="D1474" s="36" t="s">
        <v>191</v>
      </c>
      <c r="E1474" s="36" t="s">
        <v>122</v>
      </c>
      <c r="F1474" s="36" t="s">
        <v>123</v>
      </c>
      <c r="G1474" s="36" t="s">
        <v>14</v>
      </c>
      <c r="H1474" s="36" t="s">
        <v>124</v>
      </c>
      <c r="I1474" s="37">
        <v>5</v>
      </c>
      <c r="J1474" s="36"/>
    </row>
    <row r="1475" spans="1:10" x14ac:dyDescent="0.35">
      <c r="A1475" s="36" t="s">
        <v>1667</v>
      </c>
      <c r="B1475" s="35">
        <v>46150</v>
      </c>
      <c r="C1475" s="36" t="s">
        <v>190</v>
      </c>
      <c r="D1475" s="36" t="s">
        <v>191</v>
      </c>
      <c r="E1475" s="36" t="s">
        <v>51</v>
      </c>
      <c r="F1475" s="36" t="s">
        <v>52</v>
      </c>
      <c r="G1475" s="36" t="s">
        <v>53</v>
      </c>
      <c r="H1475" s="36" t="s">
        <v>42</v>
      </c>
      <c r="I1475" s="37">
        <v>29</v>
      </c>
      <c r="J1475" s="36"/>
    </row>
    <row r="1476" spans="1:10" x14ac:dyDescent="0.35">
      <c r="A1476" s="36" t="s">
        <v>1668</v>
      </c>
      <c r="B1476" s="35">
        <v>46150</v>
      </c>
      <c r="C1476" s="36" t="s">
        <v>190</v>
      </c>
      <c r="D1476" s="36" t="s">
        <v>191</v>
      </c>
      <c r="E1476" s="36" t="s">
        <v>114</v>
      </c>
      <c r="F1476" s="36" t="s">
        <v>13</v>
      </c>
      <c r="G1476" s="36" t="s">
        <v>14</v>
      </c>
      <c r="H1476" s="36" t="s">
        <v>115</v>
      </c>
      <c r="I1476" s="37">
        <v>3</v>
      </c>
      <c r="J1476" s="36"/>
    </row>
    <row r="1477" spans="1:10" x14ac:dyDescent="0.35">
      <c r="A1477" s="36" t="s">
        <v>1669</v>
      </c>
      <c r="B1477" s="35">
        <v>46150</v>
      </c>
      <c r="C1477" s="36" t="s">
        <v>190</v>
      </c>
      <c r="D1477" s="36" t="s">
        <v>191</v>
      </c>
      <c r="E1477" s="36" t="s">
        <v>125</v>
      </c>
      <c r="F1477" s="36" t="s">
        <v>126</v>
      </c>
      <c r="G1477" s="36" t="s">
        <v>14</v>
      </c>
      <c r="H1477" s="36" t="s">
        <v>127</v>
      </c>
      <c r="I1477" s="37">
        <v>5</v>
      </c>
      <c r="J1477" s="36"/>
    </row>
    <row r="1478" spans="1:10" x14ac:dyDescent="0.35">
      <c r="A1478" s="36" t="s">
        <v>1670</v>
      </c>
      <c r="B1478" s="35">
        <v>46150</v>
      </c>
      <c r="C1478" s="36" t="s">
        <v>190</v>
      </c>
      <c r="D1478" s="36" t="s">
        <v>191</v>
      </c>
      <c r="E1478" s="36" t="s">
        <v>144</v>
      </c>
      <c r="F1478" s="36" t="s">
        <v>7</v>
      </c>
      <c r="G1478" s="36" t="s">
        <v>8</v>
      </c>
      <c r="H1478" s="36" t="s">
        <v>145</v>
      </c>
      <c r="I1478" s="37">
        <v>6</v>
      </c>
      <c r="J1478" s="36"/>
    </row>
    <row r="1479" spans="1:10" x14ac:dyDescent="0.35">
      <c r="A1479" s="36" t="s">
        <v>1671</v>
      </c>
      <c r="B1479" s="35">
        <v>46150</v>
      </c>
      <c r="C1479" s="36" t="s">
        <v>190</v>
      </c>
      <c r="D1479" s="36" t="s">
        <v>191</v>
      </c>
      <c r="E1479" s="36" t="s">
        <v>81</v>
      </c>
      <c r="F1479" s="36" t="s">
        <v>82</v>
      </c>
      <c r="G1479" s="36" t="s">
        <v>74</v>
      </c>
      <c r="H1479" s="36" t="s">
        <v>80</v>
      </c>
      <c r="I1479" s="37">
        <v>13</v>
      </c>
      <c r="J1479" s="36"/>
    </row>
    <row r="1480" spans="1:10" x14ac:dyDescent="0.35">
      <c r="A1480" s="36" t="s">
        <v>1672</v>
      </c>
      <c r="B1480" s="35">
        <v>46151</v>
      </c>
      <c r="C1480" s="36" t="s">
        <v>298</v>
      </c>
      <c r="D1480" s="36" t="s">
        <v>299</v>
      </c>
      <c r="E1480" s="36" t="s">
        <v>91</v>
      </c>
      <c r="F1480" s="36" t="s">
        <v>92</v>
      </c>
      <c r="G1480" s="36" t="s">
        <v>93</v>
      </c>
      <c r="H1480" s="36" t="s">
        <v>85</v>
      </c>
      <c r="I1480" s="37">
        <v>2</v>
      </c>
      <c r="J1480" s="36"/>
    </row>
    <row r="1481" spans="1:10" x14ac:dyDescent="0.35">
      <c r="A1481" s="36" t="s">
        <v>1673</v>
      </c>
      <c r="B1481" s="35">
        <v>46151</v>
      </c>
      <c r="C1481" s="36" t="s">
        <v>298</v>
      </c>
      <c r="D1481" s="36" t="s">
        <v>299</v>
      </c>
      <c r="E1481" s="36" t="s">
        <v>81</v>
      </c>
      <c r="F1481" s="36" t="s">
        <v>82</v>
      </c>
      <c r="G1481" s="36" t="s">
        <v>74</v>
      </c>
      <c r="H1481" s="36" t="s">
        <v>80</v>
      </c>
      <c r="I1481" s="37">
        <v>4</v>
      </c>
      <c r="J1481" s="36"/>
    </row>
    <row r="1482" spans="1:10" x14ac:dyDescent="0.35">
      <c r="A1482" s="36" t="s">
        <v>1674</v>
      </c>
      <c r="B1482" s="35">
        <v>46151</v>
      </c>
      <c r="C1482" s="36" t="s">
        <v>298</v>
      </c>
      <c r="D1482" s="36" t="s">
        <v>299</v>
      </c>
      <c r="E1482" s="36" t="s">
        <v>111</v>
      </c>
      <c r="F1482" s="36" t="s">
        <v>112</v>
      </c>
      <c r="G1482" s="36" t="s">
        <v>102</v>
      </c>
      <c r="H1482" s="36" t="s">
        <v>113</v>
      </c>
      <c r="I1482" s="37">
        <v>6</v>
      </c>
      <c r="J1482" s="36"/>
    </row>
    <row r="1483" spans="1:10" x14ac:dyDescent="0.35">
      <c r="A1483" s="36" t="s">
        <v>1675</v>
      </c>
      <c r="B1483" s="35">
        <v>46151</v>
      </c>
      <c r="C1483" s="36" t="s">
        <v>298</v>
      </c>
      <c r="D1483" s="36" t="s">
        <v>299</v>
      </c>
      <c r="E1483" s="36" t="s">
        <v>59</v>
      </c>
      <c r="F1483" s="36" t="s">
        <v>60</v>
      </c>
      <c r="G1483" s="36" t="s">
        <v>53</v>
      </c>
      <c r="H1483" s="36" t="s">
        <v>56</v>
      </c>
      <c r="I1483" s="37">
        <v>8</v>
      </c>
      <c r="J1483" s="36"/>
    </row>
    <row r="1484" spans="1:10" x14ac:dyDescent="0.35">
      <c r="A1484" s="36" t="s">
        <v>1676</v>
      </c>
      <c r="B1484" s="35">
        <v>46151</v>
      </c>
      <c r="C1484" s="36" t="s">
        <v>298</v>
      </c>
      <c r="D1484" s="36" t="s">
        <v>299</v>
      </c>
      <c r="E1484" s="36" t="s">
        <v>137</v>
      </c>
      <c r="F1484" s="36" t="s">
        <v>15</v>
      </c>
      <c r="G1484" s="36" t="s">
        <v>6</v>
      </c>
      <c r="H1484" s="36" t="s">
        <v>136</v>
      </c>
      <c r="I1484" s="37">
        <v>4</v>
      </c>
      <c r="J1484" s="36"/>
    </row>
    <row r="1485" spans="1:10" x14ac:dyDescent="0.35">
      <c r="A1485" s="36" t="s">
        <v>1677</v>
      </c>
      <c r="B1485" s="35">
        <v>46151</v>
      </c>
      <c r="C1485" s="36" t="s">
        <v>298</v>
      </c>
      <c r="D1485" s="36" t="s">
        <v>299</v>
      </c>
      <c r="E1485" s="36" t="s">
        <v>153</v>
      </c>
      <c r="F1485" s="36" t="s">
        <v>154</v>
      </c>
      <c r="G1485" s="36" t="s">
        <v>12</v>
      </c>
      <c r="H1485" s="36" t="s">
        <v>155</v>
      </c>
      <c r="I1485" s="37">
        <v>1</v>
      </c>
      <c r="J1485" s="36"/>
    </row>
    <row r="1486" spans="1:10" x14ac:dyDescent="0.35">
      <c r="A1486" s="36" t="s">
        <v>1678</v>
      </c>
      <c r="B1486" s="35">
        <v>46151</v>
      </c>
      <c r="C1486" s="36" t="s">
        <v>190</v>
      </c>
      <c r="D1486" s="36" t="s">
        <v>191</v>
      </c>
      <c r="E1486" s="36" t="s">
        <v>51</v>
      </c>
      <c r="F1486" s="36" t="s">
        <v>52</v>
      </c>
      <c r="G1486" s="36" t="s">
        <v>53</v>
      </c>
      <c r="H1486" s="36" t="s">
        <v>42</v>
      </c>
      <c r="I1486" s="37">
        <v>16</v>
      </c>
      <c r="J1486" s="36"/>
    </row>
    <row r="1487" spans="1:10" x14ac:dyDescent="0.35">
      <c r="A1487" s="36" t="s">
        <v>1679</v>
      </c>
      <c r="B1487" s="35">
        <v>46151</v>
      </c>
      <c r="C1487" s="36" t="s">
        <v>190</v>
      </c>
      <c r="D1487" s="36" t="s">
        <v>191</v>
      </c>
      <c r="E1487" s="36" t="s">
        <v>37</v>
      </c>
      <c r="F1487" s="36" t="s">
        <v>38</v>
      </c>
      <c r="G1487" s="36" t="s">
        <v>31</v>
      </c>
      <c r="H1487" s="36" t="s">
        <v>39</v>
      </c>
      <c r="I1487" s="37">
        <v>20</v>
      </c>
      <c r="J1487" s="36"/>
    </row>
    <row r="1488" spans="1:10" x14ac:dyDescent="0.35">
      <c r="A1488" s="36" t="s">
        <v>1680</v>
      </c>
      <c r="B1488" s="35">
        <v>46151</v>
      </c>
      <c r="C1488" s="36" t="s">
        <v>190</v>
      </c>
      <c r="D1488" s="36" t="s">
        <v>191</v>
      </c>
      <c r="E1488" s="36" t="s">
        <v>86</v>
      </c>
      <c r="F1488" s="36" t="s">
        <v>87</v>
      </c>
      <c r="G1488" s="36" t="s">
        <v>74</v>
      </c>
      <c r="H1488" s="36" t="s">
        <v>75</v>
      </c>
      <c r="I1488" s="37">
        <v>9</v>
      </c>
      <c r="J1488" s="36"/>
    </row>
    <row r="1489" spans="1:10" x14ac:dyDescent="0.35">
      <c r="A1489" s="36" t="s">
        <v>1681</v>
      </c>
      <c r="B1489" s="35">
        <v>46151</v>
      </c>
      <c r="C1489" s="36" t="s">
        <v>190</v>
      </c>
      <c r="D1489" s="36" t="s">
        <v>191</v>
      </c>
      <c r="E1489" s="36" t="s">
        <v>130</v>
      </c>
      <c r="F1489" s="36" t="s">
        <v>16</v>
      </c>
      <c r="G1489" s="36" t="s">
        <v>10</v>
      </c>
      <c r="H1489" s="36" t="s">
        <v>131</v>
      </c>
      <c r="I1489" s="37">
        <v>7</v>
      </c>
      <c r="J1489" s="36"/>
    </row>
    <row r="1490" spans="1:10" x14ac:dyDescent="0.35">
      <c r="A1490" s="36" t="s">
        <v>1682</v>
      </c>
      <c r="B1490" s="35">
        <v>46151</v>
      </c>
      <c r="C1490" s="36" t="s">
        <v>190</v>
      </c>
      <c r="D1490" s="36" t="s">
        <v>191</v>
      </c>
      <c r="E1490" s="36" t="s">
        <v>54</v>
      </c>
      <c r="F1490" s="36" t="s">
        <v>55</v>
      </c>
      <c r="G1490" s="36" t="s">
        <v>53</v>
      </c>
      <c r="H1490" s="36" t="s">
        <v>56</v>
      </c>
      <c r="I1490" s="37">
        <v>19</v>
      </c>
      <c r="J1490" s="36"/>
    </row>
    <row r="1491" spans="1:10" x14ac:dyDescent="0.35">
      <c r="A1491" s="36" t="s">
        <v>1683</v>
      </c>
      <c r="B1491" s="35">
        <v>46151</v>
      </c>
      <c r="C1491" s="36" t="s">
        <v>190</v>
      </c>
      <c r="D1491" s="36" t="s">
        <v>191</v>
      </c>
      <c r="E1491" s="36" t="s">
        <v>109</v>
      </c>
      <c r="F1491" s="36" t="s">
        <v>110</v>
      </c>
      <c r="G1491" s="36" t="s">
        <v>102</v>
      </c>
      <c r="H1491" s="36" t="s">
        <v>42</v>
      </c>
      <c r="I1491" s="37">
        <v>15</v>
      </c>
      <c r="J1491" s="36"/>
    </row>
    <row r="1492" spans="1:10" x14ac:dyDescent="0.35">
      <c r="A1492" s="36" t="s">
        <v>1684</v>
      </c>
      <c r="B1492" s="35">
        <v>46151</v>
      </c>
      <c r="C1492" s="36" t="s">
        <v>190</v>
      </c>
      <c r="D1492" s="36" t="s">
        <v>191</v>
      </c>
      <c r="E1492" s="36" t="s">
        <v>76</v>
      </c>
      <c r="F1492" s="36" t="s">
        <v>77</v>
      </c>
      <c r="G1492" s="36" t="s">
        <v>74</v>
      </c>
      <c r="H1492" s="36" t="s">
        <v>75</v>
      </c>
      <c r="I1492" s="37">
        <v>14</v>
      </c>
      <c r="J1492" s="36"/>
    </row>
    <row r="1493" spans="1:10" x14ac:dyDescent="0.35">
      <c r="A1493" s="36" t="s">
        <v>1685</v>
      </c>
      <c r="B1493" s="35">
        <v>46151</v>
      </c>
      <c r="C1493" s="36" t="s">
        <v>190</v>
      </c>
      <c r="D1493" s="36" t="s">
        <v>191</v>
      </c>
      <c r="E1493" s="36" t="s">
        <v>94</v>
      </c>
      <c r="F1493" s="36" t="s">
        <v>95</v>
      </c>
      <c r="G1493" s="36" t="s">
        <v>93</v>
      </c>
      <c r="H1493" s="36" t="s">
        <v>96</v>
      </c>
      <c r="I1493" s="37">
        <v>8</v>
      </c>
      <c r="J1493" s="36"/>
    </row>
    <row r="1494" spans="1:10" x14ac:dyDescent="0.35">
      <c r="A1494" s="36" t="s">
        <v>1686</v>
      </c>
      <c r="B1494" s="35">
        <v>46155</v>
      </c>
      <c r="C1494" s="36" t="s">
        <v>210</v>
      </c>
      <c r="D1494" s="36" t="s">
        <v>211</v>
      </c>
      <c r="E1494" s="36" t="s">
        <v>161</v>
      </c>
      <c r="F1494" s="36" t="s">
        <v>162</v>
      </c>
      <c r="G1494" s="36" t="s">
        <v>159</v>
      </c>
      <c r="H1494" s="36" t="s">
        <v>163</v>
      </c>
      <c r="I1494" s="37">
        <v>6</v>
      </c>
      <c r="J1494" s="36"/>
    </row>
    <row r="1495" spans="1:10" x14ac:dyDescent="0.35">
      <c r="A1495" s="36" t="s">
        <v>1687</v>
      </c>
      <c r="B1495" s="35">
        <v>46155</v>
      </c>
      <c r="C1495" s="36" t="s">
        <v>210</v>
      </c>
      <c r="D1495" s="36" t="s">
        <v>211</v>
      </c>
      <c r="E1495" s="36" t="s">
        <v>57</v>
      </c>
      <c r="F1495" s="36" t="s">
        <v>58</v>
      </c>
      <c r="G1495" s="36" t="s">
        <v>53</v>
      </c>
      <c r="H1495" s="36" t="s">
        <v>42</v>
      </c>
      <c r="I1495" s="37">
        <v>16</v>
      </c>
      <c r="J1495" s="36"/>
    </row>
    <row r="1496" spans="1:10" x14ac:dyDescent="0.35">
      <c r="A1496" s="36" t="s">
        <v>1688</v>
      </c>
      <c r="B1496" s="35">
        <v>46155</v>
      </c>
      <c r="C1496" s="36" t="s">
        <v>210</v>
      </c>
      <c r="D1496" s="36" t="s">
        <v>211</v>
      </c>
      <c r="E1496" s="36" t="s">
        <v>111</v>
      </c>
      <c r="F1496" s="36" t="s">
        <v>112</v>
      </c>
      <c r="G1496" s="36" t="s">
        <v>102</v>
      </c>
      <c r="H1496" s="36" t="s">
        <v>113</v>
      </c>
      <c r="I1496" s="37">
        <v>12</v>
      </c>
      <c r="J1496" s="36"/>
    </row>
    <row r="1497" spans="1:10" x14ac:dyDescent="0.35">
      <c r="A1497" s="36" t="s">
        <v>1689</v>
      </c>
      <c r="B1497" s="35">
        <v>46155</v>
      </c>
      <c r="C1497" s="36" t="s">
        <v>210</v>
      </c>
      <c r="D1497" s="36" t="s">
        <v>211</v>
      </c>
      <c r="E1497" s="36" t="s">
        <v>86</v>
      </c>
      <c r="F1497" s="36" t="s">
        <v>87</v>
      </c>
      <c r="G1497" s="36" t="s">
        <v>74</v>
      </c>
      <c r="H1497" s="36" t="s">
        <v>75</v>
      </c>
      <c r="I1497" s="37">
        <v>9</v>
      </c>
      <c r="J1497" s="36"/>
    </row>
    <row r="1498" spans="1:10" x14ac:dyDescent="0.35">
      <c r="A1498" s="36" t="s">
        <v>1690</v>
      </c>
      <c r="B1498" s="35">
        <v>46155</v>
      </c>
      <c r="C1498" s="36" t="s">
        <v>210</v>
      </c>
      <c r="D1498" s="36" t="s">
        <v>211</v>
      </c>
      <c r="E1498" s="36" t="s">
        <v>157</v>
      </c>
      <c r="F1498" s="36" t="s">
        <v>158</v>
      </c>
      <c r="G1498" s="36" t="s">
        <v>159</v>
      </c>
      <c r="H1498" s="36" t="s">
        <v>160</v>
      </c>
      <c r="I1498" s="37">
        <v>6</v>
      </c>
      <c r="J1498" s="36"/>
    </row>
    <row r="1499" spans="1:10" x14ac:dyDescent="0.35">
      <c r="A1499" s="36" t="s">
        <v>1691</v>
      </c>
      <c r="B1499" s="35">
        <v>46155</v>
      </c>
      <c r="C1499" s="36" t="s">
        <v>210</v>
      </c>
      <c r="D1499" s="36" t="s">
        <v>211</v>
      </c>
      <c r="E1499" s="36" t="s">
        <v>29</v>
      </c>
      <c r="F1499" s="36" t="s">
        <v>30</v>
      </c>
      <c r="G1499" s="36" t="s">
        <v>31</v>
      </c>
      <c r="H1499" s="36" t="s">
        <v>32</v>
      </c>
      <c r="I1499" s="37">
        <v>13</v>
      </c>
      <c r="J1499" s="36"/>
    </row>
    <row r="1500" spans="1:10" x14ac:dyDescent="0.35">
      <c r="A1500" s="36" t="s">
        <v>1692</v>
      </c>
      <c r="B1500" s="35">
        <v>46155</v>
      </c>
      <c r="C1500" s="36" t="s">
        <v>210</v>
      </c>
      <c r="D1500" s="36" t="s">
        <v>211</v>
      </c>
      <c r="E1500" s="36" t="s">
        <v>125</v>
      </c>
      <c r="F1500" s="36" t="s">
        <v>126</v>
      </c>
      <c r="G1500" s="36" t="s">
        <v>14</v>
      </c>
      <c r="H1500" s="36" t="s">
        <v>127</v>
      </c>
      <c r="I1500" s="37">
        <v>4</v>
      </c>
      <c r="J1500" s="36"/>
    </row>
    <row r="1501" spans="1:10" x14ac:dyDescent="0.35">
      <c r="A1501" s="36" t="s">
        <v>1693</v>
      </c>
      <c r="B1501" s="35">
        <v>46155</v>
      </c>
      <c r="C1501" s="36" t="s">
        <v>210</v>
      </c>
      <c r="D1501" s="36" t="s">
        <v>211</v>
      </c>
      <c r="E1501" s="36" t="s">
        <v>120</v>
      </c>
      <c r="F1501" s="36" t="s">
        <v>121</v>
      </c>
      <c r="G1501" s="36" t="s">
        <v>14</v>
      </c>
      <c r="H1501" s="36" t="s">
        <v>119</v>
      </c>
      <c r="I1501" s="37">
        <v>3</v>
      </c>
      <c r="J1501" s="36"/>
    </row>
    <row r="1502" spans="1:10" x14ac:dyDescent="0.35">
      <c r="A1502" s="36" t="s">
        <v>1694</v>
      </c>
      <c r="B1502" s="35">
        <v>46155</v>
      </c>
      <c r="C1502" s="36" t="s">
        <v>210</v>
      </c>
      <c r="D1502" s="36" t="s">
        <v>211</v>
      </c>
      <c r="E1502" s="36" t="s">
        <v>88</v>
      </c>
      <c r="F1502" s="36" t="s">
        <v>89</v>
      </c>
      <c r="G1502" s="36" t="s">
        <v>74</v>
      </c>
      <c r="H1502" s="36" t="s">
        <v>90</v>
      </c>
      <c r="I1502" s="37">
        <v>5</v>
      </c>
      <c r="J1502" s="36"/>
    </row>
    <row r="1503" spans="1:10" x14ac:dyDescent="0.35">
      <c r="A1503" s="36" t="s">
        <v>1695</v>
      </c>
      <c r="B1503" s="35">
        <v>46155</v>
      </c>
      <c r="C1503" s="36" t="s">
        <v>210</v>
      </c>
      <c r="D1503" s="36" t="s">
        <v>211</v>
      </c>
      <c r="E1503" s="36" t="s">
        <v>81</v>
      </c>
      <c r="F1503" s="36" t="s">
        <v>82</v>
      </c>
      <c r="G1503" s="36" t="s">
        <v>74</v>
      </c>
      <c r="H1503" s="36" t="s">
        <v>80</v>
      </c>
      <c r="I1503" s="37">
        <v>8</v>
      </c>
      <c r="J1503" s="36"/>
    </row>
    <row r="1504" spans="1:10" x14ac:dyDescent="0.35">
      <c r="A1504" s="36" t="s">
        <v>1696</v>
      </c>
      <c r="B1504" s="35">
        <v>46155</v>
      </c>
      <c r="C1504" s="36" t="s">
        <v>210</v>
      </c>
      <c r="D1504" s="36" t="s">
        <v>211</v>
      </c>
      <c r="E1504" s="36" t="s">
        <v>114</v>
      </c>
      <c r="F1504" s="36" t="s">
        <v>13</v>
      </c>
      <c r="G1504" s="36" t="s">
        <v>14</v>
      </c>
      <c r="H1504" s="36" t="s">
        <v>115</v>
      </c>
      <c r="I1504" s="37">
        <v>2</v>
      </c>
      <c r="J1504" s="36"/>
    </row>
    <row r="1505" spans="1:10" x14ac:dyDescent="0.35">
      <c r="A1505" s="36" t="s">
        <v>1697</v>
      </c>
      <c r="B1505" s="35">
        <v>46155</v>
      </c>
      <c r="C1505" s="36" t="s">
        <v>210</v>
      </c>
      <c r="D1505" s="36" t="s">
        <v>211</v>
      </c>
      <c r="E1505" s="36" t="s">
        <v>138</v>
      </c>
      <c r="F1505" s="36" t="s">
        <v>139</v>
      </c>
      <c r="G1505" s="36" t="s">
        <v>6</v>
      </c>
      <c r="H1505" s="36" t="s">
        <v>140</v>
      </c>
      <c r="I1505" s="37">
        <v>8</v>
      </c>
      <c r="J1505" s="36"/>
    </row>
    <row r="1506" spans="1:10" x14ac:dyDescent="0.35">
      <c r="A1506" s="36" t="s">
        <v>1698</v>
      </c>
      <c r="B1506" s="35">
        <v>46155</v>
      </c>
      <c r="C1506" s="36" t="s">
        <v>190</v>
      </c>
      <c r="D1506" s="36" t="s">
        <v>191</v>
      </c>
      <c r="E1506" s="36" t="s">
        <v>109</v>
      </c>
      <c r="F1506" s="36" t="s">
        <v>110</v>
      </c>
      <c r="G1506" s="36" t="s">
        <v>102</v>
      </c>
      <c r="H1506" s="36" t="s">
        <v>42</v>
      </c>
      <c r="I1506" s="37">
        <v>18</v>
      </c>
      <c r="J1506" s="36"/>
    </row>
    <row r="1507" spans="1:10" x14ac:dyDescent="0.35">
      <c r="A1507" s="36" t="s">
        <v>1699</v>
      </c>
      <c r="B1507" s="35">
        <v>46155</v>
      </c>
      <c r="C1507" s="36" t="s">
        <v>190</v>
      </c>
      <c r="D1507" s="36" t="s">
        <v>191</v>
      </c>
      <c r="E1507" s="36" t="s">
        <v>91</v>
      </c>
      <c r="F1507" s="36" t="s">
        <v>92</v>
      </c>
      <c r="G1507" s="36" t="s">
        <v>93</v>
      </c>
      <c r="H1507" s="36" t="s">
        <v>85</v>
      </c>
      <c r="I1507" s="37">
        <v>8</v>
      </c>
      <c r="J1507" s="36"/>
    </row>
    <row r="1508" spans="1:10" x14ac:dyDescent="0.35">
      <c r="A1508" s="36" t="s">
        <v>1700</v>
      </c>
      <c r="B1508" s="35">
        <v>46155</v>
      </c>
      <c r="C1508" s="36" t="s">
        <v>190</v>
      </c>
      <c r="D1508" s="36" t="s">
        <v>191</v>
      </c>
      <c r="E1508" s="36" t="s">
        <v>46</v>
      </c>
      <c r="F1508" s="36" t="s">
        <v>47</v>
      </c>
      <c r="G1508" s="36" t="s">
        <v>31</v>
      </c>
      <c r="H1508" s="36" t="s">
        <v>42</v>
      </c>
      <c r="I1508" s="37">
        <v>26</v>
      </c>
      <c r="J1508" s="36"/>
    </row>
    <row r="1509" spans="1:10" x14ac:dyDescent="0.35">
      <c r="A1509" s="36" t="s">
        <v>1701</v>
      </c>
      <c r="B1509" s="35">
        <v>46155</v>
      </c>
      <c r="C1509" s="36" t="s">
        <v>190</v>
      </c>
      <c r="D1509" s="36" t="s">
        <v>191</v>
      </c>
      <c r="E1509" s="36" t="s">
        <v>86</v>
      </c>
      <c r="F1509" s="36" t="s">
        <v>87</v>
      </c>
      <c r="G1509" s="36" t="s">
        <v>74</v>
      </c>
      <c r="H1509" s="36" t="s">
        <v>75</v>
      </c>
      <c r="I1509" s="37">
        <v>11</v>
      </c>
      <c r="J1509" s="36"/>
    </row>
    <row r="1510" spans="1:10" x14ac:dyDescent="0.35">
      <c r="A1510" s="36" t="s">
        <v>1702</v>
      </c>
      <c r="B1510" s="35">
        <v>46155</v>
      </c>
      <c r="C1510" s="36" t="s">
        <v>190</v>
      </c>
      <c r="D1510" s="36" t="s">
        <v>191</v>
      </c>
      <c r="E1510" s="36" t="s">
        <v>40</v>
      </c>
      <c r="F1510" s="36" t="s">
        <v>41</v>
      </c>
      <c r="G1510" s="36" t="s">
        <v>31</v>
      </c>
      <c r="H1510" s="36" t="s">
        <v>42</v>
      </c>
      <c r="I1510" s="37">
        <v>12</v>
      </c>
      <c r="J1510" s="36"/>
    </row>
    <row r="1511" spans="1:10" x14ac:dyDescent="0.35">
      <c r="A1511" s="36" t="s">
        <v>1703</v>
      </c>
      <c r="B1511" s="35">
        <v>46155</v>
      </c>
      <c r="C1511" s="36" t="s">
        <v>190</v>
      </c>
      <c r="D1511" s="36" t="s">
        <v>191</v>
      </c>
      <c r="E1511" s="36" t="s">
        <v>135</v>
      </c>
      <c r="F1511" s="36" t="s">
        <v>5</v>
      </c>
      <c r="G1511" s="36" t="s">
        <v>6</v>
      </c>
      <c r="H1511" s="36" t="s">
        <v>136</v>
      </c>
      <c r="I1511" s="37">
        <v>13</v>
      </c>
      <c r="J1511" s="36"/>
    </row>
    <row r="1512" spans="1:10" x14ac:dyDescent="0.35">
      <c r="A1512" s="36" t="s">
        <v>1704</v>
      </c>
      <c r="B1512" s="35">
        <v>46155</v>
      </c>
      <c r="C1512" s="36" t="s">
        <v>190</v>
      </c>
      <c r="D1512" s="36" t="s">
        <v>191</v>
      </c>
      <c r="E1512" s="36" t="s">
        <v>141</v>
      </c>
      <c r="F1512" s="36" t="s">
        <v>142</v>
      </c>
      <c r="G1512" s="36" t="s">
        <v>8</v>
      </c>
      <c r="H1512" s="36" t="s">
        <v>143</v>
      </c>
      <c r="I1512" s="37">
        <v>8</v>
      </c>
      <c r="J1512" s="36"/>
    </row>
    <row r="1513" spans="1:10" x14ac:dyDescent="0.35">
      <c r="A1513" s="36" t="s">
        <v>1705</v>
      </c>
      <c r="B1513" s="35">
        <v>46155</v>
      </c>
      <c r="C1513" s="36" t="s">
        <v>190</v>
      </c>
      <c r="D1513" s="36" t="s">
        <v>191</v>
      </c>
      <c r="E1513" s="36" t="s">
        <v>64</v>
      </c>
      <c r="F1513" s="36" t="s">
        <v>65</v>
      </c>
      <c r="G1513" s="36" t="s">
        <v>66</v>
      </c>
      <c r="H1513" s="36" t="s">
        <v>42</v>
      </c>
      <c r="I1513" s="37">
        <v>14</v>
      </c>
      <c r="J1513" s="36"/>
    </row>
    <row r="1514" spans="1:10" x14ac:dyDescent="0.35">
      <c r="A1514" s="36" t="s">
        <v>1706</v>
      </c>
      <c r="B1514" s="35">
        <v>46155</v>
      </c>
      <c r="C1514" s="36" t="s">
        <v>238</v>
      </c>
      <c r="D1514" s="36" t="s">
        <v>239</v>
      </c>
      <c r="E1514" s="36" t="s">
        <v>120</v>
      </c>
      <c r="F1514" s="36" t="s">
        <v>121</v>
      </c>
      <c r="G1514" s="36" t="s">
        <v>14</v>
      </c>
      <c r="H1514" s="36" t="s">
        <v>119</v>
      </c>
      <c r="I1514" s="37">
        <v>1</v>
      </c>
      <c r="J1514" s="36"/>
    </row>
    <row r="1515" spans="1:10" x14ac:dyDescent="0.35">
      <c r="A1515" s="36" t="s">
        <v>1707</v>
      </c>
      <c r="B1515" s="35">
        <v>46155</v>
      </c>
      <c r="C1515" s="36" t="s">
        <v>238</v>
      </c>
      <c r="D1515" s="36" t="s">
        <v>239</v>
      </c>
      <c r="E1515" s="36" t="s">
        <v>100</v>
      </c>
      <c r="F1515" s="36" t="s">
        <v>101</v>
      </c>
      <c r="G1515" s="36" t="s">
        <v>102</v>
      </c>
      <c r="H1515" s="36" t="s">
        <v>103</v>
      </c>
      <c r="I1515" s="37">
        <v>10</v>
      </c>
      <c r="J1515" s="36"/>
    </row>
    <row r="1516" spans="1:10" x14ac:dyDescent="0.35">
      <c r="A1516" s="36" t="s">
        <v>1708</v>
      </c>
      <c r="B1516" s="35">
        <v>46155</v>
      </c>
      <c r="C1516" s="36" t="s">
        <v>238</v>
      </c>
      <c r="D1516" s="36" t="s">
        <v>239</v>
      </c>
      <c r="E1516" s="36" t="s">
        <v>64</v>
      </c>
      <c r="F1516" s="36" t="s">
        <v>65</v>
      </c>
      <c r="G1516" s="36" t="s">
        <v>66</v>
      </c>
      <c r="H1516" s="36" t="s">
        <v>42</v>
      </c>
      <c r="I1516" s="37">
        <v>5</v>
      </c>
      <c r="J1516" s="36"/>
    </row>
    <row r="1517" spans="1:10" x14ac:dyDescent="0.35">
      <c r="A1517" s="36" t="s">
        <v>1709</v>
      </c>
      <c r="B1517" s="35">
        <v>46155</v>
      </c>
      <c r="C1517" s="36" t="s">
        <v>238</v>
      </c>
      <c r="D1517" s="36" t="s">
        <v>239</v>
      </c>
      <c r="E1517" s="36" t="s">
        <v>117</v>
      </c>
      <c r="F1517" s="36" t="s">
        <v>118</v>
      </c>
      <c r="G1517" s="36" t="s">
        <v>14</v>
      </c>
      <c r="H1517" s="36" t="s">
        <v>119</v>
      </c>
      <c r="I1517" s="37">
        <v>1</v>
      </c>
      <c r="J1517" s="36"/>
    </row>
    <row r="1518" spans="1:10" x14ac:dyDescent="0.35">
      <c r="A1518" s="36" t="s">
        <v>1710</v>
      </c>
      <c r="B1518" s="35">
        <v>46155</v>
      </c>
      <c r="C1518" s="36" t="s">
        <v>238</v>
      </c>
      <c r="D1518" s="36" t="s">
        <v>239</v>
      </c>
      <c r="E1518" s="36" t="s">
        <v>86</v>
      </c>
      <c r="F1518" s="36" t="s">
        <v>87</v>
      </c>
      <c r="G1518" s="36" t="s">
        <v>74</v>
      </c>
      <c r="H1518" s="36" t="s">
        <v>75</v>
      </c>
      <c r="I1518" s="37">
        <v>3</v>
      </c>
      <c r="J1518" s="36"/>
    </row>
    <row r="1519" spans="1:10" x14ac:dyDescent="0.35">
      <c r="A1519" s="36" t="s">
        <v>1711</v>
      </c>
      <c r="B1519" s="35">
        <v>46155</v>
      </c>
      <c r="C1519" s="36" t="s">
        <v>238</v>
      </c>
      <c r="D1519" s="36" t="s">
        <v>239</v>
      </c>
      <c r="E1519" s="36" t="s">
        <v>135</v>
      </c>
      <c r="F1519" s="36" t="s">
        <v>5</v>
      </c>
      <c r="G1519" s="36" t="s">
        <v>6</v>
      </c>
      <c r="H1519" s="36" t="s">
        <v>136</v>
      </c>
      <c r="I1519" s="37">
        <v>7</v>
      </c>
      <c r="J1519" s="36"/>
    </row>
    <row r="1520" spans="1:10" x14ac:dyDescent="0.35">
      <c r="A1520" s="36" t="s">
        <v>1712</v>
      </c>
      <c r="B1520" s="35">
        <v>46157</v>
      </c>
      <c r="C1520" s="36" t="s">
        <v>298</v>
      </c>
      <c r="D1520" s="36" t="s">
        <v>299</v>
      </c>
      <c r="E1520" s="36" t="s">
        <v>91</v>
      </c>
      <c r="F1520" s="36" t="s">
        <v>92</v>
      </c>
      <c r="G1520" s="36" t="s">
        <v>93</v>
      </c>
      <c r="H1520" s="36" t="s">
        <v>85</v>
      </c>
      <c r="I1520" s="37">
        <v>4</v>
      </c>
      <c r="J1520" s="36"/>
    </row>
    <row r="1521" spans="1:10" x14ac:dyDescent="0.35">
      <c r="A1521" s="36" t="s">
        <v>1713</v>
      </c>
      <c r="B1521" s="35">
        <v>46157</v>
      </c>
      <c r="C1521" s="36" t="s">
        <v>298</v>
      </c>
      <c r="D1521" s="36" t="s">
        <v>299</v>
      </c>
      <c r="E1521" s="36" t="s">
        <v>161</v>
      </c>
      <c r="F1521" s="36" t="s">
        <v>162</v>
      </c>
      <c r="G1521" s="36" t="s">
        <v>159</v>
      </c>
      <c r="H1521" s="36" t="s">
        <v>163</v>
      </c>
      <c r="I1521" s="37">
        <v>1</v>
      </c>
      <c r="J1521" s="36"/>
    </row>
    <row r="1522" spans="1:10" x14ac:dyDescent="0.35">
      <c r="A1522" s="36" t="s">
        <v>1714</v>
      </c>
      <c r="B1522" s="35">
        <v>46157</v>
      </c>
      <c r="C1522" s="36" t="s">
        <v>298</v>
      </c>
      <c r="D1522" s="36" t="s">
        <v>299</v>
      </c>
      <c r="E1522" s="36" t="s">
        <v>83</v>
      </c>
      <c r="F1522" s="36" t="s">
        <v>84</v>
      </c>
      <c r="G1522" s="36" t="s">
        <v>74</v>
      </c>
      <c r="H1522" s="36" t="s">
        <v>85</v>
      </c>
      <c r="I1522" s="37">
        <v>4</v>
      </c>
      <c r="J1522" s="36"/>
    </row>
    <row r="1523" spans="1:10" x14ac:dyDescent="0.35">
      <c r="A1523" s="36" t="s">
        <v>1715</v>
      </c>
      <c r="B1523" s="35">
        <v>46157</v>
      </c>
      <c r="C1523" s="36" t="s">
        <v>298</v>
      </c>
      <c r="D1523" s="36" t="s">
        <v>299</v>
      </c>
      <c r="E1523" s="36" t="s">
        <v>109</v>
      </c>
      <c r="F1523" s="36" t="s">
        <v>110</v>
      </c>
      <c r="G1523" s="36" t="s">
        <v>102</v>
      </c>
      <c r="H1523" s="36" t="s">
        <v>42</v>
      </c>
      <c r="I1523" s="37">
        <v>7</v>
      </c>
      <c r="J1523" s="36"/>
    </row>
    <row r="1524" spans="1:10" x14ac:dyDescent="0.35">
      <c r="A1524" s="36" t="s">
        <v>1716</v>
      </c>
      <c r="B1524" s="35">
        <v>46157</v>
      </c>
      <c r="C1524" s="36" t="s">
        <v>298</v>
      </c>
      <c r="D1524" s="36" t="s">
        <v>299</v>
      </c>
      <c r="E1524" s="36" t="s">
        <v>128</v>
      </c>
      <c r="F1524" s="36" t="s">
        <v>9</v>
      </c>
      <c r="G1524" s="36" t="s">
        <v>10</v>
      </c>
      <c r="H1524" s="36" t="s">
        <v>129</v>
      </c>
      <c r="I1524" s="37">
        <v>2</v>
      </c>
      <c r="J1524" s="36"/>
    </row>
    <row r="1525" spans="1:10" x14ac:dyDescent="0.35">
      <c r="A1525" s="36" t="s">
        <v>1717</v>
      </c>
      <c r="B1525" s="35">
        <v>46157</v>
      </c>
      <c r="C1525" s="36" t="s">
        <v>298</v>
      </c>
      <c r="D1525" s="36" t="s">
        <v>299</v>
      </c>
      <c r="E1525" s="36" t="s">
        <v>46</v>
      </c>
      <c r="F1525" s="36" t="s">
        <v>47</v>
      </c>
      <c r="G1525" s="36" t="s">
        <v>31</v>
      </c>
      <c r="H1525" s="36" t="s">
        <v>42</v>
      </c>
      <c r="I1525" s="37">
        <v>6</v>
      </c>
      <c r="J1525" s="36"/>
    </row>
    <row r="1526" spans="1:10" x14ac:dyDescent="0.35">
      <c r="A1526" s="36" t="s">
        <v>1718</v>
      </c>
      <c r="B1526" s="35">
        <v>46157</v>
      </c>
      <c r="C1526" s="36" t="s">
        <v>298</v>
      </c>
      <c r="D1526" s="36" t="s">
        <v>299</v>
      </c>
      <c r="E1526" s="36" t="s">
        <v>67</v>
      </c>
      <c r="F1526" s="36" t="s">
        <v>68</v>
      </c>
      <c r="G1526" s="36" t="s">
        <v>66</v>
      </c>
      <c r="H1526" s="36" t="s">
        <v>42</v>
      </c>
      <c r="I1526" s="37">
        <v>3</v>
      </c>
      <c r="J1526" s="36"/>
    </row>
    <row r="1527" spans="1:10" x14ac:dyDescent="0.35">
      <c r="A1527" s="36" t="s">
        <v>1719</v>
      </c>
      <c r="B1527" s="35">
        <v>46157</v>
      </c>
      <c r="C1527" s="36" t="s">
        <v>298</v>
      </c>
      <c r="D1527" s="36" t="s">
        <v>299</v>
      </c>
      <c r="E1527" s="36" t="s">
        <v>153</v>
      </c>
      <c r="F1527" s="36" t="s">
        <v>154</v>
      </c>
      <c r="G1527" s="36" t="s">
        <v>12</v>
      </c>
      <c r="H1527" s="36" t="s">
        <v>155</v>
      </c>
      <c r="I1527" s="37">
        <v>2</v>
      </c>
      <c r="J1527" s="36"/>
    </row>
    <row r="1528" spans="1:10" x14ac:dyDescent="0.35">
      <c r="A1528" s="36" t="s">
        <v>1720</v>
      </c>
      <c r="B1528" s="35">
        <v>46157</v>
      </c>
      <c r="C1528" s="36" t="s">
        <v>298</v>
      </c>
      <c r="D1528" s="36" t="s">
        <v>299</v>
      </c>
      <c r="E1528" s="36" t="s">
        <v>104</v>
      </c>
      <c r="F1528" s="36" t="s">
        <v>105</v>
      </c>
      <c r="G1528" s="36" t="s">
        <v>102</v>
      </c>
      <c r="H1528" s="36" t="s">
        <v>103</v>
      </c>
      <c r="I1528" s="37">
        <v>3</v>
      </c>
      <c r="J1528" s="36"/>
    </row>
    <row r="1529" spans="1:10" x14ac:dyDescent="0.35">
      <c r="A1529" s="36" t="s">
        <v>1721</v>
      </c>
      <c r="B1529" s="35">
        <v>46157</v>
      </c>
      <c r="C1529" s="36" t="s">
        <v>190</v>
      </c>
      <c r="D1529" s="36" t="s">
        <v>191</v>
      </c>
      <c r="E1529" s="36" t="s">
        <v>83</v>
      </c>
      <c r="F1529" s="36" t="s">
        <v>84</v>
      </c>
      <c r="G1529" s="36" t="s">
        <v>74</v>
      </c>
      <c r="H1529" s="36" t="s">
        <v>85</v>
      </c>
      <c r="I1529" s="37">
        <v>8</v>
      </c>
      <c r="J1529" s="36"/>
    </row>
    <row r="1530" spans="1:10" x14ac:dyDescent="0.35">
      <c r="A1530" s="36" t="s">
        <v>1722</v>
      </c>
      <c r="B1530" s="35">
        <v>46157</v>
      </c>
      <c r="C1530" s="36" t="s">
        <v>190</v>
      </c>
      <c r="D1530" s="36" t="s">
        <v>191</v>
      </c>
      <c r="E1530" s="36" t="s">
        <v>114</v>
      </c>
      <c r="F1530" s="36" t="s">
        <v>13</v>
      </c>
      <c r="G1530" s="36" t="s">
        <v>14</v>
      </c>
      <c r="H1530" s="36" t="s">
        <v>115</v>
      </c>
      <c r="I1530" s="37">
        <v>4</v>
      </c>
      <c r="J1530" s="36"/>
    </row>
    <row r="1531" spans="1:10" x14ac:dyDescent="0.35">
      <c r="A1531" s="36" t="s">
        <v>1723</v>
      </c>
      <c r="B1531" s="35">
        <v>46157</v>
      </c>
      <c r="C1531" s="36" t="s">
        <v>190</v>
      </c>
      <c r="D1531" s="36" t="s">
        <v>191</v>
      </c>
      <c r="E1531" s="36" t="s">
        <v>122</v>
      </c>
      <c r="F1531" s="36" t="s">
        <v>123</v>
      </c>
      <c r="G1531" s="36" t="s">
        <v>14</v>
      </c>
      <c r="H1531" s="36" t="s">
        <v>124</v>
      </c>
      <c r="I1531" s="37">
        <v>3</v>
      </c>
      <c r="J1531" s="36"/>
    </row>
    <row r="1532" spans="1:10" x14ac:dyDescent="0.35">
      <c r="A1532" s="36" t="s">
        <v>1724</v>
      </c>
      <c r="B1532" s="35">
        <v>46157</v>
      </c>
      <c r="C1532" s="36" t="s">
        <v>190</v>
      </c>
      <c r="D1532" s="36" t="s">
        <v>191</v>
      </c>
      <c r="E1532" s="36" t="s">
        <v>88</v>
      </c>
      <c r="F1532" s="36" t="s">
        <v>89</v>
      </c>
      <c r="G1532" s="36" t="s">
        <v>74</v>
      </c>
      <c r="H1532" s="36" t="s">
        <v>90</v>
      </c>
      <c r="I1532" s="37">
        <v>10</v>
      </c>
      <c r="J1532" s="36"/>
    </row>
    <row r="1533" spans="1:10" x14ac:dyDescent="0.35">
      <c r="A1533" s="36" t="s">
        <v>1725</v>
      </c>
      <c r="B1533" s="35">
        <v>46157</v>
      </c>
      <c r="C1533" s="36" t="s">
        <v>190</v>
      </c>
      <c r="D1533" s="36" t="s">
        <v>191</v>
      </c>
      <c r="E1533" s="36" t="s">
        <v>43</v>
      </c>
      <c r="F1533" s="36" t="s">
        <v>44</v>
      </c>
      <c r="G1533" s="36" t="s">
        <v>31</v>
      </c>
      <c r="H1533" s="36" t="s">
        <v>42</v>
      </c>
      <c r="I1533" s="37">
        <v>19</v>
      </c>
      <c r="J1533" s="36"/>
    </row>
    <row r="1534" spans="1:10" x14ac:dyDescent="0.35">
      <c r="A1534" s="36" t="s">
        <v>1726</v>
      </c>
      <c r="B1534" s="35">
        <v>46157</v>
      </c>
      <c r="C1534" s="36" t="s">
        <v>190</v>
      </c>
      <c r="D1534" s="36" t="s">
        <v>191</v>
      </c>
      <c r="E1534" s="36" t="s">
        <v>132</v>
      </c>
      <c r="F1534" s="36" t="s">
        <v>133</v>
      </c>
      <c r="G1534" s="36" t="s">
        <v>10</v>
      </c>
      <c r="H1534" s="36" t="s">
        <v>134</v>
      </c>
      <c r="I1534" s="37">
        <v>9</v>
      </c>
      <c r="J1534" s="36"/>
    </row>
    <row r="1535" spans="1:10" x14ac:dyDescent="0.35">
      <c r="A1535" s="36" t="s">
        <v>1727</v>
      </c>
      <c r="B1535" s="35">
        <v>46157</v>
      </c>
      <c r="C1535" s="36" t="s">
        <v>190</v>
      </c>
      <c r="D1535" s="36" t="s">
        <v>191</v>
      </c>
      <c r="E1535" s="36" t="s">
        <v>97</v>
      </c>
      <c r="F1535" s="36" t="s">
        <v>98</v>
      </c>
      <c r="G1535" s="36" t="s">
        <v>93</v>
      </c>
      <c r="H1535" s="36" t="s">
        <v>99</v>
      </c>
      <c r="I1535" s="37">
        <v>14</v>
      </c>
      <c r="J1535" s="36"/>
    </row>
    <row r="1536" spans="1:10" x14ac:dyDescent="0.35">
      <c r="A1536" s="36" t="s">
        <v>1728</v>
      </c>
      <c r="B1536" s="35">
        <v>46157</v>
      </c>
      <c r="C1536" s="36" t="s">
        <v>190</v>
      </c>
      <c r="D1536" s="36" t="s">
        <v>191</v>
      </c>
      <c r="E1536" s="36" t="s">
        <v>46</v>
      </c>
      <c r="F1536" s="36" t="s">
        <v>47</v>
      </c>
      <c r="G1536" s="36" t="s">
        <v>31</v>
      </c>
      <c r="H1536" s="36" t="s">
        <v>42</v>
      </c>
      <c r="I1536" s="37">
        <v>15</v>
      </c>
      <c r="J1536" s="36"/>
    </row>
    <row r="1537" spans="1:10" x14ac:dyDescent="0.35">
      <c r="A1537" s="36" t="s">
        <v>1729</v>
      </c>
      <c r="B1537" s="35">
        <v>46164</v>
      </c>
      <c r="C1537" s="36" t="s">
        <v>190</v>
      </c>
      <c r="D1537" s="36" t="s">
        <v>191</v>
      </c>
      <c r="E1537" s="36" t="s">
        <v>117</v>
      </c>
      <c r="F1537" s="36" t="s">
        <v>118</v>
      </c>
      <c r="G1537" s="36" t="s">
        <v>14</v>
      </c>
      <c r="H1537" s="36" t="s">
        <v>119</v>
      </c>
      <c r="I1537" s="37">
        <v>3</v>
      </c>
      <c r="J1537" s="36"/>
    </row>
    <row r="1538" spans="1:10" x14ac:dyDescent="0.35">
      <c r="A1538" s="36" t="s">
        <v>1730</v>
      </c>
      <c r="B1538" s="35">
        <v>46164</v>
      </c>
      <c r="C1538" s="36" t="s">
        <v>190</v>
      </c>
      <c r="D1538" s="36" t="s">
        <v>191</v>
      </c>
      <c r="E1538" s="36" t="s">
        <v>128</v>
      </c>
      <c r="F1538" s="36" t="s">
        <v>9</v>
      </c>
      <c r="G1538" s="36" t="s">
        <v>10</v>
      </c>
      <c r="H1538" s="36" t="s">
        <v>129</v>
      </c>
      <c r="I1538" s="37">
        <v>10</v>
      </c>
      <c r="J1538" s="36"/>
    </row>
    <row r="1539" spans="1:10" x14ac:dyDescent="0.35">
      <c r="A1539" s="36" t="s">
        <v>1731</v>
      </c>
      <c r="B1539" s="35">
        <v>46164</v>
      </c>
      <c r="C1539" s="36" t="s">
        <v>190</v>
      </c>
      <c r="D1539" s="36" t="s">
        <v>191</v>
      </c>
      <c r="E1539" s="36" t="s">
        <v>156</v>
      </c>
      <c r="F1539" s="36" t="s">
        <v>11</v>
      </c>
      <c r="G1539" s="36" t="s">
        <v>12</v>
      </c>
      <c r="H1539" s="36" t="s">
        <v>155</v>
      </c>
      <c r="I1539" s="37">
        <v>6</v>
      </c>
      <c r="J1539" s="36"/>
    </row>
    <row r="1540" spans="1:10" x14ac:dyDescent="0.35">
      <c r="A1540" s="36" t="s">
        <v>1732</v>
      </c>
      <c r="B1540" s="35">
        <v>46164</v>
      </c>
      <c r="C1540" s="36" t="s">
        <v>190</v>
      </c>
      <c r="D1540" s="36" t="s">
        <v>191</v>
      </c>
      <c r="E1540" s="36" t="s">
        <v>111</v>
      </c>
      <c r="F1540" s="36" t="s">
        <v>112</v>
      </c>
      <c r="G1540" s="36" t="s">
        <v>102</v>
      </c>
      <c r="H1540" s="36" t="s">
        <v>113</v>
      </c>
      <c r="I1540" s="37">
        <v>11</v>
      </c>
      <c r="J1540" s="36"/>
    </row>
    <row r="1541" spans="1:10" x14ac:dyDescent="0.35">
      <c r="A1541" s="36" t="s">
        <v>1733</v>
      </c>
      <c r="B1541" s="35">
        <v>46164</v>
      </c>
      <c r="C1541" s="36" t="s">
        <v>190</v>
      </c>
      <c r="D1541" s="36" t="s">
        <v>191</v>
      </c>
      <c r="E1541" s="36" t="s">
        <v>69</v>
      </c>
      <c r="F1541" s="36" t="s">
        <v>70</v>
      </c>
      <c r="G1541" s="36" t="s">
        <v>66</v>
      </c>
      <c r="H1541" s="36" t="s">
        <v>71</v>
      </c>
      <c r="I1541" s="37">
        <v>14</v>
      </c>
      <c r="J1541" s="36"/>
    </row>
    <row r="1542" spans="1:10" x14ac:dyDescent="0.35">
      <c r="A1542" s="36" t="s">
        <v>1734</v>
      </c>
      <c r="B1542" s="35">
        <v>46164</v>
      </c>
      <c r="C1542" s="36" t="s">
        <v>190</v>
      </c>
      <c r="D1542" s="36" t="s">
        <v>191</v>
      </c>
      <c r="E1542" s="36" t="s">
        <v>34</v>
      </c>
      <c r="F1542" s="36" t="s">
        <v>35</v>
      </c>
      <c r="G1542" s="36" t="s">
        <v>31</v>
      </c>
      <c r="H1542" s="36" t="s">
        <v>36</v>
      </c>
      <c r="I1542" s="37">
        <v>16</v>
      </c>
      <c r="J1542" s="36"/>
    </row>
    <row r="1543" spans="1:10" x14ac:dyDescent="0.35">
      <c r="A1543" s="36" t="s">
        <v>1735</v>
      </c>
      <c r="B1543" s="35">
        <v>46164</v>
      </c>
      <c r="C1543" s="36" t="s">
        <v>190</v>
      </c>
      <c r="D1543" s="36" t="s">
        <v>191</v>
      </c>
      <c r="E1543" s="36" t="s">
        <v>29</v>
      </c>
      <c r="F1543" s="36" t="s">
        <v>30</v>
      </c>
      <c r="G1543" s="36" t="s">
        <v>31</v>
      </c>
      <c r="H1543" s="36" t="s">
        <v>32</v>
      </c>
      <c r="I1543" s="37">
        <v>14</v>
      </c>
      <c r="J1543" s="36"/>
    </row>
    <row r="1544" spans="1:10" x14ac:dyDescent="0.35">
      <c r="A1544" s="36" t="s">
        <v>1736</v>
      </c>
      <c r="B1544" s="35">
        <v>46164</v>
      </c>
      <c r="C1544" s="36" t="s">
        <v>190</v>
      </c>
      <c r="D1544" s="36" t="s">
        <v>191</v>
      </c>
      <c r="E1544" s="36" t="s">
        <v>57</v>
      </c>
      <c r="F1544" s="36" t="s">
        <v>58</v>
      </c>
      <c r="G1544" s="36" t="s">
        <v>53</v>
      </c>
      <c r="H1544" s="36" t="s">
        <v>42</v>
      </c>
      <c r="I1544" s="37">
        <v>29</v>
      </c>
      <c r="J1544" s="36"/>
    </row>
    <row r="1545" spans="1:10" x14ac:dyDescent="0.35">
      <c r="A1545" s="36" t="s">
        <v>1737</v>
      </c>
      <c r="B1545" s="35">
        <v>46164</v>
      </c>
      <c r="C1545" s="36" t="s">
        <v>190</v>
      </c>
      <c r="D1545" s="36" t="s">
        <v>191</v>
      </c>
      <c r="E1545" s="36" t="s">
        <v>76</v>
      </c>
      <c r="F1545" s="36" t="s">
        <v>77</v>
      </c>
      <c r="G1545" s="36" t="s">
        <v>74</v>
      </c>
      <c r="H1545" s="36" t="s">
        <v>75</v>
      </c>
      <c r="I1545" s="37">
        <v>16</v>
      </c>
      <c r="J1545" s="36"/>
    </row>
    <row r="1546" spans="1:10" x14ac:dyDescent="0.35">
      <c r="A1546" s="36" t="s">
        <v>1738</v>
      </c>
      <c r="B1546" s="35">
        <v>46164</v>
      </c>
      <c r="C1546" s="36" t="s">
        <v>238</v>
      </c>
      <c r="D1546" s="36" t="s">
        <v>239</v>
      </c>
      <c r="E1546" s="36" t="s">
        <v>51</v>
      </c>
      <c r="F1546" s="36" t="s">
        <v>52</v>
      </c>
      <c r="G1546" s="36" t="s">
        <v>53</v>
      </c>
      <c r="H1546" s="36" t="s">
        <v>42</v>
      </c>
      <c r="I1546" s="37">
        <v>8</v>
      </c>
      <c r="J1546" s="36"/>
    </row>
    <row r="1547" spans="1:10" x14ac:dyDescent="0.35">
      <c r="A1547" s="36" t="s">
        <v>1739</v>
      </c>
      <c r="B1547" s="35">
        <v>46164</v>
      </c>
      <c r="C1547" s="36" t="s">
        <v>238</v>
      </c>
      <c r="D1547" s="36" t="s">
        <v>239</v>
      </c>
      <c r="E1547" s="36" t="s">
        <v>157</v>
      </c>
      <c r="F1547" s="36" t="s">
        <v>158</v>
      </c>
      <c r="G1547" s="36" t="s">
        <v>159</v>
      </c>
      <c r="H1547" s="36" t="s">
        <v>160</v>
      </c>
      <c r="I1547" s="37">
        <v>2</v>
      </c>
      <c r="J1547" s="36"/>
    </row>
    <row r="1548" spans="1:10" x14ac:dyDescent="0.35">
      <c r="A1548" s="36" t="s">
        <v>1740</v>
      </c>
      <c r="B1548" s="35">
        <v>46164</v>
      </c>
      <c r="C1548" s="36" t="s">
        <v>238</v>
      </c>
      <c r="D1548" s="36" t="s">
        <v>239</v>
      </c>
      <c r="E1548" s="36" t="s">
        <v>78</v>
      </c>
      <c r="F1548" s="36" t="s">
        <v>79</v>
      </c>
      <c r="G1548" s="36" t="s">
        <v>74</v>
      </c>
      <c r="H1548" s="36" t="s">
        <v>80</v>
      </c>
      <c r="I1548" s="37">
        <v>5</v>
      </c>
      <c r="J1548" s="36"/>
    </row>
    <row r="1549" spans="1:10" x14ac:dyDescent="0.35">
      <c r="A1549" s="36" t="s">
        <v>1741</v>
      </c>
      <c r="B1549" s="35">
        <v>46164</v>
      </c>
      <c r="C1549" s="36" t="s">
        <v>238</v>
      </c>
      <c r="D1549" s="36" t="s">
        <v>239</v>
      </c>
      <c r="E1549" s="36" t="s">
        <v>117</v>
      </c>
      <c r="F1549" s="36" t="s">
        <v>118</v>
      </c>
      <c r="G1549" s="36" t="s">
        <v>14</v>
      </c>
      <c r="H1549" s="36" t="s">
        <v>119</v>
      </c>
      <c r="I1549" s="37">
        <v>1</v>
      </c>
      <c r="J1549" s="36"/>
    </row>
    <row r="1550" spans="1:10" x14ac:dyDescent="0.35">
      <c r="A1550" s="36" t="s">
        <v>1742</v>
      </c>
      <c r="B1550" s="35">
        <v>46164</v>
      </c>
      <c r="C1550" s="36" t="s">
        <v>238</v>
      </c>
      <c r="D1550" s="36" t="s">
        <v>239</v>
      </c>
      <c r="E1550" s="36" t="s">
        <v>43</v>
      </c>
      <c r="F1550" s="36" t="s">
        <v>44</v>
      </c>
      <c r="G1550" s="36" t="s">
        <v>31</v>
      </c>
      <c r="H1550" s="36" t="s">
        <v>42</v>
      </c>
      <c r="I1550" s="37">
        <v>6</v>
      </c>
      <c r="J1550" s="36"/>
    </row>
    <row r="1551" spans="1:10" x14ac:dyDescent="0.35">
      <c r="A1551" s="36" t="s">
        <v>1743</v>
      </c>
      <c r="B1551" s="35">
        <v>46164</v>
      </c>
      <c r="C1551" s="36" t="s">
        <v>190</v>
      </c>
      <c r="D1551" s="36" t="s">
        <v>191</v>
      </c>
      <c r="E1551" s="36" t="s">
        <v>122</v>
      </c>
      <c r="F1551" s="36" t="s">
        <v>123</v>
      </c>
      <c r="G1551" s="36" t="s">
        <v>14</v>
      </c>
      <c r="H1551" s="36" t="s">
        <v>124</v>
      </c>
      <c r="I1551" s="37">
        <v>2</v>
      </c>
      <c r="J1551" s="36"/>
    </row>
    <row r="1552" spans="1:10" x14ac:dyDescent="0.35">
      <c r="A1552" s="36" t="s">
        <v>1744</v>
      </c>
      <c r="B1552" s="35">
        <v>46164</v>
      </c>
      <c r="C1552" s="36" t="s">
        <v>190</v>
      </c>
      <c r="D1552" s="36" t="s">
        <v>191</v>
      </c>
      <c r="E1552" s="36" t="s">
        <v>81</v>
      </c>
      <c r="F1552" s="36" t="s">
        <v>82</v>
      </c>
      <c r="G1552" s="36" t="s">
        <v>74</v>
      </c>
      <c r="H1552" s="36" t="s">
        <v>80</v>
      </c>
      <c r="I1552" s="37">
        <v>10</v>
      </c>
      <c r="J1552" s="36"/>
    </row>
    <row r="1553" spans="1:10" x14ac:dyDescent="0.35">
      <c r="A1553" s="36" t="s">
        <v>1745</v>
      </c>
      <c r="B1553" s="35">
        <v>46164</v>
      </c>
      <c r="C1553" s="36" t="s">
        <v>190</v>
      </c>
      <c r="D1553" s="36" t="s">
        <v>191</v>
      </c>
      <c r="E1553" s="36" t="s">
        <v>94</v>
      </c>
      <c r="F1553" s="36" t="s">
        <v>95</v>
      </c>
      <c r="G1553" s="36" t="s">
        <v>93</v>
      </c>
      <c r="H1553" s="36" t="s">
        <v>96</v>
      </c>
      <c r="I1553" s="37">
        <v>8</v>
      </c>
      <c r="J1553" s="36"/>
    </row>
    <row r="1554" spans="1:10" x14ac:dyDescent="0.35">
      <c r="A1554" s="36" t="s">
        <v>1746</v>
      </c>
      <c r="B1554" s="35">
        <v>46164</v>
      </c>
      <c r="C1554" s="36" t="s">
        <v>190</v>
      </c>
      <c r="D1554" s="36" t="s">
        <v>191</v>
      </c>
      <c r="E1554" s="36" t="s">
        <v>117</v>
      </c>
      <c r="F1554" s="36" t="s">
        <v>118</v>
      </c>
      <c r="G1554" s="36" t="s">
        <v>14</v>
      </c>
      <c r="H1554" s="36" t="s">
        <v>119</v>
      </c>
      <c r="I1554" s="37">
        <v>3</v>
      </c>
      <c r="J1554" s="36"/>
    </row>
    <row r="1555" spans="1:10" x14ac:dyDescent="0.35">
      <c r="A1555" s="36" t="s">
        <v>1747</v>
      </c>
      <c r="B1555" s="35">
        <v>46164</v>
      </c>
      <c r="C1555" s="36" t="s">
        <v>190</v>
      </c>
      <c r="D1555" s="36" t="s">
        <v>191</v>
      </c>
      <c r="E1555" s="36" t="s">
        <v>104</v>
      </c>
      <c r="F1555" s="36" t="s">
        <v>105</v>
      </c>
      <c r="G1555" s="36" t="s">
        <v>102</v>
      </c>
      <c r="H1555" s="36" t="s">
        <v>103</v>
      </c>
      <c r="I1555" s="37">
        <v>22</v>
      </c>
      <c r="J1555" s="36"/>
    </row>
    <row r="1556" spans="1:10" x14ac:dyDescent="0.35">
      <c r="A1556" s="36" t="s">
        <v>1748</v>
      </c>
      <c r="B1556" s="35">
        <v>46164</v>
      </c>
      <c r="C1556" s="36" t="s">
        <v>190</v>
      </c>
      <c r="D1556" s="36" t="s">
        <v>191</v>
      </c>
      <c r="E1556" s="36" t="s">
        <v>88</v>
      </c>
      <c r="F1556" s="36" t="s">
        <v>89</v>
      </c>
      <c r="G1556" s="36" t="s">
        <v>74</v>
      </c>
      <c r="H1556" s="36" t="s">
        <v>90</v>
      </c>
      <c r="I1556" s="37">
        <v>15</v>
      </c>
      <c r="J1556" s="36"/>
    </row>
    <row r="1557" spans="1:10" x14ac:dyDescent="0.35">
      <c r="A1557" s="36" t="s">
        <v>1749</v>
      </c>
      <c r="B1557" s="35">
        <v>46164</v>
      </c>
      <c r="C1557" s="36" t="s">
        <v>190</v>
      </c>
      <c r="D1557" s="36" t="s">
        <v>191</v>
      </c>
      <c r="E1557" s="36" t="s">
        <v>59</v>
      </c>
      <c r="F1557" s="36" t="s">
        <v>60</v>
      </c>
      <c r="G1557" s="36" t="s">
        <v>53</v>
      </c>
      <c r="H1557" s="36" t="s">
        <v>56</v>
      </c>
      <c r="I1557" s="37">
        <v>28</v>
      </c>
      <c r="J1557" s="36"/>
    </row>
    <row r="1558" spans="1:10" x14ac:dyDescent="0.35">
      <c r="A1558" s="36" t="s">
        <v>1750</v>
      </c>
      <c r="B1558" s="35">
        <v>46167</v>
      </c>
      <c r="C1558" s="36" t="s">
        <v>190</v>
      </c>
      <c r="D1558" s="36" t="s">
        <v>191</v>
      </c>
      <c r="E1558" s="36" t="s">
        <v>76</v>
      </c>
      <c r="F1558" s="36" t="s">
        <v>77</v>
      </c>
      <c r="G1558" s="36" t="s">
        <v>74</v>
      </c>
      <c r="H1558" s="36" t="s">
        <v>75</v>
      </c>
      <c r="I1558" s="37">
        <v>12</v>
      </c>
      <c r="J1558" s="36"/>
    </row>
    <row r="1559" spans="1:10" x14ac:dyDescent="0.35">
      <c r="A1559" s="36" t="s">
        <v>1751</v>
      </c>
      <c r="B1559" s="35">
        <v>46167</v>
      </c>
      <c r="C1559" s="36" t="s">
        <v>190</v>
      </c>
      <c r="D1559" s="36" t="s">
        <v>191</v>
      </c>
      <c r="E1559" s="36" t="s">
        <v>59</v>
      </c>
      <c r="F1559" s="36" t="s">
        <v>60</v>
      </c>
      <c r="G1559" s="36" t="s">
        <v>53</v>
      </c>
      <c r="H1559" s="36" t="s">
        <v>56</v>
      </c>
      <c r="I1559" s="37">
        <v>29</v>
      </c>
      <c r="J1559" s="36"/>
    </row>
    <row r="1560" spans="1:10" x14ac:dyDescent="0.35">
      <c r="A1560" s="36" t="s">
        <v>1752</v>
      </c>
      <c r="B1560" s="35">
        <v>46167</v>
      </c>
      <c r="C1560" s="36" t="s">
        <v>190</v>
      </c>
      <c r="D1560" s="36" t="s">
        <v>191</v>
      </c>
      <c r="E1560" s="36" t="s">
        <v>132</v>
      </c>
      <c r="F1560" s="36" t="s">
        <v>133</v>
      </c>
      <c r="G1560" s="36" t="s">
        <v>10</v>
      </c>
      <c r="H1560" s="36" t="s">
        <v>134</v>
      </c>
      <c r="I1560" s="37">
        <v>6</v>
      </c>
      <c r="J1560" s="36"/>
    </row>
    <row r="1561" spans="1:10" x14ac:dyDescent="0.35">
      <c r="A1561" s="36" t="s">
        <v>1753</v>
      </c>
      <c r="B1561" s="35">
        <v>46167</v>
      </c>
      <c r="C1561" s="36" t="s">
        <v>190</v>
      </c>
      <c r="D1561" s="36" t="s">
        <v>191</v>
      </c>
      <c r="E1561" s="36" t="s">
        <v>40</v>
      </c>
      <c r="F1561" s="36" t="s">
        <v>41</v>
      </c>
      <c r="G1561" s="36" t="s">
        <v>31</v>
      </c>
      <c r="H1561" s="36" t="s">
        <v>42</v>
      </c>
      <c r="I1561" s="37">
        <v>14</v>
      </c>
      <c r="J1561" s="36"/>
    </row>
    <row r="1562" spans="1:10" x14ac:dyDescent="0.35">
      <c r="A1562" s="36" t="s">
        <v>1754</v>
      </c>
      <c r="B1562" s="35">
        <v>46167</v>
      </c>
      <c r="C1562" s="36" t="s">
        <v>190</v>
      </c>
      <c r="D1562" s="36" t="s">
        <v>191</v>
      </c>
      <c r="E1562" s="36" t="s">
        <v>57</v>
      </c>
      <c r="F1562" s="36" t="s">
        <v>58</v>
      </c>
      <c r="G1562" s="36" t="s">
        <v>53</v>
      </c>
      <c r="H1562" s="36" t="s">
        <v>42</v>
      </c>
      <c r="I1562" s="37">
        <v>18</v>
      </c>
      <c r="J1562" s="36"/>
    </row>
    <row r="1563" spans="1:10" x14ac:dyDescent="0.35">
      <c r="A1563" s="36" t="s">
        <v>1755</v>
      </c>
      <c r="B1563" s="35">
        <v>46167</v>
      </c>
      <c r="C1563" s="36" t="s">
        <v>238</v>
      </c>
      <c r="D1563" s="36" t="s">
        <v>239</v>
      </c>
      <c r="E1563" s="36" t="s">
        <v>138</v>
      </c>
      <c r="F1563" s="36" t="s">
        <v>139</v>
      </c>
      <c r="G1563" s="36" t="s">
        <v>6</v>
      </c>
      <c r="H1563" s="36" t="s">
        <v>140</v>
      </c>
      <c r="I1563" s="37">
        <v>6</v>
      </c>
      <c r="J1563" s="36"/>
    </row>
    <row r="1564" spans="1:10" x14ac:dyDescent="0.35">
      <c r="A1564" s="36" t="s">
        <v>1756</v>
      </c>
      <c r="B1564" s="35">
        <v>46167</v>
      </c>
      <c r="C1564" s="36" t="s">
        <v>238</v>
      </c>
      <c r="D1564" s="36" t="s">
        <v>239</v>
      </c>
      <c r="E1564" s="36" t="s">
        <v>91</v>
      </c>
      <c r="F1564" s="36" t="s">
        <v>92</v>
      </c>
      <c r="G1564" s="36" t="s">
        <v>93</v>
      </c>
      <c r="H1564" s="36" t="s">
        <v>85</v>
      </c>
      <c r="I1564" s="37">
        <v>5</v>
      </c>
      <c r="J1564" s="36"/>
    </row>
    <row r="1565" spans="1:10" x14ac:dyDescent="0.35">
      <c r="A1565" s="36" t="s">
        <v>1757</v>
      </c>
      <c r="B1565" s="35">
        <v>46167</v>
      </c>
      <c r="C1565" s="36" t="s">
        <v>238</v>
      </c>
      <c r="D1565" s="36" t="s">
        <v>239</v>
      </c>
      <c r="E1565" s="36" t="s">
        <v>40</v>
      </c>
      <c r="F1565" s="36" t="s">
        <v>41</v>
      </c>
      <c r="G1565" s="36" t="s">
        <v>31</v>
      </c>
      <c r="H1565" s="36" t="s">
        <v>42</v>
      </c>
      <c r="I1565" s="37">
        <v>6</v>
      </c>
      <c r="J1565" s="36"/>
    </row>
    <row r="1566" spans="1:10" x14ac:dyDescent="0.35">
      <c r="A1566" s="36" t="s">
        <v>1758</v>
      </c>
      <c r="B1566" s="35">
        <v>46167</v>
      </c>
      <c r="C1566" s="36" t="s">
        <v>238</v>
      </c>
      <c r="D1566" s="36" t="s">
        <v>239</v>
      </c>
      <c r="E1566" s="36" t="s">
        <v>81</v>
      </c>
      <c r="F1566" s="36" t="s">
        <v>82</v>
      </c>
      <c r="G1566" s="36" t="s">
        <v>74</v>
      </c>
      <c r="H1566" s="36" t="s">
        <v>80</v>
      </c>
      <c r="I1566" s="37">
        <v>4</v>
      </c>
      <c r="J1566" s="36"/>
    </row>
    <row r="1567" spans="1:10" x14ac:dyDescent="0.35">
      <c r="A1567" s="36" t="s">
        <v>1759</v>
      </c>
      <c r="B1567" s="35">
        <v>46167</v>
      </c>
      <c r="C1567" s="36" t="s">
        <v>238</v>
      </c>
      <c r="D1567" s="36" t="s">
        <v>239</v>
      </c>
      <c r="E1567" s="36" t="s">
        <v>153</v>
      </c>
      <c r="F1567" s="36" t="s">
        <v>154</v>
      </c>
      <c r="G1567" s="36" t="s">
        <v>12</v>
      </c>
      <c r="H1567" s="36" t="s">
        <v>155</v>
      </c>
      <c r="I1567" s="37">
        <v>2</v>
      </c>
      <c r="J1567" s="36"/>
    </row>
    <row r="1568" spans="1:10" x14ac:dyDescent="0.35">
      <c r="A1568" s="36" t="s">
        <v>1760</v>
      </c>
      <c r="B1568" s="35">
        <v>46167</v>
      </c>
      <c r="C1568" s="36" t="s">
        <v>238</v>
      </c>
      <c r="D1568" s="36" t="s">
        <v>239</v>
      </c>
      <c r="E1568" s="36" t="s">
        <v>122</v>
      </c>
      <c r="F1568" s="36" t="s">
        <v>123</v>
      </c>
      <c r="G1568" s="36" t="s">
        <v>14</v>
      </c>
      <c r="H1568" s="36" t="s">
        <v>124</v>
      </c>
      <c r="I1568" s="37">
        <v>1</v>
      </c>
      <c r="J1568" s="36"/>
    </row>
    <row r="1569" spans="1:10" x14ac:dyDescent="0.35">
      <c r="A1569" s="36" t="s">
        <v>1761</v>
      </c>
      <c r="B1569" s="35">
        <v>46167</v>
      </c>
      <c r="C1569" s="36" t="s">
        <v>238</v>
      </c>
      <c r="D1569" s="36" t="s">
        <v>239</v>
      </c>
      <c r="E1569" s="36" t="s">
        <v>161</v>
      </c>
      <c r="F1569" s="36" t="s">
        <v>162</v>
      </c>
      <c r="G1569" s="36" t="s">
        <v>159</v>
      </c>
      <c r="H1569" s="36" t="s">
        <v>163</v>
      </c>
      <c r="I1569" s="37">
        <v>4</v>
      </c>
      <c r="J1569" s="36"/>
    </row>
    <row r="1570" spans="1:10" x14ac:dyDescent="0.35">
      <c r="A1570" s="36" t="s">
        <v>1762</v>
      </c>
      <c r="B1570" s="35">
        <v>46167</v>
      </c>
      <c r="C1570" s="36" t="s">
        <v>238</v>
      </c>
      <c r="D1570" s="36" t="s">
        <v>239</v>
      </c>
      <c r="E1570" s="36" t="s">
        <v>43</v>
      </c>
      <c r="F1570" s="36" t="s">
        <v>44</v>
      </c>
      <c r="G1570" s="36" t="s">
        <v>31</v>
      </c>
      <c r="H1570" s="36" t="s">
        <v>42</v>
      </c>
      <c r="I1570" s="37">
        <v>6</v>
      </c>
      <c r="J1570" s="36"/>
    </row>
    <row r="1571" spans="1:10" x14ac:dyDescent="0.35">
      <c r="A1571" s="36" t="s">
        <v>1763</v>
      </c>
      <c r="B1571" s="35">
        <v>46167</v>
      </c>
      <c r="C1571" s="36" t="s">
        <v>238</v>
      </c>
      <c r="D1571" s="36" t="s">
        <v>239</v>
      </c>
      <c r="E1571" s="36" t="s">
        <v>120</v>
      </c>
      <c r="F1571" s="36" t="s">
        <v>121</v>
      </c>
      <c r="G1571" s="36" t="s">
        <v>14</v>
      </c>
      <c r="H1571" s="36" t="s">
        <v>119</v>
      </c>
      <c r="I1571" s="37">
        <v>1</v>
      </c>
      <c r="J1571" s="36"/>
    </row>
    <row r="1572" spans="1:10" x14ac:dyDescent="0.35">
      <c r="A1572" s="36" t="s">
        <v>1764</v>
      </c>
      <c r="B1572" s="35">
        <v>46167</v>
      </c>
      <c r="C1572" s="36" t="s">
        <v>238</v>
      </c>
      <c r="D1572" s="36" t="s">
        <v>239</v>
      </c>
      <c r="E1572" s="36" t="s">
        <v>64</v>
      </c>
      <c r="F1572" s="36" t="s">
        <v>65</v>
      </c>
      <c r="G1572" s="36" t="s">
        <v>66</v>
      </c>
      <c r="H1572" s="36" t="s">
        <v>42</v>
      </c>
      <c r="I1572" s="37">
        <v>3</v>
      </c>
      <c r="J1572" s="36"/>
    </row>
    <row r="1573" spans="1:10" x14ac:dyDescent="0.35">
      <c r="A1573" s="36" t="s">
        <v>1765</v>
      </c>
      <c r="B1573" s="35">
        <v>46167</v>
      </c>
      <c r="C1573" s="36" t="s">
        <v>238</v>
      </c>
      <c r="D1573" s="36" t="s">
        <v>239</v>
      </c>
      <c r="E1573" s="36" t="s">
        <v>61</v>
      </c>
      <c r="F1573" s="36" t="s">
        <v>62</v>
      </c>
      <c r="G1573" s="36" t="s">
        <v>53</v>
      </c>
      <c r="H1573" s="36" t="s">
        <v>42</v>
      </c>
      <c r="I1573" s="37">
        <v>8</v>
      </c>
      <c r="J1573" s="36"/>
    </row>
    <row r="1574" spans="1:10" x14ac:dyDescent="0.35">
      <c r="A1574" s="36" t="s">
        <v>1766</v>
      </c>
      <c r="B1574" s="35">
        <v>46169</v>
      </c>
      <c r="C1574" s="36" t="s">
        <v>210</v>
      </c>
      <c r="D1574" s="36" t="s">
        <v>211</v>
      </c>
      <c r="E1574" s="36" t="s">
        <v>48</v>
      </c>
      <c r="F1574" s="36" t="s">
        <v>49</v>
      </c>
      <c r="G1574" s="36" t="s">
        <v>31</v>
      </c>
      <c r="H1574" s="36" t="s">
        <v>50</v>
      </c>
      <c r="I1574" s="37">
        <v>14</v>
      </c>
      <c r="J1574" s="36"/>
    </row>
    <row r="1575" spans="1:10" x14ac:dyDescent="0.35">
      <c r="A1575" s="36" t="s">
        <v>1767</v>
      </c>
      <c r="B1575" s="35">
        <v>46169</v>
      </c>
      <c r="C1575" s="36" t="s">
        <v>210</v>
      </c>
      <c r="D1575" s="36" t="s">
        <v>211</v>
      </c>
      <c r="E1575" s="36" t="s">
        <v>37</v>
      </c>
      <c r="F1575" s="36" t="s">
        <v>38</v>
      </c>
      <c r="G1575" s="36" t="s">
        <v>31</v>
      </c>
      <c r="H1575" s="36" t="s">
        <v>39</v>
      </c>
      <c r="I1575" s="37">
        <v>7</v>
      </c>
      <c r="J1575" s="36"/>
    </row>
    <row r="1576" spans="1:10" x14ac:dyDescent="0.35">
      <c r="A1576" s="36" t="s">
        <v>1768</v>
      </c>
      <c r="B1576" s="35">
        <v>46169</v>
      </c>
      <c r="C1576" s="36" t="s">
        <v>210</v>
      </c>
      <c r="D1576" s="36" t="s">
        <v>211</v>
      </c>
      <c r="E1576" s="36" t="s">
        <v>144</v>
      </c>
      <c r="F1576" s="36" t="s">
        <v>7</v>
      </c>
      <c r="G1576" s="36" t="s">
        <v>8</v>
      </c>
      <c r="H1576" s="36" t="s">
        <v>145</v>
      </c>
      <c r="I1576" s="37">
        <v>4</v>
      </c>
      <c r="J1576" s="36"/>
    </row>
    <row r="1577" spans="1:10" x14ac:dyDescent="0.35">
      <c r="A1577" s="36" t="s">
        <v>1769</v>
      </c>
      <c r="B1577" s="35">
        <v>46169</v>
      </c>
      <c r="C1577" s="36" t="s">
        <v>210</v>
      </c>
      <c r="D1577" s="36" t="s">
        <v>211</v>
      </c>
      <c r="E1577" s="36" t="s">
        <v>120</v>
      </c>
      <c r="F1577" s="36" t="s">
        <v>121</v>
      </c>
      <c r="G1577" s="36" t="s">
        <v>14</v>
      </c>
      <c r="H1577" s="36" t="s">
        <v>119</v>
      </c>
      <c r="I1577" s="37">
        <v>2</v>
      </c>
      <c r="J1577" s="36"/>
    </row>
    <row r="1578" spans="1:10" x14ac:dyDescent="0.35">
      <c r="A1578" s="36" t="s">
        <v>1770</v>
      </c>
      <c r="B1578" s="35">
        <v>46169</v>
      </c>
      <c r="C1578" s="36" t="s">
        <v>210</v>
      </c>
      <c r="D1578" s="36" t="s">
        <v>211</v>
      </c>
      <c r="E1578" s="36" t="s">
        <v>132</v>
      </c>
      <c r="F1578" s="36" t="s">
        <v>133</v>
      </c>
      <c r="G1578" s="36" t="s">
        <v>10</v>
      </c>
      <c r="H1578" s="36" t="s">
        <v>134</v>
      </c>
      <c r="I1578" s="37">
        <v>3</v>
      </c>
      <c r="J1578" s="36"/>
    </row>
    <row r="1579" spans="1:10" x14ac:dyDescent="0.35">
      <c r="A1579" s="36" t="s">
        <v>1771</v>
      </c>
      <c r="B1579" s="35">
        <v>46169</v>
      </c>
      <c r="C1579" s="36" t="s">
        <v>210</v>
      </c>
      <c r="D1579" s="36" t="s">
        <v>211</v>
      </c>
      <c r="E1579" s="36" t="s">
        <v>40</v>
      </c>
      <c r="F1579" s="36" t="s">
        <v>41</v>
      </c>
      <c r="G1579" s="36" t="s">
        <v>31</v>
      </c>
      <c r="H1579" s="36" t="s">
        <v>42</v>
      </c>
      <c r="I1579" s="37">
        <v>7</v>
      </c>
      <c r="J1579" s="36"/>
    </row>
    <row r="1580" spans="1:10" x14ac:dyDescent="0.35">
      <c r="A1580" s="36" t="s">
        <v>1772</v>
      </c>
      <c r="B1580" s="35">
        <v>46169</v>
      </c>
      <c r="C1580" s="36" t="s">
        <v>210</v>
      </c>
      <c r="D1580" s="36" t="s">
        <v>211</v>
      </c>
      <c r="E1580" s="36" t="s">
        <v>114</v>
      </c>
      <c r="F1580" s="36" t="s">
        <v>13</v>
      </c>
      <c r="G1580" s="36" t="s">
        <v>14</v>
      </c>
      <c r="H1580" s="36" t="s">
        <v>115</v>
      </c>
      <c r="I1580" s="37">
        <v>3</v>
      </c>
      <c r="J1580" s="36"/>
    </row>
    <row r="1581" spans="1:10" x14ac:dyDescent="0.35">
      <c r="A1581" s="36" t="s">
        <v>1773</v>
      </c>
      <c r="B1581" s="35">
        <v>46169</v>
      </c>
      <c r="C1581" s="36" t="s">
        <v>210</v>
      </c>
      <c r="D1581" s="36" t="s">
        <v>211</v>
      </c>
      <c r="E1581" s="36" t="s">
        <v>51</v>
      </c>
      <c r="F1581" s="36" t="s">
        <v>52</v>
      </c>
      <c r="G1581" s="36" t="s">
        <v>53</v>
      </c>
      <c r="H1581" s="36" t="s">
        <v>42</v>
      </c>
      <c r="I1581" s="37">
        <v>14</v>
      </c>
      <c r="J1581" s="36"/>
    </row>
    <row r="1582" spans="1:10" x14ac:dyDescent="0.35">
      <c r="A1582" s="36" t="s">
        <v>1774</v>
      </c>
      <c r="B1582" s="35">
        <v>46169</v>
      </c>
      <c r="C1582" s="36" t="s">
        <v>190</v>
      </c>
      <c r="D1582" s="36" t="s">
        <v>191</v>
      </c>
      <c r="E1582" s="36" t="s">
        <v>61</v>
      </c>
      <c r="F1582" s="36" t="s">
        <v>62</v>
      </c>
      <c r="G1582" s="36" t="s">
        <v>53</v>
      </c>
      <c r="H1582" s="36" t="s">
        <v>42</v>
      </c>
      <c r="I1582" s="37">
        <v>19</v>
      </c>
      <c r="J1582" s="36"/>
    </row>
    <row r="1583" spans="1:10" x14ac:dyDescent="0.35">
      <c r="A1583" s="36" t="s">
        <v>1775</v>
      </c>
      <c r="B1583" s="35">
        <v>46169</v>
      </c>
      <c r="C1583" s="36" t="s">
        <v>190</v>
      </c>
      <c r="D1583" s="36" t="s">
        <v>191</v>
      </c>
      <c r="E1583" s="36" t="s">
        <v>144</v>
      </c>
      <c r="F1583" s="36" t="s">
        <v>7</v>
      </c>
      <c r="G1583" s="36" t="s">
        <v>8</v>
      </c>
      <c r="H1583" s="36" t="s">
        <v>145</v>
      </c>
      <c r="I1583" s="37">
        <v>6</v>
      </c>
      <c r="J1583" s="36"/>
    </row>
    <row r="1584" spans="1:10" x14ac:dyDescent="0.35">
      <c r="A1584" s="36" t="s">
        <v>1776</v>
      </c>
      <c r="B1584" s="35">
        <v>46169</v>
      </c>
      <c r="C1584" s="36" t="s">
        <v>190</v>
      </c>
      <c r="D1584" s="36" t="s">
        <v>191</v>
      </c>
      <c r="E1584" s="36" t="s">
        <v>91</v>
      </c>
      <c r="F1584" s="36" t="s">
        <v>92</v>
      </c>
      <c r="G1584" s="36" t="s">
        <v>93</v>
      </c>
      <c r="H1584" s="36" t="s">
        <v>85</v>
      </c>
      <c r="I1584" s="37">
        <v>11</v>
      </c>
      <c r="J1584" s="36"/>
    </row>
    <row r="1585" spans="1:10" x14ac:dyDescent="0.35">
      <c r="A1585" s="36" t="s">
        <v>1777</v>
      </c>
      <c r="B1585" s="35">
        <v>46169</v>
      </c>
      <c r="C1585" s="36" t="s">
        <v>190</v>
      </c>
      <c r="D1585" s="36" t="s">
        <v>191</v>
      </c>
      <c r="E1585" s="36" t="s">
        <v>34</v>
      </c>
      <c r="F1585" s="36" t="s">
        <v>35</v>
      </c>
      <c r="G1585" s="36" t="s">
        <v>31</v>
      </c>
      <c r="H1585" s="36" t="s">
        <v>36</v>
      </c>
      <c r="I1585" s="37">
        <v>23</v>
      </c>
      <c r="J1585" s="36"/>
    </row>
    <row r="1586" spans="1:10" x14ac:dyDescent="0.35">
      <c r="A1586" s="36" t="s">
        <v>1778</v>
      </c>
      <c r="B1586" s="35">
        <v>46169</v>
      </c>
      <c r="C1586" s="36" t="s">
        <v>190</v>
      </c>
      <c r="D1586" s="36" t="s">
        <v>191</v>
      </c>
      <c r="E1586" s="36" t="s">
        <v>46</v>
      </c>
      <c r="F1586" s="36" t="s">
        <v>47</v>
      </c>
      <c r="G1586" s="36" t="s">
        <v>31</v>
      </c>
      <c r="H1586" s="36" t="s">
        <v>42</v>
      </c>
      <c r="I1586" s="37">
        <v>15</v>
      </c>
      <c r="J1586" s="36"/>
    </row>
    <row r="1587" spans="1:10" x14ac:dyDescent="0.35">
      <c r="A1587" s="36" t="s">
        <v>1779</v>
      </c>
      <c r="B1587" s="35">
        <v>46169</v>
      </c>
      <c r="C1587" s="36" t="s">
        <v>190</v>
      </c>
      <c r="D1587" s="36" t="s">
        <v>191</v>
      </c>
      <c r="E1587" s="36" t="s">
        <v>57</v>
      </c>
      <c r="F1587" s="36" t="s">
        <v>58</v>
      </c>
      <c r="G1587" s="36" t="s">
        <v>53</v>
      </c>
      <c r="H1587" s="36" t="s">
        <v>42</v>
      </c>
      <c r="I1587" s="37">
        <v>23</v>
      </c>
      <c r="J1587" s="36"/>
    </row>
    <row r="1588" spans="1:10" x14ac:dyDescent="0.35">
      <c r="A1588" s="36" t="s">
        <v>1780</v>
      </c>
      <c r="B1588" s="35">
        <v>46169</v>
      </c>
      <c r="C1588" s="36" t="s">
        <v>190</v>
      </c>
      <c r="D1588" s="36" t="s">
        <v>191</v>
      </c>
      <c r="E1588" s="36" t="s">
        <v>78</v>
      </c>
      <c r="F1588" s="36" t="s">
        <v>79</v>
      </c>
      <c r="G1588" s="36" t="s">
        <v>74</v>
      </c>
      <c r="H1588" s="36" t="s">
        <v>80</v>
      </c>
      <c r="I1588" s="37">
        <v>9</v>
      </c>
      <c r="J1588" s="36"/>
    </row>
    <row r="1589" spans="1:10" x14ac:dyDescent="0.35">
      <c r="A1589" s="36" t="s">
        <v>1781</v>
      </c>
      <c r="B1589" s="35">
        <v>46169</v>
      </c>
      <c r="C1589" s="36" t="s">
        <v>190</v>
      </c>
      <c r="D1589" s="36" t="s">
        <v>191</v>
      </c>
      <c r="E1589" s="36" t="s">
        <v>132</v>
      </c>
      <c r="F1589" s="36" t="s">
        <v>133</v>
      </c>
      <c r="G1589" s="36" t="s">
        <v>10</v>
      </c>
      <c r="H1589" s="36" t="s">
        <v>134</v>
      </c>
      <c r="I1589" s="37">
        <v>9</v>
      </c>
      <c r="J1589" s="36"/>
    </row>
    <row r="1590" spans="1:10" x14ac:dyDescent="0.35">
      <c r="A1590" s="36" t="s">
        <v>1782</v>
      </c>
      <c r="B1590" s="35">
        <v>46172</v>
      </c>
      <c r="C1590" s="36" t="s">
        <v>190</v>
      </c>
      <c r="D1590" s="36" t="s">
        <v>191</v>
      </c>
      <c r="E1590" s="36" t="s">
        <v>34</v>
      </c>
      <c r="F1590" s="36" t="s">
        <v>35</v>
      </c>
      <c r="G1590" s="36" t="s">
        <v>31</v>
      </c>
      <c r="H1590" s="36" t="s">
        <v>36</v>
      </c>
      <c r="I1590" s="37">
        <v>24</v>
      </c>
      <c r="J1590" s="36"/>
    </row>
    <row r="1591" spans="1:10" x14ac:dyDescent="0.35">
      <c r="A1591" s="36" t="s">
        <v>1783</v>
      </c>
      <c r="B1591" s="35">
        <v>46172</v>
      </c>
      <c r="C1591" s="36" t="s">
        <v>190</v>
      </c>
      <c r="D1591" s="36" t="s">
        <v>191</v>
      </c>
      <c r="E1591" s="36" t="s">
        <v>114</v>
      </c>
      <c r="F1591" s="36" t="s">
        <v>13</v>
      </c>
      <c r="G1591" s="36" t="s">
        <v>14</v>
      </c>
      <c r="H1591" s="36" t="s">
        <v>115</v>
      </c>
      <c r="I1591" s="37">
        <v>5</v>
      </c>
      <c r="J1591" s="36"/>
    </row>
    <row r="1592" spans="1:10" x14ac:dyDescent="0.35">
      <c r="A1592" s="36" t="s">
        <v>1784</v>
      </c>
      <c r="B1592" s="35">
        <v>46172</v>
      </c>
      <c r="C1592" s="36" t="s">
        <v>190</v>
      </c>
      <c r="D1592" s="36" t="s">
        <v>191</v>
      </c>
      <c r="E1592" s="36" t="s">
        <v>91</v>
      </c>
      <c r="F1592" s="36" t="s">
        <v>92</v>
      </c>
      <c r="G1592" s="36" t="s">
        <v>93</v>
      </c>
      <c r="H1592" s="36" t="s">
        <v>85</v>
      </c>
      <c r="I1592" s="37">
        <v>12</v>
      </c>
      <c r="J1592" s="36"/>
    </row>
    <row r="1593" spans="1:10" x14ac:dyDescent="0.35">
      <c r="A1593" s="36" t="s">
        <v>1785</v>
      </c>
      <c r="B1593" s="35">
        <v>46172</v>
      </c>
      <c r="C1593" s="36" t="s">
        <v>190</v>
      </c>
      <c r="D1593" s="36" t="s">
        <v>191</v>
      </c>
      <c r="E1593" s="36" t="s">
        <v>83</v>
      </c>
      <c r="F1593" s="36" t="s">
        <v>84</v>
      </c>
      <c r="G1593" s="36" t="s">
        <v>74</v>
      </c>
      <c r="H1593" s="36" t="s">
        <v>85</v>
      </c>
      <c r="I1593" s="37">
        <v>17</v>
      </c>
      <c r="J1593" s="36"/>
    </row>
    <row r="1594" spans="1:10" x14ac:dyDescent="0.35">
      <c r="A1594" s="36" t="s">
        <v>1786</v>
      </c>
      <c r="B1594" s="35">
        <v>46172</v>
      </c>
      <c r="C1594" s="36" t="s">
        <v>190</v>
      </c>
      <c r="D1594" s="36" t="s">
        <v>191</v>
      </c>
      <c r="E1594" s="36" t="s">
        <v>149</v>
      </c>
      <c r="F1594" s="36" t="s">
        <v>150</v>
      </c>
      <c r="G1594" s="36" t="s">
        <v>8</v>
      </c>
      <c r="H1594" s="36" t="s">
        <v>75</v>
      </c>
      <c r="I1594" s="37">
        <v>8</v>
      </c>
      <c r="J1594" s="36"/>
    </row>
    <row r="1595" spans="1:10" x14ac:dyDescent="0.35">
      <c r="A1595" s="36" t="s">
        <v>1787</v>
      </c>
      <c r="B1595" s="35">
        <v>46172</v>
      </c>
      <c r="C1595" s="36" t="s">
        <v>190</v>
      </c>
      <c r="D1595" s="36" t="s">
        <v>191</v>
      </c>
      <c r="E1595" s="36" t="s">
        <v>94</v>
      </c>
      <c r="F1595" s="36" t="s">
        <v>95</v>
      </c>
      <c r="G1595" s="36" t="s">
        <v>93</v>
      </c>
      <c r="H1595" s="36" t="s">
        <v>96</v>
      </c>
      <c r="I1595" s="37">
        <v>13</v>
      </c>
      <c r="J1595" s="36"/>
    </row>
    <row r="1596" spans="1:10" x14ac:dyDescent="0.35">
      <c r="A1596" s="36" t="s">
        <v>1788</v>
      </c>
      <c r="B1596" s="35">
        <v>46172</v>
      </c>
      <c r="C1596" s="36" t="s">
        <v>190</v>
      </c>
      <c r="D1596" s="36" t="s">
        <v>191</v>
      </c>
      <c r="E1596" s="36" t="s">
        <v>54</v>
      </c>
      <c r="F1596" s="36" t="s">
        <v>55</v>
      </c>
      <c r="G1596" s="36" t="s">
        <v>53</v>
      </c>
      <c r="H1596" s="36" t="s">
        <v>56</v>
      </c>
      <c r="I1596" s="37">
        <v>13</v>
      </c>
      <c r="J1596" s="36"/>
    </row>
    <row r="1597" spans="1:10" x14ac:dyDescent="0.35">
      <c r="A1597" s="36" t="s">
        <v>1789</v>
      </c>
      <c r="B1597" s="35">
        <v>46172</v>
      </c>
      <c r="C1597" s="36" t="s">
        <v>210</v>
      </c>
      <c r="D1597" s="36" t="s">
        <v>211</v>
      </c>
      <c r="E1597" s="36" t="s">
        <v>69</v>
      </c>
      <c r="F1597" s="36" t="s">
        <v>70</v>
      </c>
      <c r="G1597" s="36" t="s">
        <v>66</v>
      </c>
      <c r="H1597" s="36" t="s">
        <v>71</v>
      </c>
      <c r="I1597" s="37">
        <v>8</v>
      </c>
      <c r="J1597" s="36"/>
    </row>
    <row r="1598" spans="1:10" x14ac:dyDescent="0.35">
      <c r="A1598" s="36" t="s">
        <v>1790</v>
      </c>
      <c r="B1598" s="35">
        <v>46172</v>
      </c>
      <c r="C1598" s="36" t="s">
        <v>210</v>
      </c>
      <c r="D1598" s="36" t="s">
        <v>211</v>
      </c>
      <c r="E1598" s="36" t="s">
        <v>54</v>
      </c>
      <c r="F1598" s="36" t="s">
        <v>55</v>
      </c>
      <c r="G1598" s="36" t="s">
        <v>53</v>
      </c>
      <c r="H1598" s="36" t="s">
        <v>56</v>
      </c>
      <c r="I1598" s="37">
        <v>10</v>
      </c>
      <c r="J1598" s="36"/>
    </row>
    <row r="1599" spans="1:10" x14ac:dyDescent="0.35">
      <c r="A1599" s="36" t="s">
        <v>1791</v>
      </c>
      <c r="B1599" s="35">
        <v>46172</v>
      </c>
      <c r="C1599" s="36" t="s">
        <v>210</v>
      </c>
      <c r="D1599" s="36" t="s">
        <v>211</v>
      </c>
      <c r="E1599" s="36" t="s">
        <v>149</v>
      </c>
      <c r="F1599" s="36" t="s">
        <v>150</v>
      </c>
      <c r="G1599" s="36" t="s">
        <v>8</v>
      </c>
      <c r="H1599" s="36" t="s">
        <v>75</v>
      </c>
      <c r="I1599" s="37">
        <v>8</v>
      </c>
      <c r="J1599" s="36"/>
    </row>
    <row r="1600" spans="1:10" x14ac:dyDescent="0.35">
      <c r="A1600" s="36" t="s">
        <v>1792</v>
      </c>
      <c r="B1600" s="35">
        <v>46172</v>
      </c>
      <c r="C1600" s="36" t="s">
        <v>210</v>
      </c>
      <c r="D1600" s="36" t="s">
        <v>211</v>
      </c>
      <c r="E1600" s="36" t="s">
        <v>57</v>
      </c>
      <c r="F1600" s="36" t="s">
        <v>58</v>
      </c>
      <c r="G1600" s="36" t="s">
        <v>53</v>
      </c>
      <c r="H1600" s="36" t="s">
        <v>42</v>
      </c>
      <c r="I1600" s="37">
        <v>12</v>
      </c>
      <c r="J1600" s="36"/>
    </row>
    <row r="1601" spans="1:10" x14ac:dyDescent="0.35">
      <c r="A1601" s="36" t="s">
        <v>1793</v>
      </c>
      <c r="B1601" s="35">
        <v>46172</v>
      </c>
      <c r="C1601" s="36" t="s">
        <v>210</v>
      </c>
      <c r="D1601" s="36" t="s">
        <v>211</v>
      </c>
      <c r="E1601" s="36" t="s">
        <v>156</v>
      </c>
      <c r="F1601" s="36" t="s">
        <v>11</v>
      </c>
      <c r="G1601" s="36" t="s">
        <v>12</v>
      </c>
      <c r="H1601" s="36" t="s">
        <v>155</v>
      </c>
      <c r="I1601" s="37">
        <v>5</v>
      </c>
      <c r="J1601" s="36"/>
    </row>
    <row r="1602" spans="1:10" x14ac:dyDescent="0.35">
      <c r="A1602" s="36" t="s">
        <v>1794</v>
      </c>
      <c r="B1602" s="35">
        <v>46172</v>
      </c>
      <c r="C1602" s="36" t="s">
        <v>210</v>
      </c>
      <c r="D1602" s="36" t="s">
        <v>211</v>
      </c>
      <c r="E1602" s="36" t="s">
        <v>161</v>
      </c>
      <c r="F1602" s="36" t="s">
        <v>162</v>
      </c>
      <c r="G1602" s="36" t="s">
        <v>159</v>
      </c>
      <c r="H1602" s="36" t="s">
        <v>163</v>
      </c>
      <c r="I1602" s="37">
        <v>3</v>
      </c>
      <c r="J1602" s="36"/>
    </row>
    <row r="1603" spans="1:10" x14ac:dyDescent="0.35">
      <c r="A1603" s="36" t="s">
        <v>1795</v>
      </c>
      <c r="B1603" s="35">
        <v>46180</v>
      </c>
      <c r="C1603" s="36" t="s">
        <v>238</v>
      </c>
      <c r="D1603" s="36" t="s">
        <v>239</v>
      </c>
      <c r="E1603" s="36" t="s">
        <v>59</v>
      </c>
      <c r="F1603" s="36" t="s">
        <v>60</v>
      </c>
      <c r="G1603" s="36" t="s">
        <v>53</v>
      </c>
      <c r="H1603" s="36" t="s">
        <v>56</v>
      </c>
      <c r="I1603" s="37">
        <v>9</v>
      </c>
      <c r="J1603" s="36"/>
    </row>
    <row r="1604" spans="1:10" x14ac:dyDescent="0.35">
      <c r="A1604" s="36" t="s">
        <v>1796</v>
      </c>
      <c r="B1604" s="35">
        <v>46180</v>
      </c>
      <c r="C1604" s="36" t="s">
        <v>238</v>
      </c>
      <c r="D1604" s="36" t="s">
        <v>239</v>
      </c>
      <c r="E1604" s="36" t="s">
        <v>157</v>
      </c>
      <c r="F1604" s="36" t="s">
        <v>158</v>
      </c>
      <c r="G1604" s="36" t="s">
        <v>159</v>
      </c>
      <c r="H1604" s="36" t="s">
        <v>160</v>
      </c>
      <c r="I1604" s="37">
        <v>2</v>
      </c>
      <c r="J1604" s="36"/>
    </row>
    <row r="1605" spans="1:10" x14ac:dyDescent="0.35">
      <c r="A1605" s="36" t="s">
        <v>1797</v>
      </c>
      <c r="B1605" s="35">
        <v>46180</v>
      </c>
      <c r="C1605" s="36" t="s">
        <v>238</v>
      </c>
      <c r="D1605" s="36" t="s">
        <v>239</v>
      </c>
      <c r="E1605" s="36" t="s">
        <v>125</v>
      </c>
      <c r="F1605" s="36" t="s">
        <v>126</v>
      </c>
      <c r="G1605" s="36" t="s">
        <v>14</v>
      </c>
      <c r="H1605" s="36" t="s">
        <v>127</v>
      </c>
      <c r="I1605" s="37">
        <v>1</v>
      </c>
      <c r="J1605" s="36"/>
    </row>
    <row r="1606" spans="1:10" x14ac:dyDescent="0.35">
      <c r="A1606" s="36" t="s">
        <v>1798</v>
      </c>
      <c r="B1606" s="35">
        <v>46180</v>
      </c>
      <c r="C1606" s="36" t="s">
        <v>238</v>
      </c>
      <c r="D1606" s="36" t="s">
        <v>239</v>
      </c>
      <c r="E1606" s="36" t="s">
        <v>29</v>
      </c>
      <c r="F1606" s="36" t="s">
        <v>30</v>
      </c>
      <c r="G1606" s="36" t="s">
        <v>31</v>
      </c>
      <c r="H1606" s="36" t="s">
        <v>32</v>
      </c>
      <c r="I1606" s="37">
        <v>5</v>
      </c>
      <c r="J1606" s="36"/>
    </row>
    <row r="1607" spans="1:10" x14ac:dyDescent="0.35">
      <c r="A1607" s="36" t="s">
        <v>1799</v>
      </c>
      <c r="B1607" s="35">
        <v>46180</v>
      </c>
      <c r="C1607" s="36" t="s">
        <v>238</v>
      </c>
      <c r="D1607" s="36" t="s">
        <v>239</v>
      </c>
      <c r="E1607" s="36" t="s">
        <v>48</v>
      </c>
      <c r="F1607" s="36" t="s">
        <v>49</v>
      </c>
      <c r="G1607" s="36" t="s">
        <v>31</v>
      </c>
      <c r="H1607" s="36" t="s">
        <v>50</v>
      </c>
      <c r="I1607" s="37">
        <v>10</v>
      </c>
      <c r="J1607" s="36"/>
    </row>
    <row r="1608" spans="1:10" x14ac:dyDescent="0.35">
      <c r="A1608" s="36" t="s">
        <v>1800</v>
      </c>
      <c r="B1608" s="35">
        <v>46180</v>
      </c>
      <c r="C1608" s="36" t="s">
        <v>238</v>
      </c>
      <c r="D1608" s="36" t="s">
        <v>239</v>
      </c>
      <c r="E1608" s="36" t="s">
        <v>67</v>
      </c>
      <c r="F1608" s="36" t="s">
        <v>68</v>
      </c>
      <c r="G1608" s="36" t="s">
        <v>66</v>
      </c>
      <c r="H1608" s="36" t="s">
        <v>42</v>
      </c>
      <c r="I1608" s="37">
        <v>5</v>
      </c>
      <c r="J1608" s="36"/>
    </row>
    <row r="1609" spans="1:10" x14ac:dyDescent="0.35">
      <c r="A1609" s="36" t="s">
        <v>1801</v>
      </c>
      <c r="B1609" s="35">
        <v>46180</v>
      </c>
      <c r="C1609" s="36" t="s">
        <v>238</v>
      </c>
      <c r="D1609" s="36" t="s">
        <v>239</v>
      </c>
      <c r="E1609" s="36" t="s">
        <v>120</v>
      </c>
      <c r="F1609" s="36" t="s">
        <v>121</v>
      </c>
      <c r="G1609" s="36" t="s">
        <v>14</v>
      </c>
      <c r="H1609" s="36" t="s">
        <v>119</v>
      </c>
      <c r="I1609" s="37">
        <v>1</v>
      </c>
      <c r="J1609" s="36"/>
    </row>
    <row r="1610" spans="1:10" x14ac:dyDescent="0.35">
      <c r="A1610" s="36" t="s">
        <v>1802</v>
      </c>
      <c r="B1610" s="35">
        <v>46180</v>
      </c>
      <c r="C1610" s="36" t="s">
        <v>238</v>
      </c>
      <c r="D1610" s="36" t="s">
        <v>239</v>
      </c>
      <c r="E1610" s="36" t="s">
        <v>114</v>
      </c>
      <c r="F1610" s="36" t="s">
        <v>13</v>
      </c>
      <c r="G1610" s="36" t="s">
        <v>14</v>
      </c>
      <c r="H1610" s="36" t="s">
        <v>115</v>
      </c>
      <c r="I1610" s="37">
        <v>1</v>
      </c>
      <c r="J1610" s="36"/>
    </row>
    <row r="1611" spans="1:10" x14ac:dyDescent="0.35">
      <c r="A1611" s="36" t="s">
        <v>1803</v>
      </c>
      <c r="B1611" s="35">
        <v>46180</v>
      </c>
      <c r="C1611" s="36" t="s">
        <v>238</v>
      </c>
      <c r="D1611" s="36" t="s">
        <v>239</v>
      </c>
      <c r="E1611" s="36" t="s">
        <v>94</v>
      </c>
      <c r="F1611" s="36" t="s">
        <v>95</v>
      </c>
      <c r="G1611" s="36" t="s">
        <v>93</v>
      </c>
      <c r="H1611" s="36" t="s">
        <v>96</v>
      </c>
      <c r="I1611" s="37">
        <v>4</v>
      </c>
      <c r="J1611" s="36"/>
    </row>
    <row r="1612" spans="1:10" x14ac:dyDescent="0.35">
      <c r="A1612" s="36" t="s">
        <v>1804</v>
      </c>
      <c r="B1612" s="35">
        <v>46182</v>
      </c>
      <c r="C1612" s="36" t="s">
        <v>190</v>
      </c>
      <c r="D1612" s="36" t="s">
        <v>191</v>
      </c>
      <c r="E1612" s="36" t="s">
        <v>122</v>
      </c>
      <c r="F1612" s="36" t="s">
        <v>123</v>
      </c>
      <c r="G1612" s="36" t="s">
        <v>14</v>
      </c>
      <c r="H1612" s="36" t="s">
        <v>124</v>
      </c>
      <c r="I1612" s="37">
        <v>4</v>
      </c>
      <c r="J1612" s="36"/>
    </row>
    <row r="1613" spans="1:10" x14ac:dyDescent="0.35">
      <c r="A1613" s="36" t="s">
        <v>1805</v>
      </c>
      <c r="B1613" s="35">
        <v>46182</v>
      </c>
      <c r="C1613" s="36" t="s">
        <v>190</v>
      </c>
      <c r="D1613" s="36" t="s">
        <v>191</v>
      </c>
      <c r="E1613" s="36" t="s">
        <v>54</v>
      </c>
      <c r="F1613" s="36" t="s">
        <v>55</v>
      </c>
      <c r="G1613" s="36" t="s">
        <v>53</v>
      </c>
      <c r="H1613" s="36" t="s">
        <v>56</v>
      </c>
      <c r="I1613" s="37">
        <v>14</v>
      </c>
      <c r="J1613" s="36"/>
    </row>
    <row r="1614" spans="1:10" x14ac:dyDescent="0.35">
      <c r="A1614" s="36" t="s">
        <v>1806</v>
      </c>
      <c r="B1614" s="35">
        <v>46182</v>
      </c>
      <c r="C1614" s="36" t="s">
        <v>190</v>
      </c>
      <c r="D1614" s="36" t="s">
        <v>191</v>
      </c>
      <c r="E1614" s="36" t="s">
        <v>117</v>
      </c>
      <c r="F1614" s="36" t="s">
        <v>118</v>
      </c>
      <c r="G1614" s="36" t="s">
        <v>14</v>
      </c>
      <c r="H1614" s="36" t="s">
        <v>119</v>
      </c>
      <c r="I1614" s="37">
        <v>3</v>
      </c>
      <c r="J1614" s="36"/>
    </row>
    <row r="1615" spans="1:10" x14ac:dyDescent="0.35">
      <c r="A1615" s="36" t="s">
        <v>1807</v>
      </c>
      <c r="B1615" s="35">
        <v>46182</v>
      </c>
      <c r="C1615" s="36" t="s">
        <v>190</v>
      </c>
      <c r="D1615" s="36" t="s">
        <v>191</v>
      </c>
      <c r="E1615" s="36" t="s">
        <v>94</v>
      </c>
      <c r="F1615" s="36" t="s">
        <v>95</v>
      </c>
      <c r="G1615" s="36" t="s">
        <v>93</v>
      </c>
      <c r="H1615" s="36" t="s">
        <v>96</v>
      </c>
      <c r="I1615" s="37">
        <v>7</v>
      </c>
      <c r="J1615" s="36"/>
    </row>
    <row r="1616" spans="1:10" x14ac:dyDescent="0.35">
      <c r="A1616" s="36" t="s">
        <v>1808</v>
      </c>
      <c r="B1616" s="35">
        <v>46182</v>
      </c>
      <c r="C1616" s="36" t="s">
        <v>190</v>
      </c>
      <c r="D1616" s="36" t="s">
        <v>191</v>
      </c>
      <c r="E1616" s="36" t="s">
        <v>151</v>
      </c>
      <c r="F1616" s="36" t="s">
        <v>152</v>
      </c>
      <c r="G1616" s="36" t="s">
        <v>8</v>
      </c>
      <c r="H1616" s="36" t="s">
        <v>143</v>
      </c>
      <c r="I1616" s="37">
        <v>7</v>
      </c>
      <c r="J1616" s="36"/>
    </row>
    <row r="1617" spans="1:10" x14ac:dyDescent="0.35">
      <c r="A1617" s="36" t="s">
        <v>1809</v>
      </c>
      <c r="B1617" s="35">
        <v>46182</v>
      </c>
      <c r="C1617" s="36" t="s">
        <v>190</v>
      </c>
      <c r="D1617" s="36" t="s">
        <v>191</v>
      </c>
      <c r="E1617" s="36" t="s">
        <v>81</v>
      </c>
      <c r="F1617" s="36" t="s">
        <v>82</v>
      </c>
      <c r="G1617" s="36" t="s">
        <v>74</v>
      </c>
      <c r="H1617" s="36" t="s">
        <v>80</v>
      </c>
      <c r="I1617" s="37">
        <v>15</v>
      </c>
      <c r="J1617" s="36"/>
    </row>
    <row r="1618" spans="1:10" x14ac:dyDescent="0.35">
      <c r="A1618" s="36" t="s">
        <v>1810</v>
      </c>
      <c r="B1618" s="35">
        <v>46182</v>
      </c>
      <c r="C1618" s="36" t="s">
        <v>238</v>
      </c>
      <c r="D1618" s="36" t="s">
        <v>239</v>
      </c>
      <c r="E1618" s="36" t="s">
        <v>146</v>
      </c>
      <c r="F1618" s="36" t="s">
        <v>147</v>
      </c>
      <c r="G1618" s="36" t="s">
        <v>8</v>
      </c>
      <c r="H1618" s="36" t="s">
        <v>148</v>
      </c>
      <c r="I1618" s="37">
        <v>4</v>
      </c>
      <c r="J1618" s="36"/>
    </row>
    <row r="1619" spans="1:10" x14ac:dyDescent="0.35">
      <c r="A1619" s="36" t="s">
        <v>1811</v>
      </c>
      <c r="B1619" s="35">
        <v>46182</v>
      </c>
      <c r="C1619" s="36" t="s">
        <v>238</v>
      </c>
      <c r="D1619" s="36" t="s">
        <v>239</v>
      </c>
      <c r="E1619" s="36" t="s">
        <v>109</v>
      </c>
      <c r="F1619" s="36" t="s">
        <v>110</v>
      </c>
      <c r="G1619" s="36" t="s">
        <v>102</v>
      </c>
      <c r="H1619" s="36" t="s">
        <v>42</v>
      </c>
      <c r="I1619" s="37">
        <v>9</v>
      </c>
      <c r="J1619" s="36"/>
    </row>
    <row r="1620" spans="1:10" x14ac:dyDescent="0.35">
      <c r="A1620" s="36" t="s">
        <v>1812</v>
      </c>
      <c r="B1620" s="35">
        <v>46182</v>
      </c>
      <c r="C1620" s="36" t="s">
        <v>238</v>
      </c>
      <c r="D1620" s="36" t="s">
        <v>239</v>
      </c>
      <c r="E1620" s="36" t="s">
        <v>69</v>
      </c>
      <c r="F1620" s="36" t="s">
        <v>70</v>
      </c>
      <c r="G1620" s="36" t="s">
        <v>66</v>
      </c>
      <c r="H1620" s="36" t="s">
        <v>71</v>
      </c>
      <c r="I1620" s="37">
        <v>5</v>
      </c>
      <c r="J1620" s="36"/>
    </row>
    <row r="1621" spans="1:10" x14ac:dyDescent="0.35">
      <c r="A1621" s="36" t="s">
        <v>1813</v>
      </c>
      <c r="B1621" s="35">
        <v>46182</v>
      </c>
      <c r="C1621" s="36" t="s">
        <v>238</v>
      </c>
      <c r="D1621" s="36" t="s">
        <v>239</v>
      </c>
      <c r="E1621" s="36" t="s">
        <v>128</v>
      </c>
      <c r="F1621" s="36" t="s">
        <v>9</v>
      </c>
      <c r="G1621" s="36" t="s">
        <v>10</v>
      </c>
      <c r="H1621" s="36" t="s">
        <v>129</v>
      </c>
      <c r="I1621" s="37">
        <v>2</v>
      </c>
      <c r="J1621" s="36"/>
    </row>
    <row r="1622" spans="1:10" x14ac:dyDescent="0.35">
      <c r="A1622" s="36" t="s">
        <v>1814</v>
      </c>
      <c r="B1622" s="35">
        <v>46182</v>
      </c>
      <c r="C1622" s="36" t="s">
        <v>238</v>
      </c>
      <c r="D1622" s="36" t="s">
        <v>239</v>
      </c>
      <c r="E1622" s="36" t="s">
        <v>104</v>
      </c>
      <c r="F1622" s="36" t="s">
        <v>105</v>
      </c>
      <c r="G1622" s="36" t="s">
        <v>102</v>
      </c>
      <c r="H1622" s="36" t="s">
        <v>103</v>
      </c>
      <c r="I1622" s="37">
        <v>4</v>
      </c>
      <c r="J1622" s="36"/>
    </row>
    <row r="1623" spans="1:10" x14ac:dyDescent="0.35">
      <c r="A1623" s="36" t="s">
        <v>1815</v>
      </c>
      <c r="B1623" s="35">
        <v>46182</v>
      </c>
      <c r="C1623" s="36" t="s">
        <v>238</v>
      </c>
      <c r="D1623" s="36" t="s">
        <v>239</v>
      </c>
      <c r="E1623" s="36" t="s">
        <v>81</v>
      </c>
      <c r="F1623" s="36" t="s">
        <v>82</v>
      </c>
      <c r="G1623" s="36" t="s">
        <v>74</v>
      </c>
      <c r="H1623" s="36" t="s">
        <v>80</v>
      </c>
      <c r="I1623" s="37">
        <v>6</v>
      </c>
      <c r="J1623" s="36"/>
    </row>
    <row r="1624" spans="1:10" x14ac:dyDescent="0.35">
      <c r="A1624" s="36" t="s">
        <v>1816</v>
      </c>
      <c r="B1624" s="35">
        <v>46182</v>
      </c>
      <c r="C1624" s="36" t="s">
        <v>238</v>
      </c>
      <c r="D1624" s="36" t="s">
        <v>239</v>
      </c>
      <c r="E1624" s="36" t="s">
        <v>106</v>
      </c>
      <c r="F1624" s="36" t="s">
        <v>107</v>
      </c>
      <c r="G1624" s="36" t="s">
        <v>102</v>
      </c>
      <c r="H1624" s="36" t="s">
        <v>108</v>
      </c>
      <c r="I1624" s="37">
        <v>8</v>
      </c>
      <c r="J1624" s="36"/>
    </row>
    <row r="1625" spans="1:10" x14ac:dyDescent="0.35">
      <c r="A1625" s="36" t="s">
        <v>1817</v>
      </c>
      <c r="B1625" s="35">
        <v>46182</v>
      </c>
      <c r="C1625" s="36" t="s">
        <v>238</v>
      </c>
      <c r="D1625" s="36" t="s">
        <v>239</v>
      </c>
      <c r="E1625" s="36" t="s">
        <v>64</v>
      </c>
      <c r="F1625" s="36" t="s">
        <v>65</v>
      </c>
      <c r="G1625" s="36" t="s">
        <v>66</v>
      </c>
      <c r="H1625" s="36" t="s">
        <v>42</v>
      </c>
      <c r="I1625" s="37">
        <v>3</v>
      </c>
      <c r="J1625" s="36"/>
    </row>
    <row r="1626" spans="1:10" x14ac:dyDescent="0.35">
      <c r="A1626" s="36" t="s">
        <v>1818</v>
      </c>
      <c r="B1626" s="35">
        <v>46182</v>
      </c>
      <c r="C1626" s="36" t="s">
        <v>238</v>
      </c>
      <c r="D1626" s="36" t="s">
        <v>239</v>
      </c>
      <c r="E1626" s="36" t="s">
        <v>43</v>
      </c>
      <c r="F1626" s="36" t="s">
        <v>44</v>
      </c>
      <c r="G1626" s="36" t="s">
        <v>31</v>
      </c>
      <c r="H1626" s="36" t="s">
        <v>42</v>
      </c>
      <c r="I1626" s="37">
        <v>8</v>
      </c>
      <c r="J1626" s="36"/>
    </row>
    <row r="1627" spans="1:10" x14ac:dyDescent="0.35">
      <c r="A1627" s="36" t="s">
        <v>1819</v>
      </c>
      <c r="B1627" s="35">
        <v>46183</v>
      </c>
      <c r="C1627" s="36" t="s">
        <v>210</v>
      </c>
      <c r="D1627" s="36" t="s">
        <v>211</v>
      </c>
      <c r="E1627" s="36" t="s">
        <v>149</v>
      </c>
      <c r="F1627" s="36" t="s">
        <v>150</v>
      </c>
      <c r="G1627" s="36" t="s">
        <v>8</v>
      </c>
      <c r="H1627" s="36" t="s">
        <v>75</v>
      </c>
      <c r="I1627" s="37">
        <v>5</v>
      </c>
      <c r="J1627" s="36"/>
    </row>
    <row r="1628" spans="1:10" x14ac:dyDescent="0.35">
      <c r="A1628" s="36" t="s">
        <v>1820</v>
      </c>
      <c r="B1628" s="35">
        <v>46183</v>
      </c>
      <c r="C1628" s="36" t="s">
        <v>210</v>
      </c>
      <c r="D1628" s="36" t="s">
        <v>211</v>
      </c>
      <c r="E1628" s="36" t="s">
        <v>132</v>
      </c>
      <c r="F1628" s="36" t="s">
        <v>133</v>
      </c>
      <c r="G1628" s="36" t="s">
        <v>10</v>
      </c>
      <c r="H1628" s="36" t="s">
        <v>134</v>
      </c>
      <c r="I1628" s="37">
        <v>9</v>
      </c>
      <c r="J1628" s="36"/>
    </row>
    <row r="1629" spans="1:10" x14ac:dyDescent="0.35">
      <c r="A1629" s="36" t="s">
        <v>1821</v>
      </c>
      <c r="B1629" s="35">
        <v>46183</v>
      </c>
      <c r="C1629" s="36" t="s">
        <v>210</v>
      </c>
      <c r="D1629" s="36" t="s">
        <v>211</v>
      </c>
      <c r="E1629" s="36" t="s">
        <v>48</v>
      </c>
      <c r="F1629" s="36" t="s">
        <v>49</v>
      </c>
      <c r="G1629" s="36" t="s">
        <v>31</v>
      </c>
      <c r="H1629" s="36" t="s">
        <v>50</v>
      </c>
      <c r="I1629" s="37">
        <v>16</v>
      </c>
      <c r="J1629" s="36"/>
    </row>
    <row r="1630" spans="1:10" x14ac:dyDescent="0.35">
      <c r="A1630" s="36" t="s">
        <v>1822</v>
      </c>
      <c r="B1630" s="35">
        <v>46183</v>
      </c>
      <c r="C1630" s="36" t="s">
        <v>210</v>
      </c>
      <c r="D1630" s="36" t="s">
        <v>211</v>
      </c>
      <c r="E1630" s="36" t="s">
        <v>59</v>
      </c>
      <c r="F1630" s="36" t="s">
        <v>60</v>
      </c>
      <c r="G1630" s="36" t="s">
        <v>53</v>
      </c>
      <c r="H1630" s="36" t="s">
        <v>56</v>
      </c>
      <c r="I1630" s="37">
        <v>14</v>
      </c>
      <c r="J1630" s="36"/>
    </row>
    <row r="1631" spans="1:10" x14ac:dyDescent="0.35">
      <c r="A1631" s="36" t="s">
        <v>1823</v>
      </c>
      <c r="B1631" s="35">
        <v>46183</v>
      </c>
      <c r="C1631" s="36" t="s">
        <v>210</v>
      </c>
      <c r="D1631" s="36" t="s">
        <v>211</v>
      </c>
      <c r="E1631" s="36" t="s">
        <v>43</v>
      </c>
      <c r="F1631" s="36" t="s">
        <v>44</v>
      </c>
      <c r="G1631" s="36" t="s">
        <v>31</v>
      </c>
      <c r="H1631" s="36" t="s">
        <v>42</v>
      </c>
      <c r="I1631" s="37">
        <v>16</v>
      </c>
      <c r="J1631" s="36"/>
    </row>
    <row r="1632" spans="1:10" x14ac:dyDescent="0.35">
      <c r="A1632" s="36" t="s">
        <v>1824</v>
      </c>
      <c r="B1632" s="35">
        <v>46183</v>
      </c>
      <c r="C1632" s="36" t="s">
        <v>210</v>
      </c>
      <c r="D1632" s="36" t="s">
        <v>211</v>
      </c>
      <c r="E1632" s="36" t="s">
        <v>94</v>
      </c>
      <c r="F1632" s="36" t="s">
        <v>95</v>
      </c>
      <c r="G1632" s="36" t="s">
        <v>93</v>
      </c>
      <c r="H1632" s="36" t="s">
        <v>96</v>
      </c>
      <c r="I1632" s="37">
        <v>10</v>
      </c>
      <c r="J1632" s="36"/>
    </row>
    <row r="1633" spans="1:10" x14ac:dyDescent="0.35">
      <c r="A1633" s="36" t="s">
        <v>1825</v>
      </c>
      <c r="B1633" s="35">
        <v>46183</v>
      </c>
      <c r="C1633" s="36" t="s">
        <v>210</v>
      </c>
      <c r="D1633" s="36" t="s">
        <v>211</v>
      </c>
      <c r="E1633" s="36" t="s">
        <v>64</v>
      </c>
      <c r="F1633" s="36" t="s">
        <v>65</v>
      </c>
      <c r="G1633" s="36" t="s">
        <v>66</v>
      </c>
      <c r="H1633" s="36" t="s">
        <v>42</v>
      </c>
      <c r="I1633" s="37">
        <v>9</v>
      </c>
      <c r="J1633" s="36"/>
    </row>
    <row r="1634" spans="1:10" x14ac:dyDescent="0.35">
      <c r="A1634" s="36" t="s">
        <v>1826</v>
      </c>
      <c r="B1634" s="35">
        <v>46183</v>
      </c>
      <c r="C1634" s="36" t="s">
        <v>210</v>
      </c>
      <c r="D1634" s="36" t="s">
        <v>211</v>
      </c>
      <c r="E1634" s="36" t="s">
        <v>88</v>
      </c>
      <c r="F1634" s="36" t="s">
        <v>89</v>
      </c>
      <c r="G1634" s="36" t="s">
        <v>74</v>
      </c>
      <c r="H1634" s="36" t="s">
        <v>90</v>
      </c>
      <c r="I1634" s="37">
        <v>13</v>
      </c>
      <c r="J1634" s="36"/>
    </row>
    <row r="1635" spans="1:10" x14ac:dyDescent="0.35">
      <c r="A1635" s="36" t="s">
        <v>1827</v>
      </c>
      <c r="B1635" s="35">
        <v>46183</v>
      </c>
      <c r="C1635" s="36" t="s">
        <v>210</v>
      </c>
      <c r="D1635" s="36" t="s">
        <v>211</v>
      </c>
      <c r="E1635" s="36" t="s">
        <v>146</v>
      </c>
      <c r="F1635" s="36" t="s">
        <v>147</v>
      </c>
      <c r="G1635" s="36" t="s">
        <v>8</v>
      </c>
      <c r="H1635" s="36" t="s">
        <v>148</v>
      </c>
      <c r="I1635" s="37">
        <v>7</v>
      </c>
      <c r="J1635" s="36"/>
    </row>
    <row r="1636" spans="1:10" x14ac:dyDescent="0.35">
      <c r="A1636" s="36" t="s">
        <v>1828</v>
      </c>
      <c r="B1636" s="35">
        <v>46183</v>
      </c>
      <c r="C1636" s="36" t="s">
        <v>210</v>
      </c>
      <c r="D1636" s="36" t="s">
        <v>211</v>
      </c>
      <c r="E1636" s="36" t="s">
        <v>135</v>
      </c>
      <c r="F1636" s="36" t="s">
        <v>5</v>
      </c>
      <c r="G1636" s="36" t="s">
        <v>6</v>
      </c>
      <c r="H1636" s="36" t="s">
        <v>136</v>
      </c>
      <c r="I1636" s="37">
        <v>7</v>
      </c>
      <c r="J1636" s="36"/>
    </row>
    <row r="1637" spans="1:10" x14ac:dyDescent="0.35">
      <c r="A1637" s="36" t="s">
        <v>1829</v>
      </c>
      <c r="B1637" s="35">
        <v>46183</v>
      </c>
      <c r="C1637" s="36" t="s">
        <v>210</v>
      </c>
      <c r="D1637" s="36" t="s">
        <v>211</v>
      </c>
      <c r="E1637" s="36" t="s">
        <v>100</v>
      </c>
      <c r="F1637" s="36" t="s">
        <v>101</v>
      </c>
      <c r="G1637" s="36" t="s">
        <v>102</v>
      </c>
      <c r="H1637" s="36" t="s">
        <v>103</v>
      </c>
      <c r="I1637" s="37">
        <v>10</v>
      </c>
      <c r="J1637" s="36"/>
    </row>
    <row r="1638" spans="1:10" x14ac:dyDescent="0.35">
      <c r="A1638" s="36" t="s">
        <v>1830</v>
      </c>
      <c r="B1638" s="35">
        <v>46187</v>
      </c>
      <c r="C1638" s="36" t="s">
        <v>210</v>
      </c>
      <c r="D1638" s="36" t="s">
        <v>211</v>
      </c>
      <c r="E1638" s="36" t="s">
        <v>57</v>
      </c>
      <c r="F1638" s="36" t="s">
        <v>58</v>
      </c>
      <c r="G1638" s="36" t="s">
        <v>53</v>
      </c>
      <c r="H1638" s="36" t="s">
        <v>42</v>
      </c>
      <c r="I1638" s="37">
        <v>23</v>
      </c>
      <c r="J1638" s="36"/>
    </row>
    <row r="1639" spans="1:10" x14ac:dyDescent="0.35">
      <c r="A1639" s="36" t="s">
        <v>1831</v>
      </c>
      <c r="B1639" s="35">
        <v>46187</v>
      </c>
      <c r="C1639" s="36" t="s">
        <v>210</v>
      </c>
      <c r="D1639" s="36" t="s">
        <v>211</v>
      </c>
      <c r="E1639" s="36" t="s">
        <v>111</v>
      </c>
      <c r="F1639" s="36" t="s">
        <v>112</v>
      </c>
      <c r="G1639" s="36" t="s">
        <v>102</v>
      </c>
      <c r="H1639" s="36" t="s">
        <v>113</v>
      </c>
      <c r="I1639" s="37">
        <v>6</v>
      </c>
      <c r="J1639" s="36"/>
    </row>
    <row r="1640" spans="1:10" x14ac:dyDescent="0.35">
      <c r="A1640" s="36" t="s">
        <v>1832</v>
      </c>
      <c r="B1640" s="35">
        <v>46187</v>
      </c>
      <c r="C1640" s="36" t="s">
        <v>210</v>
      </c>
      <c r="D1640" s="36" t="s">
        <v>211</v>
      </c>
      <c r="E1640" s="36" t="s">
        <v>48</v>
      </c>
      <c r="F1640" s="36" t="s">
        <v>49</v>
      </c>
      <c r="G1640" s="36" t="s">
        <v>31</v>
      </c>
      <c r="H1640" s="36" t="s">
        <v>50</v>
      </c>
      <c r="I1640" s="37">
        <v>16</v>
      </c>
      <c r="J1640" s="36"/>
    </row>
    <row r="1641" spans="1:10" x14ac:dyDescent="0.35">
      <c r="A1641" s="36" t="s">
        <v>1833</v>
      </c>
      <c r="B1641" s="35">
        <v>46187</v>
      </c>
      <c r="C1641" s="36" t="s">
        <v>210</v>
      </c>
      <c r="D1641" s="36" t="s">
        <v>211</v>
      </c>
      <c r="E1641" s="36" t="s">
        <v>51</v>
      </c>
      <c r="F1641" s="36" t="s">
        <v>52</v>
      </c>
      <c r="G1641" s="36" t="s">
        <v>53</v>
      </c>
      <c r="H1641" s="36" t="s">
        <v>42</v>
      </c>
      <c r="I1641" s="37">
        <v>20</v>
      </c>
      <c r="J1641" s="36"/>
    </row>
    <row r="1642" spans="1:10" x14ac:dyDescent="0.35">
      <c r="A1642" s="36" t="s">
        <v>1834</v>
      </c>
      <c r="B1642" s="35">
        <v>46187</v>
      </c>
      <c r="C1642" s="36" t="s">
        <v>210</v>
      </c>
      <c r="D1642" s="36" t="s">
        <v>211</v>
      </c>
      <c r="E1642" s="36" t="s">
        <v>76</v>
      </c>
      <c r="F1642" s="36" t="s">
        <v>77</v>
      </c>
      <c r="G1642" s="36" t="s">
        <v>74</v>
      </c>
      <c r="H1642" s="36" t="s">
        <v>75</v>
      </c>
      <c r="I1642" s="37">
        <v>10</v>
      </c>
      <c r="J1642" s="36"/>
    </row>
    <row r="1643" spans="1:10" x14ac:dyDescent="0.35">
      <c r="A1643" s="36" t="s">
        <v>1835</v>
      </c>
      <c r="B1643" s="35">
        <v>46187</v>
      </c>
      <c r="C1643" s="36" t="s">
        <v>210</v>
      </c>
      <c r="D1643" s="36" t="s">
        <v>211</v>
      </c>
      <c r="E1643" s="36" t="s">
        <v>117</v>
      </c>
      <c r="F1643" s="36" t="s">
        <v>118</v>
      </c>
      <c r="G1643" s="36" t="s">
        <v>14</v>
      </c>
      <c r="H1643" s="36" t="s">
        <v>119</v>
      </c>
      <c r="I1643" s="37">
        <v>2</v>
      </c>
      <c r="J1643" s="36"/>
    </row>
    <row r="1644" spans="1:10" x14ac:dyDescent="0.35">
      <c r="A1644" s="36" t="s">
        <v>1836</v>
      </c>
      <c r="B1644" s="35">
        <v>46187</v>
      </c>
      <c r="C1644" s="36" t="s">
        <v>210</v>
      </c>
      <c r="D1644" s="36" t="s">
        <v>211</v>
      </c>
      <c r="E1644" s="36" t="s">
        <v>149</v>
      </c>
      <c r="F1644" s="36" t="s">
        <v>150</v>
      </c>
      <c r="G1644" s="36" t="s">
        <v>8</v>
      </c>
      <c r="H1644" s="36" t="s">
        <v>75</v>
      </c>
      <c r="I1644" s="37">
        <v>5</v>
      </c>
      <c r="J1644" s="36"/>
    </row>
    <row r="1645" spans="1:10" x14ac:dyDescent="0.35">
      <c r="A1645" s="36" t="s">
        <v>1837</v>
      </c>
      <c r="B1645" s="35">
        <v>46187</v>
      </c>
      <c r="C1645" s="36" t="s">
        <v>210</v>
      </c>
      <c r="D1645" s="36" t="s">
        <v>211</v>
      </c>
      <c r="E1645" s="36" t="s">
        <v>69</v>
      </c>
      <c r="F1645" s="36" t="s">
        <v>70</v>
      </c>
      <c r="G1645" s="36" t="s">
        <v>66</v>
      </c>
      <c r="H1645" s="36" t="s">
        <v>71</v>
      </c>
      <c r="I1645" s="37">
        <v>13</v>
      </c>
      <c r="J1645" s="36"/>
    </row>
    <row r="1646" spans="1:10" x14ac:dyDescent="0.35">
      <c r="A1646" s="36" t="s">
        <v>1838</v>
      </c>
      <c r="B1646" s="35">
        <v>46187</v>
      </c>
      <c r="C1646" s="36" t="s">
        <v>210</v>
      </c>
      <c r="D1646" s="36" t="s">
        <v>211</v>
      </c>
      <c r="E1646" s="36" t="s">
        <v>138</v>
      </c>
      <c r="F1646" s="36" t="s">
        <v>139</v>
      </c>
      <c r="G1646" s="36" t="s">
        <v>6</v>
      </c>
      <c r="H1646" s="36" t="s">
        <v>140</v>
      </c>
      <c r="I1646" s="37">
        <v>7</v>
      </c>
      <c r="J1646" s="36"/>
    </row>
    <row r="1647" spans="1:10" x14ac:dyDescent="0.35">
      <c r="A1647" s="36" t="s">
        <v>1839</v>
      </c>
      <c r="B1647" s="35">
        <v>46187</v>
      </c>
      <c r="C1647" s="36" t="s">
        <v>298</v>
      </c>
      <c r="D1647" s="36" t="s">
        <v>299</v>
      </c>
      <c r="E1647" s="36" t="s">
        <v>137</v>
      </c>
      <c r="F1647" s="36" t="s">
        <v>15</v>
      </c>
      <c r="G1647" s="36" t="s">
        <v>6</v>
      </c>
      <c r="H1647" s="36" t="s">
        <v>136</v>
      </c>
      <c r="I1647" s="37">
        <v>3</v>
      </c>
      <c r="J1647" s="36"/>
    </row>
    <row r="1648" spans="1:10" x14ac:dyDescent="0.35">
      <c r="A1648" s="36" t="s">
        <v>1840</v>
      </c>
      <c r="B1648" s="35">
        <v>46187</v>
      </c>
      <c r="C1648" s="36" t="s">
        <v>298</v>
      </c>
      <c r="D1648" s="36" t="s">
        <v>299</v>
      </c>
      <c r="E1648" s="36" t="s">
        <v>161</v>
      </c>
      <c r="F1648" s="36" t="s">
        <v>162</v>
      </c>
      <c r="G1648" s="36" t="s">
        <v>159</v>
      </c>
      <c r="H1648" s="36" t="s">
        <v>163</v>
      </c>
      <c r="I1648" s="37">
        <v>2</v>
      </c>
      <c r="J1648" s="36"/>
    </row>
    <row r="1649" spans="1:10" x14ac:dyDescent="0.35">
      <c r="A1649" s="36" t="s">
        <v>1841</v>
      </c>
      <c r="B1649" s="35">
        <v>46187</v>
      </c>
      <c r="C1649" s="36" t="s">
        <v>298</v>
      </c>
      <c r="D1649" s="36" t="s">
        <v>299</v>
      </c>
      <c r="E1649" s="36" t="s">
        <v>48</v>
      </c>
      <c r="F1649" s="36" t="s">
        <v>49</v>
      </c>
      <c r="G1649" s="36" t="s">
        <v>31</v>
      </c>
      <c r="H1649" s="36" t="s">
        <v>50</v>
      </c>
      <c r="I1649" s="37">
        <v>5</v>
      </c>
      <c r="J1649" s="36"/>
    </row>
    <row r="1650" spans="1:10" x14ac:dyDescent="0.35">
      <c r="A1650" s="36" t="s">
        <v>1842</v>
      </c>
      <c r="B1650" s="35">
        <v>46187</v>
      </c>
      <c r="C1650" s="36" t="s">
        <v>298</v>
      </c>
      <c r="D1650" s="36" t="s">
        <v>299</v>
      </c>
      <c r="E1650" s="36" t="s">
        <v>43</v>
      </c>
      <c r="F1650" s="36" t="s">
        <v>44</v>
      </c>
      <c r="G1650" s="36" t="s">
        <v>31</v>
      </c>
      <c r="H1650" s="36" t="s">
        <v>42</v>
      </c>
      <c r="I1650" s="37">
        <v>5</v>
      </c>
      <c r="J1650" s="36"/>
    </row>
    <row r="1651" spans="1:10" x14ac:dyDescent="0.35">
      <c r="A1651" s="36" t="s">
        <v>1843</v>
      </c>
      <c r="B1651" s="35">
        <v>46187</v>
      </c>
      <c r="C1651" s="36" t="s">
        <v>298</v>
      </c>
      <c r="D1651" s="36" t="s">
        <v>299</v>
      </c>
      <c r="E1651" s="36" t="s">
        <v>144</v>
      </c>
      <c r="F1651" s="36" t="s">
        <v>7</v>
      </c>
      <c r="G1651" s="36" t="s">
        <v>8</v>
      </c>
      <c r="H1651" s="36" t="s">
        <v>145</v>
      </c>
      <c r="I1651" s="37">
        <v>3</v>
      </c>
      <c r="J1651" s="36"/>
    </row>
    <row r="1652" spans="1:10" x14ac:dyDescent="0.35">
      <c r="A1652" s="36" t="s">
        <v>1844</v>
      </c>
      <c r="B1652" s="35">
        <v>46187</v>
      </c>
      <c r="C1652" s="36" t="s">
        <v>298</v>
      </c>
      <c r="D1652" s="36" t="s">
        <v>299</v>
      </c>
      <c r="E1652" s="36" t="s">
        <v>111</v>
      </c>
      <c r="F1652" s="36" t="s">
        <v>112</v>
      </c>
      <c r="G1652" s="36" t="s">
        <v>102</v>
      </c>
      <c r="H1652" s="36" t="s">
        <v>113</v>
      </c>
      <c r="I1652" s="37">
        <v>5</v>
      </c>
      <c r="J1652" s="36"/>
    </row>
    <row r="1653" spans="1:10" x14ac:dyDescent="0.35">
      <c r="A1653" s="36" t="s">
        <v>1845</v>
      </c>
      <c r="B1653" s="35">
        <v>46187</v>
      </c>
      <c r="C1653" s="36" t="s">
        <v>298</v>
      </c>
      <c r="D1653" s="36" t="s">
        <v>299</v>
      </c>
      <c r="E1653" s="36" t="s">
        <v>64</v>
      </c>
      <c r="F1653" s="36" t="s">
        <v>65</v>
      </c>
      <c r="G1653" s="36" t="s">
        <v>66</v>
      </c>
      <c r="H1653" s="36" t="s">
        <v>42</v>
      </c>
      <c r="I1653" s="37">
        <v>2</v>
      </c>
      <c r="J1653" s="36"/>
    </row>
    <row r="1654" spans="1:10" x14ac:dyDescent="0.35">
      <c r="A1654" s="36" t="s">
        <v>1846</v>
      </c>
      <c r="B1654" s="35">
        <v>46193</v>
      </c>
      <c r="C1654" s="36" t="s">
        <v>210</v>
      </c>
      <c r="D1654" s="36" t="s">
        <v>211</v>
      </c>
      <c r="E1654" s="36" t="s">
        <v>86</v>
      </c>
      <c r="F1654" s="36" t="s">
        <v>87</v>
      </c>
      <c r="G1654" s="36" t="s">
        <v>74</v>
      </c>
      <c r="H1654" s="36" t="s">
        <v>75</v>
      </c>
      <c r="I1654" s="37">
        <v>7</v>
      </c>
      <c r="J1654" s="36"/>
    </row>
    <row r="1655" spans="1:10" x14ac:dyDescent="0.35">
      <c r="A1655" s="36" t="s">
        <v>1847</v>
      </c>
      <c r="B1655" s="35">
        <v>46193</v>
      </c>
      <c r="C1655" s="36" t="s">
        <v>210</v>
      </c>
      <c r="D1655" s="36" t="s">
        <v>211</v>
      </c>
      <c r="E1655" s="36" t="s">
        <v>97</v>
      </c>
      <c r="F1655" s="36" t="s">
        <v>98</v>
      </c>
      <c r="G1655" s="36" t="s">
        <v>93</v>
      </c>
      <c r="H1655" s="36" t="s">
        <v>99</v>
      </c>
      <c r="I1655" s="37">
        <v>11</v>
      </c>
      <c r="J1655" s="36"/>
    </row>
    <row r="1656" spans="1:10" x14ac:dyDescent="0.35">
      <c r="A1656" s="36" t="s">
        <v>1848</v>
      </c>
      <c r="B1656" s="35">
        <v>46193</v>
      </c>
      <c r="C1656" s="36" t="s">
        <v>210</v>
      </c>
      <c r="D1656" s="36" t="s">
        <v>211</v>
      </c>
      <c r="E1656" s="36" t="s">
        <v>109</v>
      </c>
      <c r="F1656" s="36" t="s">
        <v>110</v>
      </c>
      <c r="G1656" s="36" t="s">
        <v>102</v>
      </c>
      <c r="H1656" s="36" t="s">
        <v>42</v>
      </c>
      <c r="I1656" s="37">
        <v>10</v>
      </c>
      <c r="J1656" s="36"/>
    </row>
    <row r="1657" spans="1:10" x14ac:dyDescent="0.35">
      <c r="A1657" s="36" t="s">
        <v>1849</v>
      </c>
      <c r="B1657" s="35">
        <v>46193</v>
      </c>
      <c r="C1657" s="36" t="s">
        <v>210</v>
      </c>
      <c r="D1657" s="36" t="s">
        <v>211</v>
      </c>
      <c r="E1657" s="36" t="s">
        <v>111</v>
      </c>
      <c r="F1657" s="36" t="s">
        <v>112</v>
      </c>
      <c r="G1657" s="36" t="s">
        <v>102</v>
      </c>
      <c r="H1657" s="36" t="s">
        <v>113</v>
      </c>
      <c r="I1657" s="37">
        <v>7</v>
      </c>
      <c r="J1657" s="36"/>
    </row>
    <row r="1658" spans="1:10" x14ac:dyDescent="0.35">
      <c r="A1658" s="36" t="s">
        <v>1850</v>
      </c>
      <c r="B1658" s="35">
        <v>46193</v>
      </c>
      <c r="C1658" s="36" t="s">
        <v>210</v>
      </c>
      <c r="D1658" s="36" t="s">
        <v>211</v>
      </c>
      <c r="E1658" s="36" t="s">
        <v>37</v>
      </c>
      <c r="F1658" s="36" t="s">
        <v>38</v>
      </c>
      <c r="G1658" s="36" t="s">
        <v>31</v>
      </c>
      <c r="H1658" s="36" t="s">
        <v>39</v>
      </c>
      <c r="I1658" s="37">
        <v>15</v>
      </c>
      <c r="J1658" s="36"/>
    </row>
    <row r="1659" spans="1:10" x14ac:dyDescent="0.35">
      <c r="A1659" s="36" t="s">
        <v>1851</v>
      </c>
      <c r="B1659" s="35">
        <v>46193</v>
      </c>
      <c r="C1659" s="36" t="s">
        <v>210</v>
      </c>
      <c r="D1659" s="36" t="s">
        <v>211</v>
      </c>
      <c r="E1659" s="36" t="s">
        <v>151</v>
      </c>
      <c r="F1659" s="36" t="s">
        <v>152</v>
      </c>
      <c r="G1659" s="36" t="s">
        <v>8</v>
      </c>
      <c r="H1659" s="36" t="s">
        <v>143</v>
      </c>
      <c r="I1659" s="37">
        <v>7</v>
      </c>
      <c r="J1659" s="36"/>
    </row>
    <row r="1660" spans="1:10" x14ac:dyDescent="0.35">
      <c r="A1660" s="36" t="s">
        <v>1852</v>
      </c>
      <c r="B1660" s="35">
        <v>46193</v>
      </c>
      <c r="C1660" s="36" t="s">
        <v>210</v>
      </c>
      <c r="D1660" s="36" t="s">
        <v>211</v>
      </c>
      <c r="E1660" s="36" t="s">
        <v>61</v>
      </c>
      <c r="F1660" s="36" t="s">
        <v>62</v>
      </c>
      <c r="G1660" s="36" t="s">
        <v>53</v>
      </c>
      <c r="H1660" s="36" t="s">
        <v>42</v>
      </c>
      <c r="I1660" s="37">
        <v>19</v>
      </c>
      <c r="J1660" s="36"/>
    </row>
    <row r="1661" spans="1:10" x14ac:dyDescent="0.35">
      <c r="A1661" s="36" t="s">
        <v>1853</v>
      </c>
      <c r="B1661" s="35">
        <v>46193</v>
      </c>
      <c r="C1661" s="36" t="s">
        <v>210</v>
      </c>
      <c r="D1661" s="36" t="s">
        <v>211</v>
      </c>
      <c r="E1661" s="36" t="s">
        <v>128</v>
      </c>
      <c r="F1661" s="36" t="s">
        <v>9</v>
      </c>
      <c r="G1661" s="36" t="s">
        <v>10</v>
      </c>
      <c r="H1661" s="36" t="s">
        <v>129</v>
      </c>
      <c r="I1661" s="37">
        <v>7</v>
      </c>
      <c r="J1661" s="36"/>
    </row>
    <row r="1662" spans="1:10" x14ac:dyDescent="0.35">
      <c r="A1662" s="36" t="s">
        <v>1854</v>
      </c>
      <c r="B1662" s="35">
        <v>46193</v>
      </c>
      <c r="C1662" s="36" t="s">
        <v>210</v>
      </c>
      <c r="D1662" s="36" t="s">
        <v>211</v>
      </c>
      <c r="E1662" s="36" t="s">
        <v>83</v>
      </c>
      <c r="F1662" s="36" t="s">
        <v>84</v>
      </c>
      <c r="G1662" s="36" t="s">
        <v>74</v>
      </c>
      <c r="H1662" s="36" t="s">
        <v>85</v>
      </c>
      <c r="I1662" s="37">
        <v>10</v>
      </c>
      <c r="J1662" s="36"/>
    </row>
    <row r="1663" spans="1:10" x14ac:dyDescent="0.35">
      <c r="A1663" s="36" t="s">
        <v>1855</v>
      </c>
      <c r="B1663" s="35">
        <v>46193</v>
      </c>
      <c r="C1663" s="36" t="s">
        <v>210</v>
      </c>
      <c r="D1663" s="36" t="s">
        <v>211</v>
      </c>
      <c r="E1663" s="36" t="s">
        <v>59</v>
      </c>
      <c r="F1663" s="36" t="s">
        <v>60</v>
      </c>
      <c r="G1663" s="36" t="s">
        <v>53</v>
      </c>
      <c r="H1663" s="36" t="s">
        <v>56</v>
      </c>
      <c r="I1663" s="37">
        <v>22</v>
      </c>
      <c r="J1663" s="36"/>
    </row>
    <row r="1664" spans="1:10" x14ac:dyDescent="0.35">
      <c r="A1664" s="36" t="s">
        <v>1856</v>
      </c>
      <c r="B1664" s="35">
        <v>46193</v>
      </c>
      <c r="C1664" s="36" t="s">
        <v>210</v>
      </c>
      <c r="D1664" s="36" t="s">
        <v>211</v>
      </c>
      <c r="E1664" s="36" t="s">
        <v>117</v>
      </c>
      <c r="F1664" s="36" t="s">
        <v>118</v>
      </c>
      <c r="G1664" s="36" t="s">
        <v>14</v>
      </c>
      <c r="H1664" s="36" t="s">
        <v>119</v>
      </c>
      <c r="I1664" s="37">
        <v>3</v>
      </c>
      <c r="J1664" s="36"/>
    </row>
    <row r="1665" spans="1:10" x14ac:dyDescent="0.35">
      <c r="A1665" s="36" t="s">
        <v>1857</v>
      </c>
      <c r="B1665" s="35">
        <v>46193</v>
      </c>
      <c r="C1665" s="36" t="s">
        <v>210</v>
      </c>
      <c r="D1665" s="36" t="s">
        <v>211</v>
      </c>
      <c r="E1665" s="36" t="s">
        <v>106</v>
      </c>
      <c r="F1665" s="36" t="s">
        <v>107</v>
      </c>
      <c r="G1665" s="36" t="s">
        <v>102</v>
      </c>
      <c r="H1665" s="36" t="s">
        <v>108</v>
      </c>
      <c r="I1665" s="37">
        <v>10</v>
      </c>
      <c r="J1665" s="36"/>
    </row>
    <row r="1666" spans="1:10" x14ac:dyDescent="0.35">
      <c r="A1666" s="36" t="s">
        <v>1858</v>
      </c>
      <c r="B1666" s="35">
        <v>46193</v>
      </c>
      <c r="C1666" s="36" t="s">
        <v>298</v>
      </c>
      <c r="D1666" s="36" t="s">
        <v>299</v>
      </c>
      <c r="E1666" s="36" t="s">
        <v>40</v>
      </c>
      <c r="F1666" s="36" t="s">
        <v>41</v>
      </c>
      <c r="G1666" s="36" t="s">
        <v>31</v>
      </c>
      <c r="H1666" s="36" t="s">
        <v>42</v>
      </c>
      <c r="I1666" s="37">
        <v>4</v>
      </c>
      <c r="J1666" s="36"/>
    </row>
    <row r="1667" spans="1:10" x14ac:dyDescent="0.35">
      <c r="A1667" s="36" t="s">
        <v>1859</v>
      </c>
      <c r="B1667" s="35">
        <v>46193</v>
      </c>
      <c r="C1667" s="36" t="s">
        <v>298</v>
      </c>
      <c r="D1667" s="36" t="s">
        <v>299</v>
      </c>
      <c r="E1667" s="36" t="s">
        <v>34</v>
      </c>
      <c r="F1667" s="36" t="s">
        <v>35</v>
      </c>
      <c r="G1667" s="36" t="s">
        <v>31</v>
      </c>
      <c r="H1667" s="36" t="s">
        <v>36</v>
      </c>
      <c r="I1667" s="37">
        <v>3</v>
      </c>
      <c r="J1667" s="36"/>
    </row>
    <row r="1668" spans="1:10" x14ac:dyDescent="0.35">
      <c r="A1668" s="36" t="s">
        <v>1860</v>
      </c>
      <c r="B1668" s="35">
        <v>46193</v>
      </c>
      <c r="C1668" s="36" t="s">
        <v>298</v>
      </c>
      <c r="D1668" s="36" t="s">
        <v>299</v>
      </c>
      <c r="E1668" s="36" t="s">
        <v>132</v>
      </c>
      <c r="F1668" s="36" t="s">
        <v>133</v>
      </c>
      <c r="G1668" s="36" t="s">
        <v>10</v>
      </c>
      <c r="H1668" s="36" t="s">
        <v>134</v>
      </c>
      <c r="I1668" s="37">
        <v>2</v>
      </c>
      <c r="J1668" s="36"/>
    </row>
    <row r="1669" spans="1:10" x14ac:dyDescent="0.35">
      <c r="A1669" s="36" t="s">
        <v>1861</v>
      </c>
      <c r="B1669" s="35">
        <v>46193</v>
      </c>
      <c r="C1669" s="36" t="s">
        <v>298</v>
      </c>
      <c r="D1669" s="36" t="s">
        <v>299</v>
      </c>
      <c r="E1669" s="36" t="s">
        <v>37</v>
      </c>
      <c r="F1669" s="36" t="s">
        <v>38</v>
      </c>
      <c r="G1669" s="36" t="s">
        <v>31</v>
      </c>
      <c r="H1669" s="36" t="s">
        <v>39</v>
      </c>
      <c r="I1669" s="37">
        <v>4</v>
      </c>
      <c r="J1669" s="36"/>
    </row>
    <row r="1670" spans="1:10" x14ac:dyDescent="0.35">
      <c r="A1670" s="36" t="s">
        <v>1862</v>
      </c>
      <c r="B1670" s="35">
        <v>46193</v>
      </c>
      <c r="C1670" s="36" t="s">
        <v>298</v>
      </c>
      <c r="D1670" s="36" t="s">
        <v>299</v>
      </c>
      <c r="E1670" s="36" t="s">
        <v>54</v>
      </c>
      <c r="F1670" s="36" t="s">
        <v>55</v>
      </c>
      <c r="G1670" s="36" t="s">
        <v>53</v>
      </c>
      <c r="H1670" s="36" t="s">
        <v>56</v>
      </c>
      <c r="I1670" s="37">
        <v>6</v>
      </c>
      <c r="J1670" s="36"/>
    </row>
    <row r="1671" spans="1:10" x14ac:dyDescent="0.35">
      <c r="A1671" s="36" t="s">
        <v>1863</v>
      </c>
      <c r="B1671" s="35">
        <v>46193</v>
      </c>
      <c r="C1671" s="36" t="s">
        <v>298</v>
      </c>
      <c r="D1671" s="36" t="s">
        <v>299</v>
      </c>
      <c r="E1671" s="36" t="s">
        <v>94</v>
      </c>
      <c r="F1671" s="36" t="s">
        <v>95</v>
      </c>
      <c r="G1671" s="36" t="s">
        <v>93</v>
      </c>
      <c r="H1671" s="36" t="s">
        <v>96</v>
      </c>
      <c r="I1671" s="37">
        <v>4</v>
      </c>
      <c r="J1671" s="36"/>
    </row>
    <row r="1672" spans="1:10" x14ac:dyDescent="0.35">
      <c r="A1672" s="36" t="s">
        <v>1864</v>
      </c>
      <c r="B1672" s="35">
        <v>46193</v>
      </c>
      <c r="C1672" s="36" t="s">
        <v>298</v>
      </c>
      <c r="D1672" s="36" t="s">
        <v>299</v>
      </c>
      <c r="E1672" s="36" t="s">
        <v>91</v>
      </c>
      <c r="F1672" s="36" t="s">
        <v>92</v>
      </c>
      <c r="G1672" s="36" t="s">
        <v>93</v>
      </c>
      <c r="H1672" s="36" t="s">
        <v>85</v>
      </c>
      <c r="I1672" s="37">
        <v>2</v>
      </c>
      <c r="J1672" s="36"/>
    </row>
    <row r="1673" spans="1:10" x14ac:dyDescent="0.35">
      <c r="A1673" s="36" t="s">
        <v>1865</v>
      </c>
      <c r="B1673" s="35">
        <v>46193</v>
      </c>
      <c r="C1673" s="36" t="s">
        <v>298</v>
      </c>
      <c r="D1673" s="36" t="s">
        <v>299</v>
      </c>
      <c r="E1673" s="36" t="s">
        <v>156</v>
      </c>
      <c r="F1673" s="36" t="s">
        <v>11</v>
      </c>
      <c r="G1673" s="36" t="s">
        <v>12</v>
      </c>
      <c r="H1673" s="36" t="s">
        <v>155</v>
      </c>
      <c r="I1673" s="37">
        <v>2</v>
      </c>
      <c r="J1673" s="36"/>
    </row>
    <row r="1674" spans="1:10" x14ac:dyDescent="0.35">
      <c r="A1674" s="36" t="s">
        <v>1866</v>
      </c>
      <c r="B1674" s="35">
        <v>46193</v>
      </c>
      <c r="C1674" s="36" t="s">
        <v>298</v>
      </c>
      <c r="D1674" s="36" t="s">
        <v>299</v>
      </c>
      <c r="E1674" s="36" t="s">
        <v>157</v>
      </c>
      <c r="F1674" s="36" t="s">
        <v>158</v>
      </c>
      <c r="G1674" s="36" t="s">
        <v>159</v>
      </c>
      <c r="H1674" s="36" t="s">
        <v>160</v>
      </c>
      <c r="I1674" s="37">
        <v>2</v>
      </c>
      <c r="J1674" s="36"/>
    </row>
    <row r="1675" spans="1:10" x14ac:dyDescent="0.35">
      <c r="A1675" s="36" t="s">
        <v>1867</v>
      </c>
      <c r="B1675" s="35">
        <v>46193</v>
      </c>
      <c r="C1675" s="36" t="s">
        <v>298</v>
      </c>
      <c r="D1675" s="36" t="s">
        <v>299</v>
      </c>
      <c r="E1675" s="36" t="s">
        <v>138</v>
      </c>
      <c r="F1675" s="36" t="s">
        <v>139</v>
      </c>
      <c r="G1675" s="36" t="s">
        <v>6</v>
      </c>
      <c r="H1675" s="36" t="s">
        <v>140</v>
      </c>
      <c r="I1675" s="37">
        <v>5</v>
      </c>
      <c r="J1675" s="36"/>
    </row>
    <row r="1676" spans="1:10" x14ac:dyDescent="0.35">
      <c r="A1676" s="36" t="s">
        <v>1868</v>
      </c>
      <c r="B1676" s="35">
        <v>46193</v>
      </c>
      <c r="C1676" s="36" t="s">
        <v>238</v>
      </c>
      <c r="D1676" s="36" t="s">
        <v>239</v>
      </c>
      <c r="E1676" s="36" t="s">
        <v>83</v>
      </c>
      <c r="F1676" s="36" t="s">
        <v>84</v>
      </c>
      <c r="G1676" s="36" t="s">
        <v>74</v>
      </c>
      <c r="H1676" s="36" t="s">
        <v>85</v>
      </c>
      <c r="I1676" s="37">
        <v>4</v>
      </c>
      <c r="J1676" s="36"/>
    </row>
    <row r="1677" spans="1:10" x14ac:dyDescent="0.35">
      <c r="A1677" s="36" t="s">
        <v>1869</v>
      </c>
      <c r="B1677" s="35">
        <v>46193</v>
      </c>
      <c r="C1677" s="36" t="s">
        <v>238</v>
      </c>
      <c r="D1677" s="36" t="s">
        <v>239</v>
      </c>
      <c r="E1677" s="36" t="s">
        <v>51</v>
      </c>
      <c r="F1677" s="36" t="s">
        <v>52</v>
      </c>
      <c r="G1677" s="36" t="s">
        <v>53</v>
      </c>
      <c r="H1677" s="36" t="s">
        <v>42</v>
      </c>
      <c r="I1677" s="37">
        <v>7</v>
      </c>
      <c r="J1677" s="36"/>
    </row>
    <row r="1678" spans="1:10" x14ac:dyDescent="0.35">
      <c r="A1678" s="36" t="s">
        <v>1870</v>
      </c>
      <c r="B1678" s="35">
        <v>46193</v>
      </c>
      <c r="C1678" s="36" t="s">
        <v>238</v>
      </c>
      <c r="D1678" s="36" t="s">
        <v>239</v>
      </c>
      <c r="E1678" s="36" t="s">
        <v>88</v>
      </c>
      <c r="F1678" s="36" t="s">
        <v>89</v>
      </c>
      <c r="G1678" s="36" t="s">
        <v>74</v>
      </c>
      <c r="H1678" s="36" t="s">
        <v>90</v>
      </c>
      <c r="I1678" s="37">
        <v>7</v>
      </c>
      <c r="J1678" s="36"/>
    </row>
    <row r="1679" spans="1:10" x14ac:dyDescent="0.35">
      <c r="A1679" s="36" t="s">
        <v>1871</v>
      </c>
      <c r="B1679" s="35">
        <v>46193</v>
      </c>
      <c r="C1679" s="36" t="s">
        <v>238</v>
      </c>
      <c r="D1679" s="36" t="s">
        <v>239</v>
      </c>
      <c r="E1679" s="36" t="s">
        <v>59</v>
      </c>
      <c r="F1679" s="36" t="s">
        <v>60</v>
      </c>
      <c r="G1679" s="36" t="s">
        <v>53</v>
      </c>
      <c r="H1679" s="36" t="s">
        <v>56</v>
      </c>
      <c r="I1679" s="37">
        <v>8</v>
      </c>
      <c r="J1679" s="36"/>
    </row>
    <row r="1680" spans="1:10" x14ac:dyDescent="0.35">
      <c r="A1680" s="36" t="s">
        <v>1872</v>
      </c>
      <c r="B1680" s="35">
        <v>46193</v>
      </c>
      <c r="C1680" s="36" t="s">
        <v>238</v>
      </c>
      <c r="D1680" s="36" t="s">
        <v>239</v>
      </c>
      <c r="E1680" s="36" t="s">
        <v>34</v>
      </c>
      <c r="F1680" s="36" t="s">
        <v>35</v>
      </c>
      <c r="G1680" s="36" t="s">
        <v>31</v>
      </c>
      <c r="H1680" s="36" t="s">
        <v>36</v>
      </c>
      <c r="I1680" s="37">
        <v>11</v>
      </c>
      <c r="J1680" s="36"/>
    </row>
    <row r="1681" spans="1:10" x14ac:dyDescent="0.35">
      <c r="A1681" s="36" t="s">
        <v>1873</v>
      </c>
      <c r="B1681" s="35">
        <v>46193</v>
      </c>
      <c r="C1681" s="36" t="s">
        <v>238</v>
      </c>
      <c r="D1681" s="36" t="s">
        <v>239</v>
      </c>
      <c r="E1681" s="36" t="s">
        <v>125</v>
      </c>
      <c r="F1681" s="36" t="s">
        <v>126</v>
      </c>
      <c r="G1681" s="36" t="s">
        <v>14</v>
      </c>
      <c r="H1681" s="36" t="s">
        <v>127</v>
      </c>
      <c r="I1681" s="37">
        <v>1</v>
      </c>
      <c r="J1681" s="36"/>
    </row>
    <row r="1682" spans="1:10" x14ac:dyDescent="0.35">
      <c r="A1682" s="60" t="str">
        <f>IF(I1682="","","DIST-"&amp;TEXT(ROW()-4,"0000"))</f>
        <v>DIST-1678</v>
      </c>
      <c r="B1682" s="61">
        <v>46198</v>
      </c>
      <c r="C1682" s="60" t="s">
        <v>298</v>
      </c>
      <c r="D1682" s="60" t="str">
        <f>IF(C1682="","",IFERROR(VLOOKUP(C1682,'Partner Pantries'!$A:$B,2,0),""))</f>
        <v>Maplewood Senior Center</v>
      </c>
      <c r="E1682" s="60" t="s">
        <v>111</v>
      </c>
      <c r="F1682" s="60" t="str">
        <f>IF(E1682="","",IFERROR(VLOOKUP(E1682,'Food Catalog'!$A:$B,2,0),""))</f>
        <v>Canned Beef Stew</v>
      </c>
      <c r="G1682" s="60" t="str">
        <f>IF(E1682="","",IFERROR(VLOOKUP(E1682,'Food Catalog'!$A:$C,3,0),""))</f>
        <v>Soups &amp; Meals</v>
      </c>
      <c r="H1682" s="60" t="str">
        <f>IF(E1682="","",IFERROR(VLOOKUP(E1682,'Food Catalog'!$A:$D,4,0),""))</f>
        <v>Can (20 oz)</v>
      </c>
      <c r="I1682" s="62">
        <v>3</v>
      </c>
      <c r="J1682" s="36"/>
    </row>
    <row r="1683" spans="1:10" s="63" customFormat="1" x14ac:dyDescent="0.35">
      <c r="A1683" s="60" t="str">
        <f>IF(I1683="","","DIST-"&amp;TEXT(ROW()-4,"0000"))</f>
        <v>DIST-1679</v>
      </c>
      <c r="B1683" s="61">
        <v>46199</v>
      </c>
      <c r="C1683" s="60" t="s">
        <v>238</v>
      </c>
      <c r="D1683" s="60" t="str">
        <f>IF(C1683="","",IFERROR(VLOOKUP(C1683,'Partner Pantries'!$A:$B,2,0),""))</f>
        <v>St. Augustine's Shelter Pantry</v>
      </c>
      <c r="E1683" s="60" t="s">
        <v>161</v>
      </c>
      <c r="F1683" s="60" t="str">
        <f>IF(E1683="","",IFERROR(VLOOKUP(E1683,'Food Catalog'!$A:$B,2,0),""))</f>
        <v>Pasta Sauce</v>
      </c>
      <c r="G1683" s="60" t="str">
        <f>IF(E1683="","",IFERROR(VLOOKUP(E1683,'Food Catalog'!$A:$C,3,0),""))</f>
        <v>Pantry Staples</v>
      </c>
      <c r="H1683" s="60" t="str">
        <f>IF(E1683="","",IFERROR(VLOOKUP(E1683,'Food Catalog'!$A:$D,4,0),""))</f>
        <v>Jar (24 oz)</v>
      </c>
      <c r="I1683" s="62">
        <v>1</v>
      </c>
      <c r="J1683" s="60"/>
    </row>
    <row r="1684" spans="1:10" x14ac:dyDescent="0.35">
      <c r="A1684" s="57" t="str">
        <f t="shared" ref="A1684:A1715" si="0">IF(I1684="","",TEXT(ROW()-1682,"DIST-0000"))</f>
        <v/>
      </c>
      <c r="B1684" s="35"/>
      <c r="C1684" s="38"/>
      <c r="D1684" s="58" t="str">
        <f>IF(C1684="","",IFERROR(VLOOKUP(C1684,'Partner Pantries'!$A:$B,2,0),""))</f>
        <v/>
      </c>
      <c r="E1684" s="38"/>
      <c r="F1684" s="58" t="str">
        <f>IF(E1684="","",IFERROR(VLOOKUP(E1684,'Food Catalog'!$A:$B,2,0),""))</f>
        <v/>
      </c>
      <c r="G1684" s="58" t="str">
        <f>IF(E1684="","",IFERROR(VLOOKUP(E1684,'Food Catalog'!$A:$C,3,0),""))</f>
        <v/>
      </c>
      <c r="H1684" s="58" t="str">
        <f>IF(E1684="","",IFERROR(VLOOKUP(E1684,'Food Catalog'!$A:$D,4,0),""))</f>
        <v/>
      </c>
      <c r="I1684" s="59"/>
      <c r="J1684" s="36"/>
    </row>
    <row r="1685" spans="1:10" x14ac:dyDescent="0.35">
      <c r="A1685" s="57" t="str">
        <f t="shared" si="0"/>
        <v/>
      </c>
      <c r="B1685" s="35"/>
      <c r="C1685" s="38"/>
      <c r="D1685" s="58" t="str">
        <f>IF(C1685="","",IFERROR(VLOOKUP(C1685,'Partner Pantries'!$A:$B,2,0),""))</f>
        <v/>
      </c>
      <c r="E1685" s="38"/>
      <c r="F1685" s="58" t="str">
        <f>IF(E1685="","",IFERROR(VLOOKUP(E1685,'Food Catalog'!$A:$B,2,0),""))</f>
        <v/>
      </c>
      <c r="G1685" s="58" t="str">
        <f>IF(E1685="","",IFERROR(VLOOKUP(E1685,'Food Catalog'!$A:$C,3,0),""))</f>
        <v/>
      </c>
      <c r="H1685" s="58" t="str">
        <f>IF(E1685="","",IFERROR(VLOOKUP(E1685,'Food Catalog'!$A:$D,4,0),""))</f>
        <v/>
      </c>
      <c r="I1685" s="59"/>
      <c r="J1685" s="36"/>
    </row>
    <row r="1686" spans="1:10" x14ac:dyDescent="0.35">
      <c r="A1686" s="57" t="str">
        <f t="shared" si="0"/>
        <v/>
      </c>
      <c r="B1686" s="35"/>
      <c r="C1686" s="38"/>
      <c r="D1686" s="58" t="str">
        <f>IF(C1686="","",IFERROR(VLOOKUP(C1686,'Partner Pantries'!$A:$B,2,0),""))</f>
        <v/>
      </c>
      <c r="E1686" s="38"/>
      <c r="F1686" s="58" t="str">
        <f>IF(E1686="","",IFERROR(VLOOKUP(E1686,'Food Catalog'!$A:$B,2,0),""))</f>
        <v/>
      </c>
      <c r="G1686" s="58" t="str">
        <f>IF(E1686="","",IFERROR(VLOOKUP(E1686,'Food Catalog'!$A:$C,3,0),""))</f>
        <v/>
      </c>
      <c r="H1686" s="58" t="str">
        <f>IF(E1686="","",IFERROR(VLOOKUP(E1686,'Food Catalog'!$A:$D,4,0),""))</f>
        <v/>
      </c>
      <c r="I1686" s="59"/>
      <c r="J1686" s="36"/>
    </row>
    <row r="1687" spans="1:10" x14ac:dyDescent="0.35">
      <c r="A1687" s="57" t="str">
        <f t="shared" si="0"/>
        <v/>
      </c>
      <c r="B1687" s="35"/>
      <c r="C1687" s="38"/>
      <c r="D1687" s="58" t="str">
        <f>IF(C1687="","",IFERROR(VLOOKUP(C1687,'Partner Pantries'!$A:$B,2,0),""))</f>
        <v/>
      </c>
      <c r="E1687" s="38"/>
      <c r="F1687" s="58" t="str">
        <f>IF(E1687="","",IFERROR(VLOOKUP(E1687,'Food Catalog'!$A:$B,2,0),""))</f>
        <v/>
      </c>
      <c r="G1687" s="58" t="str">
        <f>IF(E1687="","",IFERROR(VLOOKUP(E1687,'Food Catalog'!$A:$C,3,0),""))</f>
        <v/>
      </c>
      <c r="H1687" s="58" t="str">
        <f>IF(E1687="","",IFERROR(VLOOKUP(E1687,'Food Catalog'!$A:$D,4,0),""))</f>
        <v/>
      </c>
      <c r="I1687" s="59"/>
      <c r="J1687" s="36"/>
    </row>
    <row r="1688" spans="1:10" x14ac:dyDescent="0.35">
      <c r="A1688" s="57" t="str">
        <f t="shared" si="0"/>
        <v/>
      </c>
      <c r="B1688" s="35"/>
      <c r="C1688" s="38"/>
      <c r="D1688" s="58" t="str">
        <f>IF(C1688="","",IFERROR(VLOOKUP(C1688,'Partner Pantries'!$A:$B,2,0),""))</f>
        <v/>
      </c>
      <c r="E1688" s="38"/>
      <c r="F1688" s="58" t="str">
        <f>IF(E1688="","",IFERROR(VLOOKUP(E1688,'Food Catalog'!$A:$B,2,0),""))</f>
        <v/>
      </c>
      <c r="G1688" s="58" t="str">
        <f>IF(E1688="","",IFERROR(VLOOKUP(E1688,'Food Catalog'!$A:$C,3,0),""))</f>
        <v/>
      </c>
      <c r="H1688" s="58" t="str">
        <f>IF(E1688="","",IFERROR(VLOOKUP(E1688,'Food Catalog'!$A:$D,4,0),""))</f>
        <v/>
      </c>
      <c r="I1688" s="59"/>
      <c r="J1688" s="36"/>
    </row>
    <row r="1689" spans="1:10" x14ac:dyDescent="0.35">
      <c r="A1689" s="57" t="str">
        <f t="shared" si="0"/>
        <v/>
      </c>
      <c r="B1689" s="35"/>
      <c r="C1689" s="38"/>
      <c r="D1689" s="58" t="str">
        <f>IF(C1689="","",IFERROR(VLOOKUP(C1689,'Partner Pantries'!$A:$B,2,0),""))</f>
        <v/>
      </c>
      <c r="E1689" s="38"/>
      <c r="F1689" s="58" t="str">
        <f>IF(E1689="","",IFERROR(VLOOKUP(E1689,'Food Catalog'!$A:$B,2,0),""))</f>
        <v/>
      </c>
      <c r="G1689" s="58" t="str">
        <f>IF(E1689="","",IFERROR(VLOOKUP(E1689,'Food Catalog'!$A:$C,3,0),""))</f>
        <v/>
      </c>
      <c r="H1689" s="58" t="str">
        <f>IF(E1689="","",IFERROR(VLOOKUP(E1689,'Food Catalog'!$A:$D,4,0),""))</f>
        <v/>
      </c>
      <c r="I1689" s="59"/>
      <c r="J1689" s="36"/>
    </row>
    <row r="1690" spans="1:10" x14ac:dyDescent="0.35">
      <c r="A1690" s="57" t="str">
        <f t="shared" si="0"/>
        <v/>
      </c>
      <c r="B1690" s="35"/>
      <c r="C1690" s="38"/>
      <c r="D1690" s="58" t="str">
        <f>IF(C1690="","",IFERROR(VLOOKUP(C1690,'Partner Pantries'!$A:$B,2,0),""))</f>
        <v/>
      </c>
      <c r="E1690" s="38"/>
      <c r="F1690" s="58" t="str">
        <f>IF(E1690="","",IFERROR(VLOOKUP(E1690,'Food Catalog'!$A:$B,2,0),""))</f>
        <v/>
      </c>
      <c r="G1690" s="58" t="str">
        <f>IF(E1690="","",IFERROR(VLOOKUP(E1690,'Food Catalog'!$A:$C,3,0),""))</f>
        <v/>
      </c>
      <c r="H1690" s="58" t="str">
        <f>IF(E1690="","",IFERROR(VLOOKUP(E1690,'Food Catalog'!$A:$D,4,0),""))</f>
        <v/>
      </c>
      <c r="I1690" s="59"/>
      <c r="J1690" s="36"/>
    </row>
    <row r="1691" spans="1:10" x14ac:dyDescent="0.35">
      <c r="A1691" s="57" t="str">
        <f t="shared" si="0"/>
        <v/>
      </c>
      <c r="B1691" s="35"/>
      <c r="C1691" s="38"/>
      <c r="D1691" s="58" t="str">
        <f>IF(C1691="","",IFERROR(VLOOKUP(C1691,'Partner Pantries'!$A:$B,2,0),""))</f>
        <v/>
      </c>
      <c r="E1691" s="38"/>
      <c r="F1691" s="58" t="str">
        <f>IF(E1691="","",IFERROR(VLOOKUP(E1691,'Food Catalog'!$A:$B,2,0),""))</f>
        <v/>
      </c>
      <c r="G1691" s="58" t="str">
        <f>IF(E1691="","",IFERROR(VLOOKUP(E1691,'Food Catalog'!$A:$C,3,0),""))</f>
        <v/>
      </c>
      <c r="H1691" s="58" t="str">
        <f>IF(E1691="","",IFERROR(VLOOKUP(E1691,'Food Catalog'!$A:$D,4,0),""))</f>
        <v/>
      </c>
      <c r="I1691" s="59"/>
      <c r="J1691" s="36"/>
    </row>
    <row r="1692" spans="1:10" x14ac:dyDescent="0.35">
      <c r="A1692" s="57" t="str">
        <f t="shared" si="0"/>
        <v/>
      </c>
      <c r="B1692" s="35"/>
      <c r="C1692" s="38"/>
      <c r="D1692" s="58" t="str">
        <f>IF(C1692="","",IFERROR(VLOOKUP(C1692,'Partner Pantries'!$A:$B,2,0),""))</f>
        <v/>
      </c>
      <c r="E1692" s="38"/>
      <c r="F1692" s="58" t="str">
        <f>IF(E1692="","",IFERROR(VLOOKUP(E1692,'Food Catalog'!$A:$B,2,0),""))</f>
        <v/>
      </c>
      <c r="G1692" s="58" t="str">
        <f>IF(E1692="","",IFERROR(VLOOKUP(E1692,'Food Catalog'!$A:$C,3,0),""))</f>
        <v/>
      </c>
      <c r="H1692" s="58" t="str">
        <f>IF(E1692="","",IFERROR(VLOOKUP(E1692,'Food Catalog'!$A:$D,4,0),""))</f>
        <v/>
      </c>
      <c r="I1692" s="59"/>
      <c r="J1692" s="36"/>
    </row>
    <row r="1693" spans="1:10" x14ac:dyDescent="0.35">
      <c r="A1693" s="57" t="str">
        <f t="shared" si="0"/>
        <v/>
      </c>
      <c r="B1693" s="35"/>
      <c r="C1693" s="38"/>
      <c r="D1693" s="58" t="str">
        <f>IF(C1693="","",IFERROR(VLOOKUP(C1693,'Partner Pantries'!$A:$B,2,0),""))</f>
        <v/>
      </c>
      <c r="E1693" s="38"/>
      <c r="F1693" s="58" t="str">
        <f>IF(E1693="","",IFERROR(VLOOKUP(E1693,'Food Catalog'!$A:$B,2,0),""))</f>
        <v/>
      </c>
      <c r="G1693" s="58" t="str">
        <f>IF(E1693="","",IFERROR(VLOOKUP(E1693,'Food Catalog'!$A:$C,3,0),""))</f>
        <v/>
      </c>
      <c r="H1693" s="58" t="str">
        <f>IF(E1693="","",IFERROR(VLOOKUP(E1693,'Food Catalog'!$A:$D,4,0),""))</f>
        <v/>
      </c>
      <c r="I1693" s="59"/>
      <c r="J1693" s="36"/>
    </row>
    <row r="1694" spans="1:10" x14ac:dyDescent="0.35">
      <c r="A1694" s="57" t="str">
        <f t="shared" si="0"/>
        <v/>
      </c>
      <c r="B1694" s="35"/>
      <c r="C1694" s="38"/>
      <c r="D1694" s="58" t="str">
        <f>IF(C1694="","",IFERROR(VLOOKUP(C1694,'Partner Pantries'!$A:$B,2,0),""))</f>
        <v/>
      </c>
      <c r="E1694" s="38"/>
      <c r="F1694" s="58" t="str">
        <f>IF(E1694="","",IFERROR(VLOOKUP(E1694,'Food Catalog'!$A:$B,2,0),""))</f>
        <v/>
      </c>
      <c r="G1694" s="58" t="str">
        <f>IF(E1694="","",IFERROR(VLOOKUP(E1694,'Food Catalog'!$A:$C,3,0),""))</f>
        <v/>
      </c>
      <c r="H1694" s="58" t="str">
        <f>IF(E1694="","",IFERROR(VLOOKUP(E1694,'Food Catalog'!$A:$D,4,0),""))</f>
        <v/>
      </c>
      <c r="I1694" s="59"/>
      <c r="J1694" s="36"/>
    </row>
    <row r="1695" spans="1:10" x14ac:dyDescent="0.35">
      <c r="A1695" s="57" t="str">
        <f t="shared" si="0"/>
        <v/>
      </c>
      <c r="B1695" s="35"/>
      <c r="C1695" s="38"/>
      <c r="D1695" s="58" t="str">
        <f>IF(C1695="","",IFERROR(VLOOKUP(C1695,'Partner Pantries'!$A:$B,2,0),""))</f>
        <v/>
      </c>
      <c r="E1695" s="38"/>
      <c r="F1695" s="58" t="str">
        <f>IF(E1695="","",IFERROR(VLOOKUP(E1695,'Food Catalog'!$A:$B,2,0),""))</f>
        <v/>
      </c>
      <c r="G1695" s="58" t="str">
        <f>IF(E1695="","",IFERROR(VLOOKUP(E1695,'Food Catalog'!$A:$C,3,0),""))</f>
        <v/>
      </c>
      <c r="H1695" s="58" t="str">
        <f>IF(E1695="","",IFERROR(VLOOKUP(E1695,'Food Catalog'!$A:$D,4,0),""))</f>
        <v/>
      </c>
      <c r="I1695" s="59"/>
      <c r="J1695" s="36"/>
    </row>
    <row r="1696" spans="1:10" x14ac:dyDescent="0.35">
      <c r="A1696" s="57" t="str">
        <f t="shared" si="0"/>
        <v/>
      </c>
      <c r="B1696" s="35"/>
      <c r="C1696" s="38"/>
      <c r="D1696" s="58" t="str">
        <f>IF(C1696="","",IFERROR(VLOOKUP(C1696,'Partner Pantries'!$A:$B,2,0),""))</f>
        <v/>
      </c>
      <c r="E1696" s="38"/>
      <c r="F1696" s="58" t="str">
        <f>IF(E1696="","",IFERROR(VLOOKUP(E1696,'Food Catalog'!$A:$B,2,0),""))</f>
        <v/>
      </c>
      <c r="G1696" s="58" t="str">
        <f>IF(E1696="","",IFERROR(VLOOKUP(E1696,'Food Catalog'!$A:$C,3,0),""))</f>
        <v/>
      </c>
      <c r="H1696" s="58" t="str">
        <f>IF(E1696="","",IFERROR(VLOOKUP(E1696,'Food Catalog'!$A:$D,4,0),""))</f>
        <v/>
      </c>
      <c r="I1696" s="59"/>
      <c r="J1696" s="36"/>
    </row>
    <row r="1697" spans="1:10" x14ac:dyDescent="0.35">
      <c r="A1697" s="57" t="str">
        <f t="shared" si="0"/>
        <v/>
      </c>
      <c r="B1697" s="35"/>
      <c r="C1697" s="38"/>
      <c r="D1697" s="58" t="str">
        <f>IF(C1697="","",IFERROR(VLOOKUP(C1697,'Partner Pantries'!$A:$B,2,0),""))</f>
        <v/>
      </c>
      <c r="E1697" s="38"/>
      <c r="F1697" s="58" t="str">
        <f>IF(E1697="","",IFERROR(VLOOKUP(E1697,'Food Catalog'!$A:$B,2,0),""))</f>
        <v/>
      </c>
      <c r="G1697" s="58" t="str">
        <f>IF(E1697="","",IFERROR(VLOOKUP(E1697,'Food Catalog'!$A:$C,3,0),""))</f>
        <v/>
      </c>
      <c r="H1697" s="58" t="str">
        <f>IF(E1697="","",IFERROR(VLOOKUP(E1697,'Food Catalog'!$A:$D,4,0),""))</f>
        <v/>
      </c>
      <c r="I1697" s="59"/>
      <c r="J1697" s="36"/>
    </row>
    <row r="1698" spans="1:10" x14ac:dyDescent="0.35">
      <c r="A1698" s="57" t="str">
        <f t="shared" si="0"/>
        <v/>
      </c>
      <c r="B1698" s="35"/>
      <c r="C1698" s="38"/>
      <c r="D1698" s="58" t="str">
        <f>IF(C1698="","",IFERROR(VLOOKUP(C1698,'Partner Pantries'!$A:$B,2,0),""))</f>
        <v/>
      </c>
      <c r="E1698" s="38"/>
      <c r="F1698" s="58" t="str">
        <f>IF(E1698="","",IFERROR(VLOOKUP(E1698,'Food Catalog'!$A:$B,2,0),""))</f>
        <v/>
      </c>
      <c r="G1698" s="58" t="str">
        <f>IF(E1698="","",IFERROR(VLOOKUP(E1698,'Food Catalog'!$A:$C,3,0),""))</f>
        <v/>
      </c>
      <c r="H1698" s="58" t="str">
        <f>IF(E1698="","",IFERROR(VLOOKUP(E1698,'Food Catalog'!$A:$D,4,0),""))</f>
        <v/>
      </c>
      <c r="I1698" s="59"/>
      <c r="J1698" s="36"/>
    </row>
    <row r="1699" spans="1:10" x14ac:dyDescent="0.35">
      <c r="A1699" s="57" t="str">
        <f t="shared" si="0"/>
        <v/>
      </c>
      <c r="B1699" s="35"/>
      <c r="C1699" s="38"/>
      <c r="D1699" s="58" t="str">
        <f>IF(C1699="","",IFERROR(VLOOKUP(C1699,'Partner Pantries'!$A:$B,2,0),""))</f>
        <v/>
      </c>
      <c r="E1699" s="38"/>
      <c r="F1699" s="58" t="str">
        <f>IF(E1699="","",IFERROR(VLOOKUP(E1699,'Food Catalog'!$A:$B,2,0),""))</f>
        <v/>
      </c>
      <c r="G1699" s="58" t="str">
        <f>IF(E1699="","",IFERROR(VLOOKUP(E1699,'Food Catalog'!$A:$C,3,0),""))</f>
        <v/>
      </c>
      <c r="H1699" s="58" t="str">
        <f>IF(E1699="","",IFERROR(VLOOKUP(E1699,'Food Catalog'!$A:$D,4,0),""))</f>
        <v/>
      </c>
      <c r="I1699" s="59"/>
      <c r="J1699" s="36"/>
    </row>
    <row r="1700" spans="1:10" x14ac:dyDescent="0.35">
      <c r="A1700" s="57" t="str">
        <f t="shared" si="0"/>
        <v/>
      </c>
      <c r="B1700" s="35"/>
      <c r="C1700" s="38"/>
      <c r="D1700" s="58" t="str">
        <f>IF(C1700="","",IFERROR(VLOOKUP(C1700,'Partner Pantries'!$A:$B,2,0),""))</f>
        <v/>
      </c>
      <c r="E1700" s="38"/>
      <c r="F1700" s="58" t="str">
        <f>IF(E1700="","",IFERROR(VLOOKUP(E1700,'Food Catalog'!$A:$B,2,0),""))</f>
        <v/>
      </c>
      <c r="G1700" s="58" t="str">
        <f>IF(E1700="","",IFERROR(VLOOKUP(E1700,'Food Catalog'!$A:$C,3,0),""))</f>
        <v/>
      </c>
      <c r="H1700" s="58" t="str">
        <f>IF(E1700="","",IFERROR(VLOOKUP(E1700,'Food Catalog'!$A:$D,4,0),""))</f>
        <v/>
      </c>
      <c r="I1700" s="59"/>
      <c r="J1700" s="36"/>
    </row>
    <row r="1701" spans="1:10" x14ac:dyDescent="0.35">
      <c r="A1701" s="57" t="str">
        <f t="shared" si="0"/>
        <v/>
      </c>
      <c r="B1701" s="35"/>
      <c r="C1701" s="38"/>
      <c r="D1701" s="58" t="str">
        <f>IF(C1701="","",IFERROR(VLOOKUP(C1701,'Partner Pantries'!$A:$B,2,0),""))</f>
        <v/>
      </c>
      <c r="E1701" s="38"/>
      <c r="F1701" s="58" t="str">
        <f>IF(E1701="","",IFERROR(VLOOKUP(E1701,'Food Catalog'!$A:$B,2,0),""))</f>
        <v/>
      </c>
      <c r="G1701" s="58" t="str">
        <f>IF(E1701="","",IFERROR(VLOOKUP(E1701,'Food Catalog'!$A:$C,3,0),""))</f>
        <v/>
      </c>
      <c r="H1701" s="58" t="str">
        <f>IF(E1701="","",IFERROR(VLOOKUP(E1701,'Food Catalog'!$A:$D,4,0),""))</f>
        <v/>
      </c>
      <c r="I1701" s="59"/>
      <c r="J1701" s="36"/>
    </row>
    <row r="1702" spans="1:10" x14ac:dyDescent="0.35">
      <c r="A1702" s="57" t="str">
        <f t="shared" si="0"/>
        <v/>
      </c>
      <c r="B1702" s="35"/>
      <c r="C1702" s="38"/>
      <c r="D1702" s="58" t="str">
        <f>IF(C1702="","",IFERROR(VLOOKUP(C1702,'Partner Pantries'!$A:$B,2,0),""))</f>
        <v/>
      </c>
      <c r="E1702" s="38"/>
      <c r="F1702" s="58" t="str">
        <f>IF(E1702="","",IFERROR(VLOOKUP(E1702,'Food Catalog'!$A:$B,2,0),""))</f>
        <v/>
      </c>
      <c r="G1702" s="58" t="str">
        <f>IF(E1702="","",IFERROR(VLOOKUP(E1702,'Food Catalog'!$A:$C,3,0),""))</f>
        <v/>
      </c>
      <c r="H1702" s="58" t="str">
        <f>IF(E1702="","",IFERROR(VLOOKUP(E1702,'Food Catalog'!$A:$D,4,0),""))</f>
        <v/>
      </c>
      <c r="I1702" s="59"/>
      <c r="J1702" s="36"/>
    </row>
    <row r="1703" spans="1:10" x14ac:dyDescent="0.35">
      <c r="A1703" s="57" t="str">
        <f t="shared" si="0"/>
        <v/>
      </c>
      <c r="B1703" s="35"/>
      <c r="C1703" s="38"/>
      <c r="D1703" s="58" t="str">
        <f>IF(C1703="","",IFERROR(VLOOKUP(C1703,'Partner Pantries'!$A:$B,2,0),""))</f>
        <v/>
      </c>
      <c r="E1703" s="38"/>
      <c r="F1703" s="58" t="str">
        <f>IF(E1703="","",IFERROR(VLOOKUP(E1703,'Food Catalog'!$A:$B,2,0),""))</f>
        <v/>
      </c>
      <c r="G1703" s="58" t="str">
        <f>IF(E1703="","",IFERROR(VLOOKUP(E1703,'Food Catalog'!$A:$C,3,0),""))</f>
        <v/>
      </c>
      <c r="H1703" s="58" t="str">
        <f>IF(E1703="","",IFERROR(VLOOKUP(E1703,'Food Catalog'!$A:$D,4,0),""))</f>
        <v/>
      </c>
      <c r="I1703" s="59"/>
      <c r="J1703" s="36"/>
    </row>
    <row r="1704" spans="1:10" x14ac:dyDescent="0.35">
      <c r="A1704" s="57" t="str">
        <f t="shared" si="0"/>
        <v/>
      </c>
      <c r="B1704" s="35"/>
      <c r="C1704" s="38"/>
      <c r="D1704" s="58" t="str">
        <f>IF(C1704="","",IFERROR(VLOOKUP(C1704,'Partner Pantries'!$A:$B,2,0),""))</f>
        <v/>
      </c>
      <c r="E1704" s="38"/>
      <c r="F1704" s="58" t="str">
        <f>IF(E1704="","",IFERROR(VLOOKUP(E1704,'Food Catalog'!$A:$B,2,0),""))</f>
        <v/>
      </c>
      <c r="G1704" s="58" t="str">
        <f>IF(E1704="","",IFERROR(VLOOKUP(E1704,'Food Catalog'!$A:$C,3,0),""))</f>
        <v/>
      </c>
      <c r="H1704" s="58" t="str">
        <f>IF(E1704="","",IFERROR(VLOOKUP(E1704,'Food Catalog'!$A:$D,4,0),""))</f>
        <v/>
      </c>
      <c r="I1704" s="59"/>
      <c r="J1704" s="36"/>
    </row>
    <row r="1705" spans="1:10" x14ac:dyDescent="0.35">
      <c r="A1705" s="57" t="str">
        <f t="shared" si="0"/>
        <v/>
      </c>
      <c r="B1705" s="35"/>
      <c r="C1705" s="38"/>
      <c r="D1705" s="58" t="str">
        <f>IF(C1705="","",IFERROR(VLOOKUP(C1705,'Partner Pantries'!$A:$B,2,0),""))</f>
        <v/>
      </c>
      <c r="E1705" s="38"/>
      <c r="F1705" s="58" t="str">
        <f>IF(E1705="","",IFERROR(VLOOKUP(E1705,'Food Catalog'!$A:$B,2,0),""))</f>
        <v/>
      </c>
      <c r="G1705" s="58" t="str">
        <f>IF(E1705="","",IFERROR(VLOOKUP(E1705,'Food Catalog'!$A:$C,3,0),""))</f>
        <v/>
      </c>
      <c r="H1705" s="58" t="str">
        <f>IF(E1705="","",IFERROR(VLOOKUP(E1705,'Food Catalog'!$A:$D,4,0),""))</f>
        <v/>
      </c>
      <c r="I1705" s="59"/>
      <c r="J1705" s="36"/>
    </row>
    <row r="1706" spans="1:10" x14ac:dyDescent="0.35">
      <c r="A1706" s="57" t="str">
        <f t="shared" si="0"/>
        <v/>
      </c>
      <c r="B1706" s="35"/>
      <c r="C1706" s="38"/>
      <c r="D1706" s="58" t="str">
        <f>IF(C1706="","",IFERROR(VLOOKUP(C1706,'Partner Pantries'!$A:$B,2,0),""))</f>
        <v/>
      </c>
      <c r="E1706" s="38"/>
      <c r="F1706" s="58" t="str">
        <f>IF(E1706="","",IFERROR(VLOOKUP(E1706,'Food Catalog'!$A:$B,2,0),""))</f>
        <v/>
      </c>
      <c r="G1706" s="58" t="str">
        <f>IF(E1706="","",IFERROR(VLOOKUP(E1706,'Food Catalog'!$A:$C,3,0),""))</f>
        <v/>
      </c>
      <c r="H1706" s="58" t="str">
        <f>IF(E1706="","",IFERROR(VLOOKUP(E1706,'Food Catalog'!$A:$D,4,0),""))</f>
        <v/>
      </c>
      <c r="I1706" s="59"/>
      <c r="J1706" s="36"/>
    </row>
    <row r="1707" spans="1:10" x14ac:dyDescent="0.35">
      <c r="A1707" s="57" t="str">
        <f t="shared" si="0"/>
        <v/>
      </c>
      <c r="B1707" s="35"/>
      <c r="C1707" s="38"/>
      <c r="D1707" s="58" t="str">
        <f>IF(C1707="","",IFERROR(VLOOKUP(C1707,'Partner Pantries'!$A:$B,2,0),""))</f>
        <v/>
      </c>
      <c r="E1707" s="38"/>
      <c r="F1707" s="58" t="str">
        <f>IF(E1707="","",IFERROR(VLOOKUP(E1707,'Food Catalog'!$A:$B,2,0),""))</f>
        <v/>
      </c>
      <c r="G1707" s="58" t="str">
        <f>IF(E1707="","",IFERROR(VLOOKUP(E1707,'Food Catalog'!$A:$C,3,0),""))</f>
        <v/>
      </c>
      <c r="H1707" s="58" t="str">
        <f>IF(E1707="","",IFERROR(VLOOKUP(E1707,'Food Catalog'!$A:$D,4,0),""))</f>
        <v/>
      </c>
      <c r="I1707" s="59"/>
      <c r="J1707" s="36"/>
    </row>
    <row r="1708" spans="1:10" x14ac:dyDescent="0.35">
      <c r="A1708" s="57" t="str">
        <f t="shared" si="0"/>
        <v/>
      </c>
      <c r="B1708" s="35"/>
      <c r="C1708" s="38"/>
      <c r="D1708" s="58" t="str">
        <f>IF(C1708="","",IFERROR(VLOOKUP(C1708,'Partner Pantries'!$A:$B,2,0),""))</f>
        <v/>
      </c>
      <c r="E1708" s="38"/>
      <c r="F1708" s="58" t="str">
        <f>IF(E1708="","",IFERROR(VLOOKUP(E1708,'Food Catalog'!$A:$B,2,0),""))</f>
        <v/>
      </c>
      <c r="G1708" s="58" t="str">
        <f>IF(E1708="","",IFERROR(VLOOKUP(E1708,'Food Catalog'!$A:$C,3,0),""))</f>
        <v/>
      </c>
      <c r="H1708" s="58" t="str">
        <f>IF(E1708="","",IFERROR(VLOOKUP(E1708,'Food Catalog'!$A:$D,4,0),""))</f>
        <v/>
      </c>
      <c r="I1708" s="59"/>
      <c r="J1708" s="36"/>
    </row>
    <row r="1709" spans="1:10" x14ac:dyDescent="0.35">
      <c r="A1709" s="57" t="str">
        <f t="shared" si="0"/>
        <v/>
      </c>
      <c r="B1709" s="35"/>
      <c r="C1709" s="38"/>
      <c r="D1709" s="58" t="str">
        <f>IF(C1709="","",IFERROR(VLOOKUP(C1709,'Partner Pantries'!$A:$B,2,0),""))</f>
        <v/>
      </c>
      <c r="E1709" s="38"/>
      <c r="F1709" s="58" t="str">
        <f>IF(E1709="","",IFERROR(VLOOKUP(E1709,'Food Catalog'!$A:$B,2,0),""))</f>
        <v/>
      </c>
      <c r="G1709" s="58" t="str">
        <f>IF(E1709="","",IFERROR(VLOOKUP(E1709,'Food Catalog'!$A:$C,3,0),""))</f>
        <v/>
      </c>
      <c r="H1709" s="58" t="str">
        <f>IF(E1709="","",IFERROR(VLOOKUP(E1709,'Food Catalog'!$A:$D,4,0),""))</f>
        <v/>
      </c>
      <c r="I1709" s="59"/>
      <c r="J1709" s="36"/>
    </row>
    <row r="1710" spans="1:10" x14ac:dyDescent="0.35">
      <c r="A1710" s="57" t="str">
        <f t="shared" si="0"/>
        <v/>
      </c>
      <c r="B1710" s="35"/>
      <c r="C1710" s="38"/>
      <c r="D1710" s="58" t="str">
        <f>IF(C1710="","",IFERROR(VLOOKUP(C1710,'Partner Pantries'!$A:$B,2,0),""))</f>
        <v/>
      </c>
      <c r="E1710" s="38"/>
      <c r="F1710" s="58" t="str">
        <f>IF(E1710="","",IFERROR(VLOOKUP(E1710,'Food Catalog'!$A:$B,2,0),""))</f>
        <v/>
      </c>
      <c r="G1710" s="58" t="str">
        <f>IF(E1710="","",IFERROR(VLOOKUP(E1710,'Food Catalog'!$A:$C,3,0),""))</f>
        <v/>
      </c>
      <c r="H1710" s="58" t="str">
        <f>IF(E1710="","",IFERROR(VLOOKUP(E1710,'Food Catalog'!$A:$D,4,0),""))</f>
        <v/>
      </c>
      <c r="I1710" s="59"/>
      <c r="J1710" s="36"/>
    </row>
    <row r="1711" spans="1:10" x14ac:dyDescent="0.35">
      <c r="A1711" s="57" t="str">
        <f t="shared" si="0"/>
        <v/>
      </c>
      <c r="B1711" s="35"/>
      <c r="C1711" s="38"/>
      <c r="D1711" s="58" t="str">
        <f>IF(C1711="","",IFERROR(VLOOKUP(C1711,'Partner Pantries'!$A:$B,2,0),""))</f>
        <v/>
      </c>
      <c r="E1711" s="38"/>
      <c r="F1711" s="58" t="str">
        <f>IF(E1711="","",IFERROR(VLOOKUP(E1711,'Food Catalog'!$A:$B,2,0),""))</f>
        <v/>
      </c>
      <c r="G1711" s="58" t="str">
        <f>IF(E1711="","",IFERROR(VLOOKUP(E1711,'Food Catalog'!$A:$C,3,0),""))</f>
        <v/>
      </c>
      <c r="H1711" s="58" t="str">
        <f>IF(E1711="","",IFERROR(VLOOKUP(E1711,'Food Catalog'!$A:$D,4,0),""))</f>
        <v/>
      </c>
      <c r="I1711" s="59"/>
      <c r="J1711" s="36"/>
    </row>
    <row r="1712" spans="1:10" x14ac:dyDescent="0.35">
      <c r="A1712" s="57" t="str">
        <f t="shared" si="0"/>
        <v/>
      </c>
      <c r="B1712" s="35"/>
      <c r="C1712" s="38"/>
      <c r="D1712" s="58" t="str">
        <f>IF(C1712="","",IFERROR(VLOOKUP(C1712,'Partner Pantries'!$A:$B,2,0),""))</f>
        <v/>
      </c>
      <c r="E1712" s="38"/>
      <c r="F1712" s="58" t="str">
        <f>IF(E1712="","",IFERROR(VLOOKUP(E1712,'Food Catalog'!$A:$B,2,0),""))</f>
        <v/>
      </c>
      <c r="G1712" s="58" t="str">
        <f>IF(E1712="","",IFERROR(VLOOKUP(E1712,'Food Catalog'!$A:$C,3,0),""))</f>
        <v/>
      </c>
      <c r="H1712" s="58" t="str">
        <f>IF(E1712="","",IFERROR(VLOOKUP(E1712,'Food Catalog'!$A:$D,4,0),""))</f>
        <v/>
      </c>
      <c r="I1712" s="59"/>
      <c r="J1712" s="36"/>
    </row>
    <row r="1713" spans="1:10" x14ac:dyDescent="0.35">
      <c r="A1713" s="57" t="str">
        <f t="shared" si="0"/>
        <v/>
      </c>
      <c r="B1713" s="35"/>
      <c r="C1713" s="38"/>
      <c r="D1713" s="58" t="str">
        <f>IF(C1713="","",IFERROR(VLOOKUP(C1713,'Partner Pantries'!$A:$B,2,0),""))</f>
        <v/>
      </c>
      <c r="E1713" s="38"/>
      <c r="F1713" s="58" t="str">
        <f>IF(E1713="","",IFERROR(VLOOKUP(E1713,'Food Catalog'!$A:$B,2,0),""))</f>
        <v/>
      </c>
      <c r="G1713" s="58" t="str">
        <f>IF(E1713="","",IFERROR(VLOOKUP(E1713,'Food Catalog'!$A:$C,3,0),""))</f>
        <v/>
      </c>
      <c r="H1713" s="58" t="str">
        <f>IF(E1713="","",IFERROR(VLOOKUP(E1713,'Food Catalog'!$A:$D,4,0),""))</f>
        <v/>
      </c>
      <c r="I1713" s="59"/>
      <c r="J1713" s="36"/>
    </row>
    <row r="1714" spans="1:10" x14ac:dyDescent="0.35">
      <c r="A1714" s="57" t="str">
        <f t="shared" si="0"/>
        <v/>
      </c>
      <c r="B1714" s="35"/>
      <c r="C1714" s="38"/>
      <c r="D1714" s="58" t="str">
        <f>IF(C1714="","",IFERROR(VLOOKUP(C1714,'Partner Pantries'!$A:$B,2,0),""))</f>
        <v/>
      </c>
      <c r="E1714" s="38"/>
      <c r="F1714" s="58" t="str">
        <f>IF(E1714="","",IFERROR(VLOOKUP(E1714,'Food Catalog'!$A:$B,2,0),""))</f>
        <v/>
      </c>
      <c r="G1714" s="58" t="str">
        <f>IF(E1714="","",IFERROR(VLOOKUP(E1714,'Food Catalog'!$A:$C,3,0),""))</f>
        <v/>
      </c>
      <c r="H1714" s="58" t="str">
        <f>IF(E1714="","",IFERROR(VLOOKUP(E1714,'Food Catalog'!$A:$D,4,0),""))</f>
        <v/>
      </c>
      <c r="I1714" s="59"/>
      <c r="J1714" s="36"/>
    </row>
    <row r="1715" spans="1:10" x14ac:dyDescent="0.35">
      <c r="A1715" s="57" t="str">
        <f t="shared" si="0"/>
        <v/>
      </c>
      <c r="B1715" s="35"/>
      <c r="C1715" s="38"/>
      <c r="D1715" s="58" t="str">
        <f>IF(C1715="","",IFERROR(VLOOKUP(C1715,'Partner Pantries'!$A:$B,2,0),""))</f>
        <v/>
      </c>
      <c r="E1715" s="38"/>
      <c r="F1715" s="58" t="str">
        <f>IF(E1715="","",IFERROR(VLOOKUP(E1715,'Food Catalog'!$A:$B,2,0),""))</f>
        <v/>
      </c>
      <c r="G1715" s="58" t="str">
        <f>IF(E1715="","",IFERROR(VLOOKUP(E1715,'Food Catalog'!$A:$C,3,0),""))</f>
        <v/>
      </c>
      <c r="H1715" s="58" t="str">
        <f>IF(E1715="","",IFERROR(VLOOKUP(E1715,'Food Catalog'!$A:$D,4,0),""))</f>
        <v/>
      </c>
      <c r="I1715" s="59"/>
      <c r="J1715" s="36"/>
    </row>
    <row r="1716" spans="1:10" x14ac:dyDescent="0.35">
      <c r="A1716" s="57" t="str">
        <f t="shared" ref="A1716:A1747" si="1">IF(I1716="","",TEXT(ROW()-1682,"DIST-0000"))</f>
        <v/>
      </c>
      <c r="B1716" s="35"/>
      <c r="C1716" s="38"/>
      <c r="D1716" s="58" t="str">
        <f>IF(C1716="","",IFERROR(VLOOKUP(C1716,'Partner Pantries'!$A:$B,2,0),""))</f>
        <v/>
      </c>
      <c r="E1716" s="38"/>
      <c r="F1716" s="58" t="str">
        <f>IF(E1716="","",IFERROR(VLOOKUP(E1716,'Food Catalog'!$A:$B,2,0),""))</f>
        <v/>
      </c>
      <c r="G1716" s="58" t="str">
        <f>IF(E1716="","",IFERROR(VLOOKUP(E1716,'Food Catalog'!$A:$C,3,0),""))</f>
        <v/>
      </c>
      <c r="H1716" s="58" t="str">
        <f>IF(E1716="","",IFERROR(VLOOKUP(E1716,'Food Catalog'!$A:$D,4,0),""))</f>
        <v/>
      </c>
      <c r="I1716" s="59"/>
      <c r="J1716" s="36"/>
    </row>
    <row r="1717" spans="1:10" x14ac:dyDescent="0.35">
      <c r="A1717" s="57" t="str">
        <f t="shared" si="1"/>
        <v/>
      </c>
      <c r="B1717" s="35"/>
      <c r="C1717" s="38"/>
      <c r="D1717" s="58" t="str">
        <f>IF(C1717="","",IFERROR(VLOOKUP(C1717,'Partner Pantries'!$A:$B,2,0),""))</f>
        <v/>
      </c>
      <c r="E1717" s="38"/>
      <c r="F1717" s="58" t="str">
        <f>IF(E1717="","",IFERROR(VLOOKUP(E1717,'Food Catalog'!$A:$B,2,0),""))</f>
        <v/>
      </c>
      <c r="G1717" s="58" t="str">
        <f>IF(E1717="","",IFERROR(VLOOKUP(E1717,'Food Catalog'!$A:$C,3,0),""))</f>
        <v/>
      </c>
      <c r="H1717" s="58" t="str">
        <f>IF(E1717="","",IFERROR(VLOOKUP(E1717,'Food Catalog'!$A:$D,4,0),""))</f>
        <v/>
      </c>
      <c r="I1717" s="59"/>
      <c r="J1717" s="36"/>
    </row>
    <row r="1718" spans="1:10" x14ac:dyDescent="0.35">
      <c r="A1718" s="57" t="str">
        <f t="shared" si="1"/>
        <v/>
      </c>
      <c r="B1718" s="35"/>
      <c r="C1718" s="38"/>
      <c r="D1718" s="58" t="str">
        <f>IF(C1718="","",IFERROR(VLOOKUP(C1718,'Partner Pantries'!$A:$B,2,0),""))</f>
        <v/>
      </c>
      <c r="E1718" s="38"/>
      <c r="F1718" s="58" t="str">
        <f>IF(E1718="","",IFERROR(VLOOKUP(E1718,'Food Catalog'!$A:$B,2,0),""))</f>
        <v/>
      </c>
      <c r="G1718" s="58" t="str">
        <f>IF(E1718="","",IFERROR(VLOOKUP(E1718,'Food Catalog'!$A:$C,3,0),""))</f>
        <v/>
      </c>
      <c r="H1718" s="58" t="str">
        <f>IF(E1718="","",IFERROR(VLOOKUP(E1718,'Food Catalog'!$A:$D,4,0),""))</f>
        <v/>
      </c>
      <c r="I1718" s="59"/>
      <c r="J1718" s="36"/>
    </row>
    <row r="1719" spans="1:10" x14ac:dyDescent="0.35">
      <c r="A1719" s="57" t="str">
        <f t="shared" si="1"/>
        <v/>
      </c>
      <c r="B1719" s="35"/>
      <c r="C1719" s="38"/>
      <c r="D1719" s="58" t="str">
        <f>IF(C1719="","",IFERROR(VLOOKUP(C1719,'Partner Pantries'!$A:$B,2,0),""))</f>
        <v/>
      </c>
      <c r="E1719" s="38"/>
      <c r="F1719" s="58" t="str">
        <f>IF(E1719="","",IFERROR(VLOOKUP(E1719,'Food Catalog'!$A:$B,2,0),""))</f>
        <v/>
      </c>
      <c r="G1719" s="58" t="str">
        <f>IF(E1719="","",IFERROR(VLOOKUP(E1719,'Food Catalog'!$A:$C,3,0),""))</f>
        <v/>
      </c>
      <c r="H1719" s="58" t="str">
        <f>IF(E1719="","",IFERROR(VLOOKUP(E1719,'Food Catalog'!$A:$D,4,0),""))</f>
        <v/>
      </c>
      <c r="I1719" s="59"/>
      <c r="J1719" s="36"/>
    </row>
    <row r="1720" spans="1:10" x14ac:dyDescent="0.35">
      <c r="A1720" s="57" t="str">
        <f t="shared" si="1"/>
        <v/>
      </c>
      <c r="B1720" s="35"/>
      <c r="C1720" s="38"/>
      <c r="D1720" s="58" t="str">
        <f>IF(C1720="","",IFERROR(VLOOKUP(C1720,'Partner Pantries'!$A:$B,2,0),""))</f>
        <v/>
      </c>
      <c r="E1720" s="38"/>
      <c r="F1720" s="58" t="str">
        <f>IF(E1720="","",IFERROR(VLOOKUP(E1720,'Food Catalog'!$A:$B,2,0),""))</f>
        <v/>
      </c>
      <c r="G1720" s="58" t="str">
        <f>IF(E1720="","",IFERROR(VLOOKUP(E1720,'Food Catalog'!$A:$C,3,0),""))</f>
        <v/>
      </c>
      <c r="H1720" s="58" t="str">
        <f>IF(E1720="","",IFERROR(VLOOKUP(E1720,'Food Catalog'!$A:$D,4,0),""))</f>
        <v/>
      </c>
      <c r="I1720" s="59"/>
      <c r="J1720" s="36"/>
    </row>
    <row r="1721" spans="1:10" x14ac:dyDescent="0.35">
      <c r="A1721" s="57" t="str">
        <f t="shared" si="1"/>
        <v/>
      </c>
      <c r="B1721" s="35"/>
      <c r="C1721" s="38"/>
      <c r="D1721" s="58" t="str">
        <f>IF(C1721="","",IFERROR(VLOOKUP(C1721,'Partner Pantries'!$A:$B,2,0),""))</f>
        <v/>
      </c>
      <c r="E1721" s="38"/>
      <c r="F1721" s="58" t="str">
        <f>IF(E1721="","",IFERROR(VLOOKUP(E1721,'Food Catalog'!$A:$B,2,0),""))</f>
        <v/>
      </c>
      <c r="G1721" s="58" t="str">
        <f>IF(E1721="","",IFERROR(VLOOKUP(E1721,'Food Catalog'!$A:$C,3,0),""))</f>
        <v/>
      </c>
      <c r="H1721" s="58" t="str">
        <f>IF(E1721="","",IFERROR(VLOOKUP(E1721,'Food Catalog'!$A:$D,4,0),""))</f>
        <v/>
      </c>
      <c r="I1721" s="59"/>
      <c r="J1721" s="36"/>
    </row>
    <row r="1722" spans="1:10" x14ac:dyDescent="0.35">
      <c r="A1722" s="57" t="str">
        <f t="shared" si="1"/>
        <v/>
      </c>
      <c r="B1722" s="35"/>
      <c r="C1722" s="38"/>
      <c r="D1722" s="58" t="str">
        <f>IF(C1722="","",IFERROR(VLOOKUP(C1722,'Partner Pantries'!$A:$B,2,0),""))</f>
        <v/>
      </c>
      <c r="E1722" s="38"/>
      <c r="F1722" s="58" t="str">
        <f>IF(E1722="","",IFERROR(VLOOKUP(E1722,'Food Catalog'!$A:$B,2,0),""))</f>
        <v/>
      </c>
      <c r="G1722" s="58" t="str">
        <f>IF(E1722="","",IFERROR(VLOOKUP(E1722,'Food Catalog'!$A:$C,3,0),""))</f>
        <v/>
      </c>
      <c r="H1722" s="58" t="str">
        <f>IF(E1722="","",IFERROR(VLOOKUP(E1722,'Food Catalog'!$A:$D,4,0),""))</f>
        <v/>
      </c>
      <c r="I1722" s="59"/>
      <c r="J1722" s="36"/>
    </row>
    <row r="1723" spans="1:10" x14ac:dyDescent="0.35">
      <c r="A1723" s="57" t="str">
        <f t="shared" si="1"/>
        <v/>
      </c>
      <c r="B1723" s="35"/>
      <c r="C1723" s="38"/>
      <c r="D1723" s="58" t="str">
        <f>IF(C1723="","",IFERROR(VLOOKUP(C1723,'Partner Pantries'!$A:$B,2,0),""))</f>
        <v/>
      </c>
      <c r="E1723" s="38"/>
      <c r="F1723" s="58" t="str">
        <f>IF(E1723="","",IFERROR(VLOOKUP(E1723,'Food Catalog'!$A:$B,2,0),""))</f>
        <v/>
      </c>
      <c r="G1723" s="58" t="str">
        <f>IF(E1723="","",IFERROR(VLOOKUP(E1723,'Food Catalog'!$A:$C,3,0),""))</f>
        <v/>
      </c>
      <c r="H1723" s="58" t="str">
        <f>IF(E1723="","",IFERROR(VLOOKUP(E1723,'Food Catalog'!$A:$D,4,0),""))</f>
        <v/>
      </c>
      <c r="I1723" s="59"/>
      <c r="J1723" s="36"/>
    </row>
    <row r="1724" spans="1:10" x14ac:dyDescent="0.35">
      <c r="A1724" s="57" t="str">
        <f t="shared" si="1"/>
        <v/>
      </c>
      <c r="B1724" s="35"/>
      <c r="C1724" s="38"/>
      <c r="D1724" s="58" t="str">
        <f>IF(C1724="","",IFERROR(VLOOKUP(C1724,'Partner Pantries'!$A:$B,2,0),""))</f>
        <v/>
      </c>
      <c r="E1724" s="38"/>
      <c r="F1724" s="58" t="str">
        <f>IF(E1724="","",IFERROR(VLOOKUP(E1724,'Food Catalog'!$A:$B,2,0),""))</f>
        <v/>
      </c>
      <c r="G1724" s="58" t="str">
        <f>IF(E1724="","",IFERROR(VLOOKUP(E1724,'Food Catalog'!$A:$C,3,0),""))</f>
        <v/>
      </c>
      <c r="H1724" s="58" t="str">
        <f>IF(E1724="","",IFERROR(VLOOKUP(E1724,'Food Catalog'!$A:$D,4,0),""))</f>
        <v/>
      </c>
      <c r="I1724" s="59"/>
      <c r="J1724" s="36"/>
    </row>
    <row r="1725" spans="1:10" x14ac:dyDescent="0.35">
      <c r="A1725" s="57" t="str">
        <f t="shared" si="1"/>
        <v/>
      </c>
      <c r="B1725" s="35"/>
      <c r="C1725" s="38"/>
      <c r="D1725" s="58" t="str">
        <f>IF(C1725="","",IFERROR(VLOOKUP(C1725,'Partner Pantries'!$A:$B,2,0),""))</f>
        <v/>
      </c>
      <c r="E1725" s="38"/>
      <c r="F1725" s="58" t="str">
        <f>IF(E1725="","",IFERROR(VLOOKUP(E1725,'Food Catalog'!$A:$B,2,0),""))</f>
        <v/>
      </c>
      <c r="G1725" s="58" t="str">
        <f>IF(E1725="","",IFERROR(VLOOKUP(E1725,'Food Catalog'!$A:$C,3,0),""))</f>
        <v/>
      </c>
      <c r="H1725" s="58" t="str">
        <f>IF(E1725="","",IFERROR(VLOOKUP(E1725,'Food Catalog'!$A:$D,4,0),""))</f>
        <v/>
      </c>
      <c r="I1725" s="59"/>
      <c r="J1725" s="36"/>
    </row>
    <row r="1726" spans="1:10" x14ac:dyDescent="0.35">
      <c r="A1726" s="57" t="str">
        <f t="shared" si="1"/>
        <v/>
      </c>
      <c r="B1726" s="35"/>
      <c r="C1726" s="38"/>
      <c r="D1726" s="58" t="str">
        <f>IF(C1726="","",IFERROR(VLOOKUP(C1726,'Partner Pantries'!$A:$B,2,0),""))</f>
        <v/>
      </c>
      <c r="E1726" s="38"/>
      <c r="F1726" s="58" t="str">
        <f>IF(E1726="","",IFERROR(VLOOKUP(E1726,'Food Catalog'!$A:$B,2,0),""))</f>
        <v/>
      </c>
      <c r="G1726" s="58" t="str">
        <f>IF(E1726="","",IFERROR(VLOOKUP(E1726,'Food Catalog'!$A:$C,3,0),""))</f>
        <v/>
      </c>
      <c r="H1726" s="58" t="str">
        <f>IF(E1726="","",IFERROR(VLOOKUP(E1726,'Food Catalog'!$A:$D,4,0),""))</f>
        <v/>
      </c>
      <c r="I1726" s="59"/>
      <c r="J1726" s="36"/>
    </row>
    <row r="1727" spans="1:10" x14ac:dyDescent="0.35">
      <c r="A1727" s="57" t="str">
        <f t="shared" si="1"/>
        <v/>
      </c>
      <c r="B1727" s="35"/>
      <c r="C1727" s="38"/>
      <c r="D1727" s="58" t="str">
        <f>IF(C1727="","",IFERROR(VLOOKUP(C1727,'Partner Pantries'!$A:$B,2,0),""))</f>
        <v/>
      </c>
      <c r="E1727" s="38"/>
      <c r="F1727" s="58" t="str">
        <f>IF(E1727="","",IFERROR(VLOOKUP(E1727,'Food Catalog'!$A:$B,2,0),""))</f>
        <v/>
      </c>
      <c r="G1727" s="58" t="str">
        <f>IF(E1727="","",IFERROR(VLOOKUP(E1727,'Food Catalog'!$A:$C,3,0),""))</f>
        <v/>
      </c>
      <c r="H1727" s="58" t="str">
        <f>IF(E1727="","",IFERROR(VLOOKUP(E1727,'Food Catalog'!$A:$D,4,0),""))</f>
        <v/>
      </c>
      <c r="I1727" s="59"/>
      <c r="J1727" s="36"/>
    </row>
    <row r="1728" spans="1:10" x14ac:dyDescent="0.35">
      <c r="A1728" s="57" t="str">
        <f t="shared" si="1"/>
        <v/>
      </c>
      <c r="B1728" s="35"/>
      <c r="C1728" s="38"/>
      <c r="D1728" s="58" t="str">
        <f>IF(C1728="","",IFERROR(VLOOKUP(C1728,'Partner Pantries'!$A:$B,2,0),""))</f>
        <v/>
      </c>
      <c r="E1728" s="38"/>
      <c r="F1728" s="58" t="str">
        <f>IF(E1728="","",IFERROR(VLOOKUP(E1728,'Food Catalog'!$A:$B,2,0),""))</f>
        <v/>
      </c>
      <c r="G1728" s="58" t="str">
        <f>IF(E1728="","",IFERROR(VLOOKUP(E1728,'Food Catalog'!$A:$C,3,0),""))</f>
        <v/>
      </c>
      <c r="H1728" s="58" t="str">
        <f>IF(E1728="","",IFERROR(VLOOKUP(E1728,'Food Catalog'!$A:$D,4,0),""))</f>
        <v/>
      </c>
      <c r="I1728" s="59"/>
      <c r="J1728" s="36"/>
    </row>
    <row r="1729" spans="1:10" x14ac:dyDescent="0.35">
      <c r="A1729" s="57" t="str">
        <f t="shared" si="1"/>
        <v/>
      </c>
      <c r="B1729" s="35"/>
      <c r="C1729" s="38"/>
      <c r="D1729" s="58" t="str">
        <f>IF(C1729="","",IFERROR(VLOOKUP(C1729,'Partner Pantries'!$A:$B,2,0),""))</f>
        <v/>
      </c>
      <c r="E1729" s="38"/>
      <c r="F1729" s="58" t="str">
        <f>IF(E1729="","",IFERROR(VLOOKUP(E1729,'Food Catalog'!$A:$B,2,0),""))</f>
        <v/>
      </c>
      <c r="G1729" s="58" t="str">
        <f>IF(E1729="","",IFERROR(VLOOKUP(E1729,'Food Catalog'!$A:$C,3,0),""))</f>
        <v/>
      </c>
      <c r="H1729" s="58" t="str">
        <f>IF(E1729="","",IFERROR(VLOOKUP(E1729,'Food Catalog'!$A:$D,4,0),""))</f>
        <v/>
      </c>
      <c r="I1729" s="59"/>
      <c r="J1729" s="36"/>
    </row>
    <row r="1730" spans="1:10" x14ac:dyDescent="0.35">
      <c r="A1730" s="57" t="str">
        <f t="shared" si="1"/>
        <v/>
      </c>
      <c r="B1730" s="35"/>
      <c r="C1730" s="38"/>
      <c r="D1730" s="58" t="str">
        <f>IF(C1730="","",IFERROR(VLOOKUP(C1730,'Partner Pantries'!$A:$B,2,0),""))</f>
        <v/>
      </c>
      <c r="E1730" s="38"/>
      <c r="F1730" s="58" t="str">
        <f>IF(E1730="","",IFERROR(VLOOKUP(E1730,'Food Catalog'!$A:$B,2,0),""))</f>
        <v/>
      </c>
      <c r="G1730" s="58" t="str">
        <f>IF(E1730="","",IFERROR(VLOOKUP(E1730,'Food Catalog'!$A:$C,3,0),""))</f>
        <v/>
      </c>
      <c r="H1730" s="58" t="str">
        <f>IF(E1730="","",IFERROR(VLOOKUP(E1730,'Food Catalog'!$A:$D,4,0),""))</f>
        <v/>
      </c>
      <c r="I1730" s="59"/>
      <c r="J1730" s="36"/>
    </row>
    <row r="1731" spans="1:10" x14ac:dyDescent="0.35">
      <c r="A1731" s="57" t="str">
        <f t="shared" si="1"/>
        <v/>
      </c>
      <c r="B1731" s="35"/>
      <c r="C1731" s="38"/>
      <c r="D1731" s="58" t="str">
        <f>IF(C1731="","",IFERROR(VLOOKUP(C1731,'Partner Pantries'!$A:$B,2,0),""))</f>
        <v/>
      </c>
      <c r="E1731" s="38"/>
      <c r="F1731" s="58" t="str">
        <f>IF(E1731="","",IFERROR(VLOOKUP(E1731,'Food Catalog'!$A:$B,2,0),""))</f>
        <v/>
      </c>
      <c r="G1731" s="58" t="str">
        <f>IF(E1731="","",IFERROR(VLOOKUP(E1731,'Food Catalog'!$A:$C,3,0),""))</f>
        <v/>
      </c>
      <c r="H1731" s="58" t="str">
        <f>IF(E1731="","",IFERROR(VLOOKUP(E1731,'Food Catalog'!$A:$D,4,0),""))</f>
        <v/>
      </c>
      <c r="I1731" s="59"/>
      <c r="J1731" s="36"/>
    </row>
    <row r="1732" spans="1:10" x14ac:dyDescent="0.35">
      <c r="A1732" s="57" t="str">
        <f t="shared" si="1"/>
        <v/>
      </c>
      <c r="B1732" s="35"/>
      <c r="C1732" s="38"/>
      <c r="D1732" s="58" t="str">
        <f>IF(C1732="","",IFERROR(VLOOKUP(C1732,'Partner Pantries'!$A:$B,2,0),""))</f>
        <v/>
      </c>
      <c r="E1732" s="38"/>
      <c r="F1732" s="58" t="str">
        <f>IF(E1732="","",IFERROR(VLOOKUP(E1732,'Food Catalog'!$A:$B,2,0),""))</f>
        <v/>
      </c>
      <c r="G1732" s="58" t="str">
        <f>IF(E1732="","",IFERROR(VLOOKUP(E1732,'Food Catalog'!$A:$C,3,0),""))</f>
        <v/>
      </c>
      <c r="H1732" s="58" t="str">
        <f>IF(E1732="","",IFERROR(VLOOKUP(E1732,'Food Catalog'!$A:$D,4,0),""))</f>
        <v/>
      </c>
      <c r="I1732" s="59"/>
      <c r="J1732" s="36"/>
    </row>
    <row r="1733" spans="1:10" x14ac:dyDescent="0.35">
      <c r="A1733" s="57" t="str">
        <f t="shared" si="1"/>
        <v/>
      </c>
      <c r="B1733" s="35"/>
      <c r="C1733" s="38"/>
      <c r="D1733" s="58" t="str">
        <f>IF(C1733="","",IFERROR(VLOOKUP(C1733,'Partner Pantries'!$A:$B,2,0),""))</f>
        <v/>
      </c>
      <c r="E1733" s="38"/>
      <c r="F1733" s="58" t="str">
        <f>IF(E1733="","",IFERROR(VLOOKUP(E1733,'Food Catalog'!$A:$B,2,0),""))</f>
        <v/>
      </c>
      <c r="G1733" s="58" t="str">
        <f>IF(E1733="","",IFERROR(VLOOKUP(E1733,'Food Catalog'!$A:$C,3,0),""))</f>
        <v/>
      </c>
      <c r="H1733" s="58" t="str">
        <f>IF(E1733="","",IFERROR(VLOOKUP(E1733,'Food Catalog'!$A:$D,4,0),""))</f>
        <v/>
      </c>
      <c r="I1733" s="59"/>
      <c r="J1733" s="36"/>
    </row>
    <row r="1734" spans="1:10" x14ac:dyDescent="0.35">
      <c r="A1734" s="57" t="str">
        <f t="shared" si="1"/>
        <v/>
      </c>
      <c r="B1734" s="35"/>
      <c r="C1734" s="38"/>
      <c r="D1734" s="58" t="str">
        <f>IF(C1734="","",IFERROR(VLOOKUP(C1734,'Partner Pantries'!$A:$B,2,0),""))</f>
        <v/>
      </c>
      <c r="E1734" s="38"/>
      <c r="F1734" s="58" t="str">
        <f>IF(E1734="","",IFERROR(VLOOKUP(E1734,'Food Catalog'!$A:$B,2,0),""))</f>
        <v/>
      </c>
      <c r="G1734" s="58" t="str">
        <f>IF(E1734="","",IFERROR(VLOOKUP(E1734,'Food Catalog'!$A:$C,3,0),""))</f>
        <v/>
      </c>
      <c r="H1734" s="58" t="str">
        <f>IF(E1734="","",IFERROR(VLOOKUP(E1734,'Food Catalog'!$A:$D,4,0),""))</f>
        <v/>
      </c>
      <c r="I1734" s="59"/>
      <c r="J1734" s="36"/>
    </row>
    <row r="1735" spans="1:10" x14ac:dyDescent="0.35">
      <c r="A1735" s="57" t="str">
        <f t="shared" si="1"/>
        <v/>
      </c>
      <c r="B1735" s="35"/>
      <c r="C1735" s="38"/>
      <c r="D1735" s="58" t="str">
        <f>IF(C1735="","",IFERROR(VLOOKUP(C1735,'Partner Pantries'!$A:$B,2,0),""))</f>
        <v/>
      </c>
      <c r="E1735" s="38"/>
      <c r="F1735" s="58" t="str">
        <f>IF(E1735="","",IFERROR(VLOOKUP(E1735,'Food Catalog'!$A:$B,2,0),""))</f>
        <v/>
      </c>
      <c r="G1735" s="58" t="str">
        <f>IF(E1735="","",IFERROR(VLOOKUP(E1735,'Food Catalog'!$A:$C,3,0),""))</f>
        <v/>
      </c>
      <c r="H1735" s="58" t="str">
        <f>IF(E1735="","",IFERROR(VLOOKUP(E1735,'Food Catalog'!$A:$D,4,0),""))</f>
        <v/>
      </c>
      <c r="I1735" s="59"/>
      <c r="J1735" s="36"/>
    </row>
    <row r="1736" spans="1:10" x14ac:dyDescent="0.35">
      <c r="A1736" s="57" t="str">
        <f t="shared" si="1"/>
        <v/>
      </c>
      <c r="B1736" s="35"/>
      <c r="C1736" s="38"/>
      <c r="D1736" s="58" t="str">
        <f>IF(C1736="","",IFERROR(VLOOKUP(C1736,'Partner Pantries'!$A:$B,2,0),""))</f>
        <v/>
      </c>
      <c r="E1736" s="38"/>
      <c r="F1736" s="58" t="str">
        <f>IF(E1736="","",IFERROR(VLOOKUP(E1736,'Food Catalog'!$A:$B,2,0),""))</f>
        <v/>
      </c>
      <c r="G1736" s="58" t="str">
        <f>IF(E1736="","",IFERROR(VLOOKUP(E1736,'Food Catalog'!$A:$C,3,0),""))</f>
        <v/>
      </c>
      <c r="H1736" s="58" t="str">
        <f>IF(E1736="","",IFERROR(VLOOKUP(E1736,'Food Catalog'!$A:$D,4,0),""))</f>
        <v/>
      </c>
      <c r="I1736" s="59"/>
      <c r="J1736" s="36"/>
    </row>
    <row r="1737" spans="1:10" x14ac:dyDescent="0.35">
      <c r="A1737" s="57" t="str">
        <f t="shared" si="1"/>
        <v/>
      </c>
      <c r="B1737" s="35"/>
      <c r="C1737" s="38"/>
      <c r="D1737" s="58" t="str">
        <f>IF(C1737="","",IFERROR(VLOOKUP(C1737,'Partner Pantries'!$A:$B,2,0),""))</f>
        <v/>
      </c>
      <c r="E1737" s="38"/>
      <c r="F1737" s="58" t="str">
        <f>IF(E1737="","",IFERROR(VLOOKUP(E1737,'Food Catalog'!$A:$B,2,0),""))</f>
        <v/>
      </c>
      <c r="G1737" s="58" t="str">
        <f>IF(E1737="","",IFERROR(VLOOKUP(E1737,'Food Catalog'!$A:$C,3,0),""))</f>
        <v/>
      </c>
      <c r="H1737" s="58" t="str">
        <f>IF(E1737="","",IFERROR(VLOOKUP(E1737,'Food Catalog'!$A:$D,4,0),""))</f>
        <v/>
      </c>
      <c r="I1737" s="59"/>
      <c r="J1737" s="36"/>
    </row>
    <row r="1738" spans="1:10" x14ac:dyDescent="0.35">
      <c r="A1738" s="57" t="str">
        <f t="shared" si="1"/>
        <v/>
      </c>
      <c r="B1738" s="35"/>
      <c r="C1738" s="38"/>
      <c r="D1738" s="58" t="str">
        <f>IF(C1738="","",IFERROR(VLOOKUP(C1738,'Partner Pantries'!$A:$B,2,0),""))</f>
        <v/>
      </c>
      <c r="E1738" s="38"/>
      <c r="F1738" s="58" t="str">
        <f>IF(E1738="","",IFERROR(VLOOKUP(E1738,'Food Catalog'!$A:$B,2,0),""))</f>
        <v/>
      </c>
      <c r="G1738" s="58" t="str">
        <f>IF(E1738="","",IFERROR(VLOOKUP(E1738,'Food Catalog'!$A:$C,3,0),""))</f>
        <v/>
      </c>
      <c r="H1738" s="58" t="str">
        <f>IF(E1738="","",IFERROR(VLOOKUP(E1738,'Food Catalog'!$A:$D,4,0),""))</f>
        <v/>
      </c>
      <c r="I1738" s="59"/>
      <c r="J1738" s="36"/>
    </row>
    <row r="1739" spans="1:10" x14ac:dyDescent="0.35">
      <c r="A1739" s="57" t="str">
        <f t="shared" si="1"/>
        <v/>
      </c>
      <c r="B1739" s="35"/>
      <c r="C1739" s="38"/>
      <c r="D1739" s="58" t="str">
        <f>IF(C1739="","",IFERROR(VLOOKUP(C1739,'Partner Pantries'!$A:$B,2,0),""))</f>
        <v/>
      </c>
      <c r="E1739" s="38"/>
      <c r="F1739" s="58" t="str">
        <f>IF(E1739="","",IFERROR(VLOOKUP(E1739,'Food Catalog'!$A:$B,2,0),""))</f>
        <v/>
      </c>
      <c r="G1739" s="58" t="str">
        <f>IF(E1739="","",IFERROR(VLOOKUP(E1739,'Food Catalog'!$A:$C,3,0),""))</f>
        <v/>
      </c>
      <c r="H1739" s="58" t="str">
        <f>IF(E1739="","",IFERROR(VLOOKUP(E1739,'Food Catalog'!$A:$D,4,0),""))</f>
        <v/>
      </c>
      <c r="I1739" s="59"/>
      <c r="J1739" s="36"/>
    </row>
    <row r="1740" spans="1:10" x14ac:dyDescent="0.35">
      <c r="A1740" s="57" t="str">
        <f t="shared" si="1"/>
        <v/>
      </c>
      <c r="B1740" s="35"/>
      <c r="C1740" s="38"/>
      <c r="D1740" s="58" t="str">
        <f>IF(C1740="","",IFERROR(VLOOKUP(C1740,'Partner Pantries'!$A:$B,2,0),""))</f>
        <v/>
      </c>
      <c r="E1740" s="38"/>
      <c r="F1740" s="58" t="str">
        <f>IF(E1740="","",IFERROR(VLOOKUP(E1740,'Food Catalog'!$A:$B,2,0),""))</f>
        <v/>
      </c>
      <c r="G1740" s="58" t="str">
        <f>IF(E1740="","",IFERROR(VLOOKUP(E1740,'Food Catalog'!$A:$C,3,0),""))</f>
        <v/>
      </c>
      <c r="H1740" s="58" t="str">
        <f>IF(E1740="","",IFERROR(VLOOKUP(E1740,'Food Catalog'!$A:$D,4,0),""))</f>
        <v/>
      </c>
      <c r="I1740" s="59"/>
      <c r="J1740" s="36"/>
    </row>
    <row r="1741" spans="1:10" x14ac:dyDescent="0.35">
      <c r="A1741" s="57" t="str">
        <f t="shared" si="1"/>
        <v/>
      </c>
      <c r="B1741" s="35"/>
      <c r="C1741" s="38"/>
      <c r="D1741" s="58" t="str">
        <f>IF(C1741="","",IFERROR(VLOOKUP(C1741,'Partner Pantries'!$A:$B,2,0),""))</f>
        <v/>
      </c>
      <c r="E1741" s="38"/>
      <c r="F1741" s="58" t="str">
        <f>IF(E1741="","",IFERROR(VLOOKUP(E1741,'Food Catalog'!$A:$B,2,0),""))</f>
        <v/>
      </c>
      <c r="G1741" s="58" t="str">
        <f>IF(E1741="","",IFERROR(VLOOKUP(E1741,'Food Catalog'!$A:$C,3,0),""))</f>
        <v/>
      </c>
      <c r="H1741" s="58" t="str">
        <f>IF(E1741="","",IFERROR(VLOOKUP(E1741,'Food Catalog'!$A:$D,4,0),""))</f>
        <v/>
      </c>
      <c r="I1741" s="59"/>
      <c r="J1741" s="36"/>
    </row>
    <row r="1742" spans="1:10" x14ac:dyDescent="0.35">
      <c r="A1742" s="57" t="str">
        <f t="shared" si="1"/>
        <v/>
      </c>
      <c r="B1742" s="35"/>
      <c r="C1742" s="38"/>
      <c r="D1742" s="58" t="str">
        <f>IF(C1742="","",IFERROR(VLOOKUP(C1742,'Partner Pantries'!$A:$B,2,0),""))</f>
        <v/>
      </c>
      <c r="E1742" s="38"/>
      <c r="F1742" s="58" t="str">
        <f>IF(E1742="","",IFERROR(VLOOKUP(E1742,'Food Catalog'!$A:$B,2,0),""))</f>
        <v/>
      </c>
      <c r="G1742" s="58" t="str">
        <f>IF(E1742="","",IFERROR(VLOOKUP(E1742,'Food Catalog'!$A:$C,3,0),""))</f>
        <v/>
      </c>
      <c r="H1742" s="58" t="str">
        <f>IF(E1742="","",IFERROR(VLOOKUP(E1742,'Food Catalog'!$A:$D,4,0),""))</f>
        <v/>
      </c>
      <c r="I1742" s="59"/>
      <c r="J1742" s="36"/>
    </row>
    <row r="1743" spans="1:10" x14ac:dyDescent="0.35">
      <c r="A1743" s="57" t="str">
        <f t="shared" si="1"/>
        <v/>
      </c>
      <c r="B1743" s="35"/>
      <c r="C1743" s="38"/>
      <c r="D1743" s="58" t="str">
        <f>IF(C1743="","",IFERROR(VLOOKUP(C1743,'Partner Pantries'!$A:$B,2,0),""))</f>
        <v/>
      </c>
      <c r="E1743" s="38"/>
      <c r="F1743" s="58" t="str">
        <f>IF(E1743="","",IFERROR(VLOOKUP(E1743,'Food Catalog'!$A:$B,2,0),""))</f>
        <v/>
      </c>
      <c r="G1743" s="58" t="str">
        <f>IF(E1743="","",IFERROR(VLOOKUP(E1743,'Food Catalog'!$A:$C,3,0),""))</f>
        <v/>
      </c>
      <c r="H1743" s="58" t="str">
        <f>IF(E1743="","",IFERROR(VLOOKUP(E1743,'Food Catalog'!$A:$D,4,0),""))</f>
        <v/>
      </c>
      <c r="I1743" s="59"/>
      <c r="J1743" s="36"/>
    </row>
    <row r="1744" spans="1:10" x14ac:dyDescent="0.35">
      <c r="A1744" s="57" t="str">
        <f t="shared" si="1"/>
        <v/>
      </c>
      <c r="B1744" s="35"/>
      <c r="C1744" s="38"/>
      <c r="D1744" s="58" t="str">
        <f>IF(C1744="","",IFERROR(VLOOKUP(C1744,'Partner Pantries'!$A:$B,2,0),""))</f>
        <v/>
      </c>
      <c r="E1744" s="38"/>
      <c r="F1744" s="58" t="str">
        <f>IF(E1744="","",IFERROR(VLOOKUP(E1744,'Food Catalog'!$A:$B,2,0),""))</f>
        <v/>
      </c>
      <c r="G1744" s="58" t="str">
        <f>IF(E1744="","",IFERROR(VLOOKUP(E1744,'Food Catalog'!$A:$C,3,0),""))</f>
        <v/>
      </c>
      <c r="H1744" s="58" t="str">
        <f>IF(E1744="","",IFERROR(VLOOKUP(E1744,'Food Catalog'!$A:$D,4,0),""))</f>
        <v/>
      </c>
      <c r="I1744" s="59"/>
      <c r="J1744" s="36"/>
    </row>
    <row r="1745" spans="1:10" x14ac:dyDescent="0.35">
      <c r="A1745" s="57" t="str">
        <f t="shared" si="1"/>
        <v/>
      </c>
      <c r="B1745" s="35"/>
      <c r="C1745" s="38"/>
      <c r="D1745" s="58" t="str">
        <f>IF(C1745="","",IFERROR(VLOOKUP(C1745,'Partner Pantries'!$A:$B,2,0),""))</f>
        <v/>
      </c>
      <c r="E1745" s="38"/>
      <c r="F1745" s="58" t="str">
        <f>IF(E1745="","",IFERROR(VLOOKUP(E1745,'Food Catalog'!$A:$B,2,0),""))</f>
        <v/>
      </c>
      <c r="G1745" s="58" t="str">
        <f>IF(E1745="","",IFERROR(VLOOKUP(E1745,'Food Catalog'!$A:$C,3,0),""))</f>
        <v/>
      </c>
      <c r="H1745" s="58" t="str">
        <f>IF(E1745="","",IFERROR(VLOOKUP(E1745,'Food Catalog'!$A:$D,4,0),""))</f>
        <v/>
      </c>
      <c r="I1745" s="59"/>
      <c r="J1745" s="36"/>
    </row>
    <row r="1746" spans="1:10" x14ac:dyDescent="0.35">
      <c r="A1746" s="57" t="str">
        <f t="shared" si="1"/>
        <v/>
      </c>
      <c r="B1746" s="35"/>
      <c r="C1746" s="38"/>
      <c r="D1746" s="58" t="str">
        <f>IF(C1746="","",IFERROR(VLOOKUP(C1746,'Partner Pantries'!$A:$B,2,0),""))</f>
        <v/>
      </c>
      <c r="E1746" s="38"/>
      <c r="F1746" s="58" t="str">
        <f>IF(E1746="","",IFERROR(VLOOKUP(E1746,'Food Catalog'!$A:$B,2,0),""))</f>
        <v/>
      </c>
      <c r="G1746" s="58" t="str">
        <f>IF(E1746="","",IFERROR(VLOOKUP(E1746,'Food Catalog'!$A:$C,3,0),""))</f>
        <v/>
      </c>
      <c r="H1746" s="58" t="str">
        <f>IF(E1746="","",IFERROR(VLOOKUP(E1746,'Food Catalog'!$A:$D,4,0),""))</f>
        <v/>
      </c>
      <c r="I1746" s="59"/>
      <c r="J1746" s="36"/>
    </row>
    <row r="1747" spans="1:10" x14ac:dyDescent="0.35">
      <c r="A1747" s="57" t="str">
        <f t="shared" si="1"/>
        <v/>
      </c>
      <c r="B1747" s="35"/>
      <c r="C1747" s="38"/>
      <c r="D1747" s="58" t="str">
        <f>IF(C1747="","",IFERROR(VLOOKUP(C1747,'Partner Pantries'!$A:$B,2,0),""))</f>
        <v/>
      </c>
      <c r="E1747" s="38"/>
      <c r="F1747" s="58" t="str">
        <f>IF(E1747="","",IFERROR(VLOOKUP(E1747,'Food Catalog'!$A:$B,2,0),""))</f>
        <v/>
      </c>
      <c r="G1747" s="58" t="str">
        <f>IF(E1747="","",IFERROR(VLOOKUP(E1747,'Food Catalog'!$A:$C,3,0),""))</f>
        <v/>
      </c>
      <c r="H1747" s="58" t="str">
        <f>IF(E1747="","",IFERROR(VLOOKUP(E1747,'Food Catalog'!$A:$D,4,0),""))</f>
        <v/>
      </c>
      <c r="I1747" s="59"/>
      <c r="J1747" s="36"/>
    </row>
    <row r="1748" spans="1:10" x14ac:dyDescent="0.35">
      <c r="A1748" s="57" t="str">
        <f t="shared" ref="A1748:A1779" si="2">IF(I1748="","",TEXT(ROW()-1682,"DIST-0000"))</f>
        <v/>
      </c>
      <c r="B1748" s="35"/>
      <c r="C1748" s="38"/>
      <c r="D1748" s="58" t="str">
        <f>IF(C1748="","",IFERROR(VLOOKUP(C1748,'Partner Pantries'!$A:$B,2,0),""))</f>
        <v/>
      </c>
      <c r="E1748" s="38"/>
      <c r="F1748" s="58" t="str">
        <f>IF(E1748="","",IFERROR(VLOOKUP(E1748,'Food Catalog'!$A:$B,2,0),""))</f>
        <v/>
      </c>
      <c r="G1748" s="58" t="str">
        <f>IF(E1748="","",IFERROR(VLOOKUP(E1748,'Food Catalog'!$A:$C,3,0),""))</f>
        <v/>
      </c>
      <c r="H1748" s="58" t="str">
        <f>IF(E1748="","",IFERROR(VLOOKUP(E1748,'Food Catalog'!$A:$D,4,0),""))</f>
        <v/>
      </c>
      <c r="I1748" s="59"/>
      <c r="J1748" s="36"/>
    </row>
    <row r="1749" spans="1:10" x14ac:dyDescent="0.35">
      <c r="A1749" s="57" t="str">
        <f t="shared" si="2"/>
        <v/>
      </c>
      <c r="B1749" s="35"/>
      <c r="C1749" s="38"/>
      <c r="D1749" s="58" t="str">
        <f>IF(C1749="","",IFERROR(VLOOKUP(C1749,'Partner Pantries'!$A:$B,2,0),""))</f>
        <v/>
      </c>
      <c r="E1749" s="38"/>
      <c r="F1749" s="58" t="str">
        <f>IF(E1749="","",IFERROR(VLOOKUP(E1749,'Food Catalog'!$A:$B,2,0),""))</f>
        <v/>
      </c>
      <c r="G1749" s="58" t="str">
        <f>IF(E1749="","",IFERROR(VLOOKUP(E1749,'Food Catalog'!$A:$C,3,0),""))</f>
        <v/>
      </c>
      <c r="H1749" s="58" t="str">
        <f>IF(E1749="","",IFERROR(VLOOKUP(E1749,'Food Catalog'!$A:$D,4,0),""))</f>
        <v/>
      </c>
      <c r="I1749" s="59"/>
      <c r="J1749" s="36"/>
    </row>
    <row r="1750" spans="1:10" x14ac:dyDescent="0.35">
      <c r="A1750" s="57" t="str">
        <f t="shared" si="2"/>
        <v/>
      </c>
      <c r="B1750" s="35"/>
      <c r="C1750" s="38"/>
      <c r="D1750" s="58" t="str">
        <f>IF(C1750="","",IFERROR(VLOOKUP(C1750,'Partner Pantries'!$A:$B,2,0),""))</f>
        <v/>
      </c>
      <c r="E1750" s="38"/>
      <c r="F1750" s="58" t="str">
        <f>IF(E1750="","",IFERROR(VLOOKUP(E1750,'Food Catalog'!$A:$B,2,0),""))</f>
        <v/>
      </c>
      <c r="G1750" s="58" t="str">
        <f>IF(E1750="","",IFERROR(VLOOKUP(E1750,'Food Catalog'!$A:$C,3,0),""))</f>
        <v/>
      </c>
      <c r="H1750" s="58" t="str">
        <f>IF(E1750="","",IFERROR(VLOOKUP(E1750,'Food Catalog'!$A:$D,4,0),""))</f>
        <v/>
      </c>
      <c r="I1750" s="59"/>
      <c r="J1750" s="36"/>
    </row>
    <row r="1751" spans="1:10" x14ac:dyDescent="0.35">
      <c r="A1751" s="57" t="str">
        <f t="shared" si="2"/>
        <v/>
      </c>
      <c r="B1751" s="35"/>
      <c r="C1751" s="38"/>
      <c r="D1751" s="58" t="str">
        <f>IF(C1751="","",IFERROR(VLOOKUP(C1751,'Partner Pantries'!$A:$B,2,0),""))</f>
        <v/>
      </c>
      <c r="E1751" s="38"/>
      <c r="F1751" s="58" t="str">
        <f>IF(E1751="","",IFERROR(VLOOKUP(E1751,'Food Catalog'!$A:$B,2,0),""))</f>
        <v/>
      </c>
      <c r="G1751" s="58" t="str">
        <f>IF(E1751="","",IFERROR(VLOOKUP(E1751,'Food Catalog'!$A:$C,3,0),""))</f>
        <v/>
      </c>
      <c r="H1751" s="58" t="str">
        <f>IF(E1751="","",IFERROR(VLOOKUP(E1751,'Food Catalog'!$A:$D,4,0),""))</f>
        <v/>
      </c>
      <c r="I1751" s="59"/>
      <c r="J1751" s="36"/>
    </row>
    <row r="1752" spans="1:10" x14ac:dyDescent="0.35">
      <c r="A1752" s="57" t="str">
        <f t="shared" si="2"/>
        <v/>
      </c>
      <c r="B1752" s="35"/>
      <c r="C1752" s="38"/>
      <c r="D1752" s="58" t="str">
        <f>IF(C1752="","",IFERROR(VLOOKUP(C1752,'Partner Pantries'!$A:$B,2,0),""))</f>
        <v/>
      </c>
      <c r="E1752" s="38"/>
      <c r="F1752" s="58" t="str">
        <f>IF(E1752="","",IFERROR(VLOOKUP(E1752,'Food Catalog'!$A:$B,2,0),""))</f>
        <v/>
      </c>
      <c r="G1752" s="58" t="str">
        <f>IF(E1752="","",IFERROR(VLOOKUP(E1752,'Food Catalog'!$A:$C,3,0),""))</f>
        <v/>
      </c>
      <c r="H1752" s="58" t="str">
        <f>IF(E1752="","",IFERROR(VLOOKUP(E1752,'Food Catalog'!$A:$D,4,0),""))</f>
        <v/>
      </c>
      <c r="I1752" s="59"/>
      <c r="J1752" s="36"/>
    </row>
    <row r="1753" spans="1:10" x14ac:dyDescent="0.35">
      <c r="A1753" s="57" t="str">
        <f t="shared" si="2"/>
        <v/>
      </c>
      <c r="B1753" s="35"/>
      <c r="C1753" s="38"/>
      <c r="D1753" s="58" t="str">
        <f>IF(C1753="","",IFERROR(VLOOKUP(C1753,'Partner Pantries'!$A:$B,2,0),""))</f>
        <v/>
      </c>
      <c r="E1753" s="38"/>
      <c r="F1753" s="58" t="str">
        <f>IF(E1753="","",IFERROR(VLOOKUP(E1753,'Food Catalog'!$A:$B,2,0),""))</f>
        <v/>
      </c>
      <c r="G1753" s="58" t="str">
        <f>IF(E1753="","",IFERROR(VLOOKUP(E1753,'Food Catalog'!$A:$C,3,0),""))</f>
        <v/>
      </c>
      <c r="H1753" s="58" t="str">
        <f>IF(E1753="","",IFERROR(VLOOKUP(E1753,'Food Catalog'!$A:$D,4,0),""))</f>
        <v/>
      </c>
      <c r="I1753" s="59"/>
      <c r="J1753" s="36"/>
    </row>
    <row r="1754" spans="1:10" x14ac:dyDescent="0.35">
      <c r="A1754" s="57" t="str">
        <f t="shared" si="2"/>
        <v/>
      </c>
      <c r="B1754" s="35"/>
      <c r="C1754" s="38"/>
      <c r="D1754" s="58" t="str">
        <f>IF(C1754="","",IFERROR(VLOOKUP(C1754,'Partner Pantries'!$A:$B,2,0),""))</f>
        <v/>
      </c>
      <c r="E1754" s="38"/>
      <c r="F1754" s="58" t="str">
        <f>IF(E1754="","",IFERROR(VLOOKUP(E1754,'Food Catalog'!$A:$B,2,0),""))</f>
        <v/>
      </c>
      <c r="G1754" s="58" t="str">
        <f>IF(E1754="","",IFERROR(VLOOKUP(E1754,'Food Catalog'!$A:$C,3,0),""))</f>
        <v/>
      </c>
      <c r="H1754" s="58" t="str">
        <f>IF(E1754="","",IFERROR(VLOOKUP(E1754,'Food Catalog'!$A:$D,4,0),""))</f>
        <v/>
      </c>
      <c r="I1754" s="59"/>
      <c r="J1754" s="36"/>
    </row>
    <row r="1755" spans="1:10" x14ac:dyDescent="0.35">
      <c r="A1755" s="57" t="str">
        <f t="shared" si="2"/>
        <v/>
      </c>
      <c r="B1755" s="35"/>
      <c r="C1755" s="38"/>
      <c r="D1755" s="58" t="str">
        <f>IF(C1755="","",IFERROR(VLOOKUP(C1755,'Partner Pantries'!$A:$B,2,0),""))</f>
        <v/>
      </c>
      <c r="E1755" s="38"/>
      <c r="F1755" s="58" t="str">
        <f>IF(E1755="","",IFERROR(VLOOKUP(E1755,'Food Catalog'!$A:$B,2,0),""))</f>
        <v/>
      </c>
      <c r="G1755" s="58" t="str">
        <f>IF(E1755="","",IFERROR(VLOOKUP(E1755,'Food Catalog'!$A:$C,3,0),""))</f>
        <v/>
      </c>
      <c r="H1755" s="58" t="str">
        <f>IF(E1755="","",IFERROR(VLOOKUP(E1755,'Food Catalog'!$A:$D,4,0),""))</f>
        <v/>
      </c>
      <c r="I1755" s="59"/>
      <c r="J1755" s="36"/>
    </row>
    <row r="1756" spans="1:10" x14ac:dyDescent="0.35">
      <c r="A1756" s="57" t="str">
        <f t="shared" si="2"/>
        <v/>
      </c>
      <c r="B1756" s="35"/>
      <c r="C1756" s="38"/>
      <c r="D1756" s="58" t="str">
        <f>IF(C1756="","",IFERROR(VLOOKUP(C1756,'Partner Pantries'!$A:$B,2,0),""))</f>
        <v/>
      </c>
      <c r="E1756" s="38"/>
      <c r="F1756" s="58" t="str">
        <f>IF(E1756="","",IFERROR(VLOOKUP(E1756,'Food Catalog'!$A:$B,2,0),""))</f>
        <v/>
      </c>
      <c r="G1756" s="58" t="str">
        <f>IF(E1756="","",IFERROR(VLOOKUP(E1756,'Food Catalog'!$A:$C,3,0),""))</f>
        <v/>
      </c>
      <c r="H1756" s="58" t="str">
        <f>IF(E1756="","",IFERROR(VLOOKUP(E1756,'Food Catalog'!$A:$D,4,0),""))</f>
        <v/>
      </c>
      <c r="I1756" s="59"/>
      <c r="J1756" s="36"/>
    </row>
    <row r="1757" spans="1:10" x14ac:dyDescent="0.35">
      <c r="A1757" s="57" t="str">
        <f t="shared" si="2"/>
        <v/>
      </c>
      <c r="B1757" s="35"/>
      <c r="C1757" s="38"/>
      <c r="D1757" s="58" t="str">
        <f>IF(C1757="","",IFERROR(VLOOKUP(C1757,'Partner Pantries'!$A:$B,2,0),""))</f>
        <v/>
      </c>
      <c r="E1757" s="38"/>
      <c r="F1757" s="58" t="str">
        <f>IF(E1757="","",IFERROR(VLOOKUP(E1757,'Food Catalog'!$A:$B,2,0),""))</f>
        <v/>
      </c>
      <c r="G1757" s="58" t="str">
        <f>IF(E1757="","",IFERROR(VLOOKUP(E1757,'Food Catalog'!$A:$C,3,0),""))</f>
        <v/>
      </c>
      <c r="H1757" s="58" t="str">
        <f>IF(E1757="","",IFERROR(VLOOKUP(E1757,'Food Catalog'!$A:$D,4,0),""))</f>
        <v/>
      </c>
      <c r="I1757" s="59"/>
      <c r="J1757" s="36"/>
    </row>
    <row r="1758" spans="1:10" x14ac:dyDescent="0.35">
      <c r="A1758" s="57" t="str">
        <f t="shared" si="2"/>
        <v/>
      </c>
      <c r="B1758" s="35"/>
      <c r="C1758" s="38"/>
      <c r="D1758" s="58" t="str">
        <f>IF(C1758="","",IFERROR(VLOOKUP(C1758,'Partner Pantries'!$A:$B,2,0),""))</f>
        <v/>
      </c>
      <c r="E1758" s="38"/>
      <c r="F1758" s="58" t="str">
        <f>IF(E1758="","",IFERROR(VLOOKUP(E1758,'Food Catalog'!$A:$B,2,0),""))</f>
        <v/>
      </c>
      <c r="G1758" s="58" t="str">
        <f>IF(E1758="","",IFERROR(VLOOKUP(E1758,'Food Catalog'!$A:$C,3,0),""))</f>
        <v/>
      </c>
      <c r="H1758" s="58" t="str">
        <f>IF(E1758="","",IFERROR(VLOOKUP(E1758,'Food Catalog'!$A:$D,4,0),""))</f>
        <v/>
      </c>
      <c r="I1758" s="59"/>
      <c r="J1758" s="36"/>
    </row>
    <row r="1759" spans="1:10" x14ac:dyDescent="0.35">
      <c r="A1759" s="57" t="str">
        <f t="shared" si="2"/>
        <v/>
      </c>
      <c r="B1759" s="35"/>
      <c r="C1759" s="38"/>
      <c r="D1759" s="58" t="str">
        <f>IF(C1759="","",IFERROR(VLOOKUP(C1759,'Partner Pantries'!$A:$B,2,0),""))</f>
        <v/>
      </c>
      <c r="E1759" s="38"/>
      <c r="F1759" s="58" t="str">
        <f>IF(E1759="","",IFERROR(VLOOKUP(E1759,'Food Catalog'!$A:$B,2,0),""))</f>
        <v/>
      </c>
      <c r="G1759" s="58" t="str">
        <f>IF(E1759="","",IFERROR(VLOOKUP(E1759,'Food Catalog'!$A:$C,3,0),""))</f>
        <v/>
      </c>
      <c r="H1759" s="58" t="str">
        <f>IF(E1759="","",IFERROR(VLOOKUP(E1759,'Food Catalog'!$A:$D,4,0),""))</f>
        <v/>
      </c>
      <c r="I1759" s="59"/>
      <c r="J1759" s="36"/>
    </row>
    <row r="1760" spans="1:10" x14ac:dyDescent="0.35">
      <c r="A1760" s="57" t="str">
        <f t="shared" si="2"/>
        <v/>
      </c>
      <c r="B1760" s="35"/>
      <c r="C1760" s="38"/>
      <c r="D1760" s="58" t="str">
        <f>IF(C1760="","",IFERROR(VLOOKUP(C1760,'Partner Pantries'!$A:$B,2,0),""))</f>
        <v/>
      </c>
      <c r="E1760" s="38"/>
      <c r="F1760" s="58" t="str">
        <f>IF(E1760="","",IFERROR(VLOOKUP(E1760,'Food Catalog'!$A:$B,2,0),""))</f>
        <v/>
      </c>
      <c r="G1760" s="58" t="str">
        <f>IF(E1760="","",IFERROR(VLOOKUP(E1760,'Food Catalog'!$A:$C,3,0),""))</f>
        <v/>
      </c>
      <c r="H1760" s="58" t="str">
        <f>IF(E1760="","",IFERROR(VLOOKUP(E1760,'Food Catalog'!$A:$D,4,0),""))</f>
        <v/>
      </c>
      <c r="I1760" s="59"/>
      <c r="J1760" s="36"/>
    </row>
    <row r="1761" spans="1:10" x14ac:dyDescent="0.35">
      <c r="A1761" s="57" t="str">
        <f t="shared" si="2"/>
        <v/>
      </c>
      <c r="B1761" s="35"/>
      <c r="C1761" s="38"/>
      <c r="D1761" s="58" t="str">
        <f>IF(C1761="","",IFERROR(VLOOKUP(C1761,'Partner Pantries'!$A:$B,2,0),""))</f>
        <v/>
      </c>
      <c r="E1761" s="38"/>
      <c r="F1761" s="58" t="str">
        <f>IF(E1761="","",IFERROR(VLOOKUP(E1761,'Food Catalog'!$A:$B,2,0),""))</f>
        <v/>
      </c>
      <c r="G1761" s="58" t="str">
        <f>IF(E1761="","",IFERROR(VLOOKUP(E1761,'Food Catalog'!$A:$C,3,0),""))</f>
        <v/>
      </c>
      <c r="H1761" s="58" t="str">
        <f>IF(E1761="","",IFERROR(VLOOKUP(E1761,'Food Catalog'!$A:$D,4,0),""))</f>
        <v/>
      </c>
      <c r="I1761" s="59"/>
      <c r="J1761" s="36"/>
    </row>
    <row r="1762" spans="1:10" x14ac:dyDescent="0.35">
      <c r="A1762" s="57" t="str">
        <f t="shared" si="2"/>
        <v/>
      </c>
      <c r="B1762" s="35"/>
      <c r="C1762" s="38"/>
      <c r="D1762" s="58" t="str">
        <f>IF(C1762="","",IFERROR(VLOOKUP(C1762,'Partner Pantries'!$A:$B,2,0),""))</f>
        <v/>
      </c>
      <c r="E1762" s="38"/>
      <c r="F1762" s="58" t="str">
        <f>IF(E1762="","",IFERROR(VLOOKUP(E1762,'Food Catalog'!$A:$B,2,0),""))</f>
        <v/>
      </c>
      <c r="G1762" s="58" t="str">
        <f>IF(E1762="","",IFERROR(VLOOKUP(E1762,'Food Catalog'!$A:$C,3,0),""))</f>
        <v/>
      </c>
      <c r="H1762" s="58" t="str">
        <f>IF(E1762="","",IFERROR(VLOOKUP(E1762,'Food Catalog'!$A:$D,4,0),""))</f>
        <v/>
      </c>
      <c r="I1762" s="59"/>
      <c r="J1762" s="36"/>
    </row>
    <row r="1763" spans="1:10" x14ac:dyDescent="0.35">
      <c r="A1763" s="57" t="str">
        <f t="shared" si="2"/>
        <v/>
      </c>
      <c r="B1763" s="35"/>
      <c r="C1763" s="38"/>
      <c r="D1763" s="58" t="str">
        <f>IF(C1763="","",IFERROR(VLOOKUP(C1763,'Partner Pantries'!$A:$B,2,0),""))</f>
        <v/>
      </c>
      <c r="E1763" s="38"/>
      <c r="F1763" s="58" t="str">
        <f>IF(E1763="","",IFERROR(VLOOKUP(E1763,'Food Catalog'!$A:$B,2,0),""))</f>
        <v/>
      </c>
      <c r="G1763" s="58" t="str">
        <f>IF(E1763="","",IFERROR(VLOOKUP(E1763,'Food Catalog'!$A:$C,3,0),""))</f>
        <v/>
      </c>
      <c r="H1763" s="58" t="str">
        <f>IF(E1763="","",IFERROR(VLOOKUP(E1763,'Food Catalog'!$A:$D,4,0),""))</f>
        <v/>
      </c>
      <c r="I1763" s="59"/>
      <c r="J1763" s="36"/>
    </row>
    <row r="1764" spans="1:10" x14ac:dyDescent="0.35">
      <c r="A1764" s="57" t="str">
        <f t="shared" si="2"/>
        <v/>
      </c>
      <c r="B1764" s="35"/>
      <c r="C1764" s="38"/>
      <c r="D1764" s="58" t="str">
        <f>IF(C1764="","",IFERROR(VLOOKUP(C1764,'Partner Pantries'!$A:$B,2,0),""))</f>
        <v/>
      </c>
      <c r="E1764" s="38"/>
      <c r="F1764" s="58" t="str">
        <f>IF(E1764="","",IFERROR(VLOOKUP(E1764,'Food Catalog'!$A:$B,2,0),""))</f>
        <v/>
      </c>
      <c r="G1764" s="58" t="str">
        <f>IF(E1764="","",IFERROR(VLOOKUP(E1764,'Food Catalog'!$A:$C,3,0),""))</f>
        <v/>
      </c>
      <c r="H1764" s="58" t="str">
        <f>IF(E1764="","",IFERROR(VLOOKUP(E1764,'Food Catalog'!$A:$D,4,0),""))</f>
        <v/>
      </c>
      <c r="I1764" s="59"/>
      <c r="J1764" s="36"/>
    </row>
    <row r="1765" spans="1:10" x14ac:dyDescent="0.35">
      <c r="A1765" s="57" t="str">
        <f t="shared" si="2"/>
        <v/>
      </c>
      <c r="B1765" s="35"/>
      <c r="C1765" s="38"/>
      <c r="D1765" s="58" t="str">
        <f>IF(C1765="","",IFERROR(VLOOKUP(C1765,'Partner Pantries'!$A:$B,2,0),""))</f>
        <v/>
      </c>
      <c r="E1765" s="38"/>
      <c r="F1765" s="58" t="str">
        <f>IF(E1765="","",IFERROR(VLOOKUP(E1765,'Food Catalog'!$A:$B,2,0),""))</f>
        <v/>
      </c>
      <c r="G1765" s="58" t="str">
        <f>IF(E1765="","",IFERROR(VLOOKUP(E1765,'Food Catalog'!$A:$C,3,0),""))</f>
        <v/>
      </c>
      <c r="H1765" s="58" t="str">
        <f>IF(E1765="","",IFERROR(VLOOKUP(E1765,'Food Catalog'!$A:$D,4,0),""))</f>
        <v/>
      </c>
      <c r="I1765" s="59"/>
      <c r="J1765" s="36"/>
    </row>
    <row r="1766" spans="1:10" x14ac:dyDescent="0.35">
      <c r="A1766" s="57" t="str">
        <f t="shared" si="2"/>
        <v/>
      </c>
      <c r="B1766" s="35"/>
      <c r="C1766" s="38"/>
      <c r="D1766" s="58" t="str">
        <f>IF(C1766="","",IFERROR(VLOOKUP(C1766,'Partner Pantries'!$A:$B,2,0),""))</f>
        <v/>
      </c>
      <c r="E1766" s="38"/>
      <c r="F1766" s="58" t="str">
        <f>IF(E1766="","",IFERROR(VLOOKUP(E1766,'Food Catalog'!$A:$B,2,0),""))</f>
        <v/>
      </c>
      <c r="G1766" s="58" t="str">
        <f>IF(E1766="","",IFERROR(VLOOKUP(E1766,'Food Catalog'!$A:$C,3,0),""))</f>
        <v/>
      </c>
      <c r="H1766" s="58" t="str">
        <f>IF(E1766="","",IFERROR(VLOOKUP(E1766,'Food Catalog'!$A:$D,4,0),""))</f>
        <v/>
      </c>
      <c r="I1766" s="59"/>
      <c r="J1766" s="36"/>
    </row>
    <row r="1767" spans="1:10" x14ac:dyDescent="0.35">
      <c r="A1767" s="57" t="str">
        <f t="shared" si="2"/>
        <v/>
      </c>
      <c r="B1767" s="35"/>
      <c r="C1767" s="38"/>
      <c r="D1767" s="58" t="str">
        <f>IF(C1767="","",IFERROR(VLOOKUP(C1767,'Partner Pantries'!$A:$B,2,0),""))</f>
        <v/>
      </c>
      <c r="E1767" s="38"/>
      <c r="F1767" s="58" t="str">
        <f>IF(E1767="","",IFERROR(VLOOKUP(E1767,'Food Catalog'!$A:$B,2,0),""))</f>
        <v/>
      </c>
      <c r="G1767" s="58" t="str">
        <f>IF(E1767="","",IFERROR(VLOOKUP(E1767,'Food Catalog'!$A:$C,3,0),""))</f>
        <v/>
      </c>
      <c r="H1767" s="58" t="str">
        <f>IF(E1767="","",IFERROR(VLOOKUP(E1767,'Food Catalog'!$A:$D,4,0),""))</f>
        <v/>
      </c>
      <c r="I1767" s="59"/>
      <c r="J1767" s="36"/>
    </row>
    <row r="1768" spans="1:10" x14ac:dyDescent="0.35">
      <c r="A1768" s="57" t="str">
        <f t="shared" si="2"/>
        <v/>
      </c>
      <c r="B1768" s="35"/>
      <c r="C1768" s="38"/>
      <c r="D1768" s="58" t="str">
        <f>IF(C1768="","",IFERROR(VLOOKUP(C1768,'Partner Pantries'!$A:$B,2,0),""))</f>
        <v/>
      </c>
      <c r="E1768" s="38"/>
      <c r="F1768" s="58" t="str">
        <f>IF(E1768="","",IFERROR(VLOOKUP(E1768,'Food Catalog'!$A:$B,2,0),""))</f>
        <v/>
      </c>
      <c r="G1768" s="58" t="str">
        <f>IF(E1768="","",IFERROR(VLOOKUP(E1768,'Food Catalog'!$A:$C,3,0),""))</f>
        <v/>
      </c>
      <c r="H1768" s="58" t="str">
        <f>IF(E1768="","",IFERROR(VLOOKUP(E1768,'Food Catalog'!$A:$D,4,0),""))</f>
        <v/>
      </c>
      <c r="I1768" s="59"/>
      <c r="J1768" s="36"/>
    </row>
    <row r="1769" spans="1:10" x14ac:dyDescent="0.35">
      <c r="A1769" s="57" t="str">
        <f t="shared" si="2"/>
        <v/>
      </c>
      <c r="B1769" s="35"/>
      <c r="C1769" s="38"/>
      <c r="D1769" s="58" t="str">
        <f>IF(C1769="","",IFERROR(VLOOKUP(C1769,'Partner Pantries'!$A:$B,2,0),""))</f>
        <v/>
      </c>
      <c r="E1769" s="38"/>
      <c r="F1769" s="58" t="str">
        <f>IF(E1769="","",IFERROR(VLOOKUP(E1769,'Food Catalog'!$A:$B,2,0),""))</f>
        <v/>
      </c>
      <c r="G1769" s="58" t="str">
        <f>IF(E1769="","",IFERROR(VLOOKUP(E1769,'Food Catalog'!$A:$C,3,0),""))</f>
        <v/>
      </c>
      <c r="H1769" s="58" t="str">
        <f>IF(E1769="","",IFERROR(VLOOKUP(E1769,'Food Catalog'!$A:$D,4,0),""))</f>
        <v/>
      </c>
      <c r="I1769" s="59"/>
      <c r="J1769" s="36"/>
    </row>
    <row r="1770" spans="1:10" x14ac:dyDescent="0.35">
      <c r="A1770" s="57" t="str">
        <f t="shared" si="2"/>
        <v/>
      </c>
      <c r="B1770" s="35"/>
      <c r="C1770" s="38"/>
      <c r="D1770" s="58" t="str">
        <f>IF(C1770="","",IFERROR(VLOOKUP(C1770,'Partner Pantries'!$A:$B,2,0),""))</f>
        <v/>
      </c>
      <c r="E1770" s="38"/>
      <c r="F1770" s="58" t="str">
        <f>IF(E1770="","",IFERROR(VLOOKUP(E1770,'Food Catalog'!$A:$B,2,0),""))</f>
        <v/>
      </c>
      <c r="G1770" s="58" t="str">
        <f>IF(E1770="","",IFERROR(VLOOKUP(E1770,'Food Catalog'!$A:$C,3,0),""))</f>
        <v/>
      </c>
      <c r="H1770" s="58" t="str">
        <f>IF(E1770="","",IFERROR(VLOOKUP(E1770,'Food Catalog'!$A:$D,4,0),""))</f>
        <v/>
      </c>
      <c r="I1770" s="59"/>
      <c r="J1770" s="36"/>
    </row>
    <row r="1771" spans="1:10" x14ac:dyDescent="0.35">
      <c r="A1771" s="57" t="str">
        <f t="shared" si="2"/>
        <v/>
      </c>
      <c r="B1771" s="35"/>
      <c r="C1771" s="38"/>
      <c r="D1771" s="58" t="str">
        <f>IF(C1771="","",IFERROR(VLOOKUP(C1771,'Partner Pantries'!$A:$B,2,0),""))</f>
        <v/>
      </c>
      <c r="E1771" s="38"/>
      <c r="F1771" s="58" t="str">
        <f>IF(E1771="","",IFERROR(VLOOKUP(E1771,'Food Catalog'!$A:$B,2,0),""))</f>
        <v/>
      </c>
      <c r="G1771" s="58" t="str">
        <f>IF(E1771="","",IFERROR(VLOOKUP(E1771,'Food Catalog'!$A:$C,3,0),""))</f>
        <v/>
      </c>
      <c r="H1771" s="58" t="str">
        <f>IF(E1771="","",IFERROR(VLOOKUP(E1771,'Food Catalog'!$A:$D,4,0),""))</f>
        <v/>
      </c>
      <c r="I1771" s="59"/>
      <c r="J1771" s="36"/>
    </row>
    <row r="1772" spans="1:10" x14ac:dyDescent="0.35">
      <c r="A1772" s="57" t="str">
        <f t="shared" si="2"/>
        <v/>
      </c>
      <c r="B1772" s="35"/>
      <c r="C1772" s="38"/>
      <c r="D1772" s="58" t="str">
        <f>IF(C1772="","",IFERROR(VLOOKUP(C1772,'Partner Pantries'!$A:$B,2,0),""))</f>
        <v/>
      </c>
      <c r="E1772" s="38"/>
      <c r="F1772" s="58" t="str">
        <f>IF(E1772="","",IFERROR(VLOOKUP(E1772,'Food Catalog'!$A:$B,2,0),""))</f>
        <v/>
      </c>
      <c r="G1772" s="58" t="str">
        <f>IF(E1772="","",IFERROR(VLOOKUP(E1772,'Food Catalog'!$A:$C,3,0),""))</f>
        <v/>
      </c>
      <c r="H1772" s="58" t="str">
        <f>IF(E1772="","",IFERROR(VLOOKUP(E1772,'Food Catalog'!$A:$D,4,0),""))</f>
        <v/>
      </c>
      <c r="I1772" s="59"/>
      <c r="J1772" s="36"/>
    </row>
    <row r="1773" spans="1:10" x14ac:dyDescent="0.35">
      <c r="A1773" s="57" t="str">
        <f t="shared" si="2"/>
        <v/>
      </c>
      <c r="B1773" s="35"/>
      <c r="C1773" s="38"/>
      <c r="D1773" s="58" t="str">
        <f>IF(C1773="","",IFERROR(VLOOKUP(C1773,'Partner Pantries'!$A:$B,2,0),""))</f>
        <v/>
      </c>
      <c r="E1773" s="38"/>
      <c r="F1773" s="58" t="str">
        <f>IF(E1773="","",IFERROR(VLOOKUP(E1773,'Food Catalog'!$A:$B,2,0),""))</f>
        <v/>
      </c>
      <c r="G1773" s="58" t="str">
        <f>IF(E1773="","",IFERROR(VLOOKUP(E1773,'Food Catalog'!$A:$C,3,0),""))</f>
        <v/>
      </c>
      <c r="H1773" s="58" t="str">
        <f>IF(E1773="","",IFERROR(VLOOKUP(E1773,'Food Catalog'!$A:$D,4,0),""))</f>
        <v/>
      </c>
      <c r="I1773" s="59"/>
      <c r="J1773" s="36"/>
    </row>
    <row r="1774" spans="1:10" x14ac:dyDescent="0.35">
      <c r="A1774" s="57" t="str">
        <f t="shared" si="2"/>
        <v/>
      </c>
      <c r="B1774" s="35"/>
      <c r="C1774" s="38"/>
      <c r="D1774" s="58" t="str">
        <f>IF(C1774="","",IFERROR(VLOOKUP(C1774,'Partner Pantries'!$A:$B,2,0),""))</f>
        <v/>
      </c>
      <c r="E1774" s="38"/>
      <c r="F1774" s="58" t="str">
        <f>IF(E1774="","",IFERROR(VLOOKUP(E1774,'Food Catalog'!$A:$B,2,0),""))</f>
        <v/>
      </c>
      <c r="G1774" s="58" t="str">
        <f>IF(E1774="","",IFERROR(VLOOKUP(E1774,'Food Catalog'!$A:$C,3,0),""))</f>
        <v/>
      </c>
      <c r="H1774" s="58" t="str">
        <f>IF(E1774="","",IFERROR(VLOOKUP(E1774,'Food Catalog'!$A:$D,4,0),""))</f>
        <v/>
      </c>
      <c r="I1774" s="59"/>
      <c r="J1774" s="36"/>
    </row>
    <row r="1775" spans="1:10" x14ac:dyDescent="0.35">
      <c r="A1775" s="57" t="str">
        <f t="shared" si="2"/>
        <v/>
      </c>
      <c r="B1775" s="35"/>
      <c r="C1775" s="38"/>
      <c r="D1775" s="58" t="str">
        <f>IF(C1775="","",IFERROR(VLOOKUP(C1775,'Partner Pantries'!$A:$B,2,0),""))</f>
        <v/>
      </c>
      <c r="E1775" s="38"/>
      <c r="F1775" s="58" t="str">
        <f>IF(E1775="","",IFERROR(VLOOKUP(E1775,'Food Catalog'!$A:$B,2,0),""))</f>
        <v/>
      </c>
      <c r="G1775" s="58" t="str">
        <f>IF(E1775="","",IFERROR(VLOOKUP(E1775,'Food Catalog'!$A:$C,3,0),""))</f>
        <v/>
      </c>
      <c r="H1775" s="58" t="str">
        <f>IF(E1775="","",IFERROR(VLOOKUP(E1775,'Food Catalog'!$A:$D,4,0),""))</f>
        <v/>
      </c>
      <c r="I1775" s="59"/>
      <c r="J1775" s="36"/>
    </row>
    <row r="1776" spans="1:10" x14ac:dyDescent="0.35">
      <c r="A1776" s="57" t="str">
        <f t="shared" si="2"/>
        <v/>
      </c>
      <c r="B1776" s="35"/>
      <c r="C1776" s="38"/>
      <c r="D1776" s="58" t="str">
        <f>IF(C1776="","",IFERROR(VLOOKUP(C1776,'Partner Pantries'!$A:$B,2,0),""))</f>
        <v/>
      </c>
      <c r="E1776" s="38"/>
      <c r="F1776" s="58" t="str">
        <f>IF(E1776="","",IFERROR(VLOOKUP(E1776,'Food Catalog'!$A:$B,2,0),""))</f>
        <v/>
      </c>
      <c r="G1776" s="58" t="str">
        <f>IF(E1776="","",IFERROR(VLOOKUP(E1776,'Food Catalog'!$A:$C,3,0),""))</f>
        <v/>
      </c>
      <c r="H1776" s="58" t="str">
        <f>IF(E1776="","",IFERROR(VLOOKUP(E1776,'Food Catalog'!$A:$D,4,0),""))</f>
        <v/>
      </c>
      <c r="I1776" s="59"/>
      <c r="J1776" s="36"/>
    </row>
    <row r="1777" spans="1:10" x14ac:dyDescent="0.35">
      <c r="A1777" s="57" t="str">
        <f t="shared" si="2"/>
        <v/>
      </c>
      <c r="B1777" s="35"/>
      <c r="C1777" s="38"/>
      <c r="D1777" s="58" t="str">
        <f>IF(C1777="","",IFERROR(VLOOKUP(C1777,'Partner Pantries'!$A:$B,2,0),""))</f>
        <v/>
      </c>
      <c r="E1777" s="38"/>
      <c r="F1777" s="58" t="str">
        <f>IF(E1777="","",IFERROR(VLOOKUP(E1777,'Food Catalog'!$A:$B,2,0),""))</f>
        <v/>
      </c>
      <c r="G1777" s="58" t="str">
        <f>IF(E1777="","",IFERROR(VLOOKUP(E1777,'Food Catalog'!$A:$C,3,0),""))</f>
        <v/>
      </c>
      <c r="H1777" s="58" t="str">
        <f>IF(E1777="","",IFERROR(VLOOKUP(E1777,'Food Catalog'!$A:$D,4,0),""))</f>
        <v/>
      </c>
      <c r="I1777" s="59"/>
      <c r="J1777" s="36"/>
    </row>
    <row r="1778" spans="1:10" x14ac:dyDescent="0.35">
      <c r="A1778" s="57" t="str">
        <f t="shared" si="2"/>
        <v/>
      </c>
      <c r="B1778" s="35"/>
      <c r="C1778" s="38"/>
      <c r="D1778" s="58" t="str">
        <f>IF(C1778="","",IFERROR(VLOOKUP(C1778,'Partner Pantries'!$A:$B,2,0),""))</f>
        <v/>
      </c>
      <c r="E1778" s="38"/>
      <c r="F1778" s="58" t="str">
        <f>IF(E1778="","",IFERROR(VLOOKUP(E1778,'Food Catalog'!$A:$B,2,0),""))</f>
        <v/>
      </c>
      <c r="G1778" s="58" t="str">
        <f>IF(E1778="","",IFERROR(VLOOKUP(E1778,'Food Catalog'!$A:$C,3,0),""))</f>
        <v/>
      </c>
      <c r="H1778" s="58" t="str">
        <f>IF(E1778="","",IFERROR(VLOOKUP(E1778,'Food Catalog'!$A:$D,4,0),""))</f>
        <v/>
      </c>
      <c r="I1778" s="59"/>
      <c r="J1778" s="36"/>
    </row>
    <row r="1779" spans="1:10" x14ac:dyDescent="0.35">
      <c r="A1779" s="57" t="str">
        <f t="shared" si="2"/>
        <v/>
      </c>
      <c r="B1779" s="35"/>
      <c r="C1779" s="38"/>
      <c r="D1779" s="58" t="str">
        <f>IF(C1779="","",IFERROR(VLOOKUP(C1779,'Partner Pantries'!$A:$B,2,0),""))</f>
        <v/>
      </c>
      <c r="E1779" s="38"/>
      <c r="F1779" s="58" t="str">
        <f>IF(E1779="","",IFERROR(VLOOKUP(E1779,'Food Catalog'!$A:$B,2,0),""))</f>
        <v/>
      </c>
      <c r="G1779" s="58" t="str">
        <f>IF(E1779="","",IFERROR(VLOOKUP(E1779,'Food Catalog'!$A:$C,3,0),""))</f>
        <v/>
      </c>
      <c r="H1779" s="58" t="str">
        <f>IF(E1779="","",IFERROR(VLOOKUP(E1779,'Food Catalog'!$A:$D,4,0),""))</f>
        <v/>
      </c>
      <c r="I1779" s="59"/>
      <c r="J1779" s="36"/>
    </row>
    <row r="1780" spans="1:10" x14ac:dyDescent="0.35">
      <c r="A1780" s="57" t="str">
        <f t="shared" ref="A1780:A1811" si="3">IF(I1780="","",TEXT(ROW()-1682,"DIST-0000"))</f>
        <v/>
      </c>
      <c r="B1780" s="35"/>
      <c r="C1780" s="38"/>
      <c r="D1780" s="58" t="str">
        <f>IF(C1780="","",IFERROR(VLOOKUP(C1780,'Partner Pantries'!$A:$B,2,0),""))</f>
        <v/>
      </c>
      <c r="E1780" s="38"/>
      <c r="F1780" s="58" t="str">
        <f>IF(E1780="","",IFERROR(VLOOKUP(E1780,'Food Catalog'!$A:$B,2,0),""))</f>
        <v/>
      </c>
      <c r="G1780" s="58" t="str">
        <f>IF(E1780="","",IFERROR(VLOOKUP(E1780,'Food Catalog'!$A:$C,3,0),""))</f>
        <v/>
      </c>
      <c r="H1780" s="58" t="str">
        <f>IF(E1780="","",IFERROR(VLOOKUP(E1780,'Food Catalog'!$A:$D,4,0),""))</f>
        <v/>
      </c>
      <c r="I1780" s="59"/>
      <c r="J1780" s="36"/>
    </row>
    <row r="1781" spans="1:10" x14ac:dyDescent="0.35">
      <c r="A1781" s="57" t="str">
        <f t="shared" si="3"/>
        <v/>
      </c>
      <c r="B1781" s="35"/>
      <c r="C1781" s="38"/>
      <c r="D1781" s="58" t="str">
        <f>IF(C1781="","",IFERROR(VLOOKUP(C1781,'Partner Pantries'!$A:$B,2,0),""))</f>
        <v/>
      </c>
      <c r="E1781" s="38"/>
      <c r="F1781" s="58" t="str">
        <f>IF(E1781="","",IFERROR(VLOOKUP(E1781,'Food Catalog'!$A:$B,2,0),""))</f>
        <v/>
      </c>
      <c r="G1781" s="58" t="str">
        <f>IF(E1781="","",IFERROR(VLOOKUP(E1781,'Food Catalog'!$A:$C,3,0),""))</f>
        <v/>
      </c>
      <c r="H1781" s="58" t="str">
        <f>IF(E1781="","",IFERROR(VLOOKUP(E1781,'Food Catalog'!$A:$D,4,0),""))</f>
        <v/>
      </c>
      <c r="I1781" s="59"/>
      <c r="J1781" s="36"/>
    </row>
    <row r="1782" spans="1:10" x14ac:dyDescent="0.35">
      <c r="A1782" s="57" t="str">
        <f t="shared" si="3"/>
        <v/>
      </c>
      <c r="B1782" s="35"/>
      <c r="C1782" s="38"/>
      <c r="D1782" s="58" t="str">
        <f>IF(C1782="","",IFERROR(VLOOKUP(C1782,'Partner Pantries'!$A:$B,2,0),""))</f>
        <v/>
      </c>
      <c r="E1782" s="38"/>
      <c r="F1782" s="58" t="str">
        <f>IF(E1782="","",IFERROR(VLOOKUP(E1782,'Food Catalog'!$A:$B,2,0),""))</f>
        <v/>
      </c>
      <c r="G1782" s="58" t="str">
        <f>IF(E1782="","",IFERROR(VLOOKUP(E1782,'Food Catalog'!$A:$C,3,0),""))</f>
        <v/>
      </c>
      <c r="H1782" s="58" t="str">
        <f>IF(E1782="","",IFERROR(VLOOKUP(E1782,'Food Catalog'!$A:$D,4,0),""))</f>
        <v/>
      </c>
      <c r="I1782" s="59"/>
      <c r="J1782" s="36"/>
    </row>
    <row r="1783" spans="1:10" x14ac:dyDescent="0.35">
      <c r="A1783" s="57" t="str">
        <f t="shared" si="3"/>
        <v/>
      </c>
      <c r="B1783" s="35"/>
      <c r="C1783" s="38"/>
      <c r="D1783" s="58" t="str">
        <f>IF(C1783="","",IFERROR(VLOOKUP(C1783,'Partner Pantries'!$A:$B,2,0),""))</f>
        <v/>
      </c>
      <c r="E1783" s="38"/>
      <c r="F1783" s="58" t="str">
        <f>IF(E1783="","",IFERROR(VLOOKUP(E1783,'Food Catalog'!$A:$B,2,0),""))</f>
        <v/>
      </c>
      <c r="G1783" s="58" t="str">
        <f>IF(E1783="","",IFERROR(VLOOKUP(E1783,'Food Catalog'!$A:$C,3,0),""))</f>
        <v/>
      </c>
      <c r="H1783" s="58" t="str">
        <f>IF(E1783="","",IFERROR(VLOOKUP(E1783,'Food Catalog'!$A:$D,4,0),""))</f>
        <v/>
      </c>
      <c r="I1783" s="59"/>
      <c r="J1783" s="36"/>
    </row>
    <row r="1784" spans="1:10" x14ac:dyDescent="0.35">
      <c r="A1784" s="57" t="str">
        <f t="shared" si="3"/>
        <v/>
      </c>
      <c r="B1784" s="35"/>
      <c r="C1784" s="38"/>
      <c r="D1784" s="58" t="str">
        <f>IF(C1784="","",IFERROR(VLOOKUP(C1784,'Partner Pantries'!$A:$B,2,0),""))</f>
        <v/>
      </c>
      <c r="E1784" s="38"/>
      <c r="F1784" s="58" t="str">
        <f>IF(E1784="","",IFERROR(VLOOKUP(E1784,'Food Catalog'!$A:$B,2,0),""))</f>
        <v/>
      </c>
      <c r="G1784" s="58" t="str">
        <f>IF(E1784="","",IFERROR(VLOOKUP(E1784,'Food Catalog'!$A:$C,3,0),""))</f>
        <v/>
      </c>
      <c r="H1784" s="58" t="str">
        <f>IF(E1784="","",IFERROR(VLOOKUP(E1784,'Food Catalog'!$A:$D,4,0),""))</f>
        <v/>
      </c>
      <c r="I1784" s="59"/>
      <c r="J1784" s="36"/>
    </row>
    <row r="1785" spans="1:10" x14ac:dyDescent="0.35">
      <c r="A1785" s="57" t="str">
        <f t="shared" si="3"/>
        <v/>
      </c>
      <c r="B1785" s="35"/>
      <c r="C1785" s="38"/>
      <c r="D1785" s="58" t="str">
        <f>IF(C1785="","",IFERROR(VLOOKUP(C1785,'Partner Pantries'!$A:$B,2,0),""))</f>
        <v/>
      </c>
      <c r="E1785" s="38"/>
      <c r="F1785" s="58" t="str">
        <f>IF(E1785="","",IFERROR(VLOOKUP(E1785,'Food Catalog'!$A:$B,2,0),""))</f>
        <v/>
      </c>
      <c r="G1785" s="58" t="str">
        <f>IF(E1785="","",IFERROR(VLOOKUP(E1785,'Food Catalog'!$A:$C,3,0),""))</f>
        <v/>
      </c>
      <c r="H1785" s="58" t="str">
        <f>IF(E1785="","",IFERROR(VLOOKUP(E1785,'Food Catalog'!$A:$D,4,0),""))</f>
        <v/>
      </c>
      <c r="I1785" s="59"/>
      <c r="J1785" s="36"/>
    </row>
    <row r="1786" spans="1:10" x14ac:dyDescent="0.35">
      <c r="A1786" s="57" t="str">
        <f t="shared" si="3"/>
        <v/>
      </c>
      <c r="B1786" s="35"/>
      <c r="C1786" s="38"/>
      <c r="D1786" s="58" t="str">
        <f>IF(C1786="","",IFERROR(VLOOKUP(C1786,'Partner Pantries'!$A:$B,2,0),""))</f>
        <v/>
      </c>
      <c r="E1786" s="38"/>
      <c r="F1786" s="58" t="str">
        <f>IF(E1786="","",IFERROR(VLOOKUP(E1786,'Food Catalog'!$A:$B,2,0),""))</f>
        <v/>
      </c>
      <c r="G1786" s="58" t="str">
        <f>IF(E1786="","",IFERROR(VLOOKUP(E1786,'Food Catalog'!$A:$C,3,0),""))</f>
        <v/>
      </c>
      <c r="H1786" s="58" t="str">
        <f>IF(E1786="","",IFERROR(VLOOKUP(E1786,'Food Catalog'!$A:$D,4,0),""))</f>
        <v/>
      </c>
      <c r="I1786" s="59"/>
      <c r="J1786" s="36"/>
    </row>
    <row r="1787" spans="1:10" x14ac:dyDescent="0.35">
      <c r="A1787" s="57" t="str">
        <f t="shared" si="3"/>
        <v/>
      </c>
      <c r="B1787" s="35"/>
      <c r="C1787" s="38"/>
      <c r="D1787" s="58" t="str">
        <f>IF(C1787="","",IFERROR(VLOOKUP(C1787,'Partner Pantries'!$A:$B,2,0),""))</f>
        <v/>
      </c>
      <c r="E1787" s="38"/>
      <c r="F1787" s="58" t="str">
        <f>IF(E1787="","",IFERROR(VLOOKUP(E1787,'Food Catalog'!$A:$B,2,0),""))</f>
        <v/>
      </c>
      <c r="G1787" s="58" t="str">
        <f>IF(E1787="","",IFERROR(VLOOKUP(E1787,'Food Catalog'!$A:$C,3,0),""))</f>
        <v/>
      </c>
      <c r="H1787" s="58" t="str">
        <f>IF(E1787="","",IFERROR(VLOOKUP(E1787,'Food Catalog'!$A:$D,4,0),""))</f>
        <v/>
      </c>
      <c r="I1787" s="59"/>
      <c r="J1787" s="36"/>
    </row>
    <row r="1788" spans="1:10" x14ac:dyDescent="0.35">
      <c r="A1788" s="57" t="str">
        <f t="shared" si="3"/>
        <v/>
      </c>
      <c r="B1788" s="35"/>
      <c r="C1788" s="38"/>
      <c r="D1788" s="58" t="str">
        <f>IF(C1788="","",IFERROR(VLOOKUP(C1788,'Partner Pantries'!$A:$B,2,0),""))</f>
        <v/>
      </c>
      <c r="E1788" s="38"/>
      <c r="F1788" s="58" t="str">
        <f>IF(E1788="","",IFERROR(VLOOKUP(E1788,'Food Catalog'!$A:$B,2,0),""))</f>
        <v/>
      </c>
      <c r="G1788" s="58" t="str">
        <f>IF(E1788="","",IFERROR(VLOOKUP(E1788,'Food Catalog'!$A:$C,3,0),""))</f>
        <v/>
      </c>
      <c r="H1788" s="58" t="str">
        <f>IF(E1788="","",IFERROR(VLOOKUP(E1788,'Food Catalog'!$A:$D,4,0),""))</f>
        <v/>
      </c>
      <c r="I1788" s="59"/>
      <c r="J1788" s="36"/>
    </row>
    <row r="1789" spans="1:10" x14ac:dyDescent="0.35">
      <c r="A1789" s="57" t="str">
        <f t="shared" si="3"/>
        <v/>
      </c>
      <c r="B1789" s="35"/>
      <c r="C1789" s="38"/>
      <c r="D1789" s="58" t="str">
        <f>IF(C1789="","",IFERROR(VLOOKUP(C1789,'Partner Pantries'!$A:$B,2,0),""))</f>
        <v/>
      </c>
      <c r="E1789" s="38"/>
      <c r="F1789" s="58" t="str">
        <f>IF(E1789="","",IFERROR(VLOOKUP(E1789,'Food Catalog'!$A:$B,2,0),""))</f>
        <v/>
      </c>
      <c r="G1789" s="58" t="str">
        <f>IF(E1789="","",IFERROR(VLOOKUP(E1789,'Food Catalog'!$A:$C,3,0),""))</f>
        <v/>
      </c>
      <c r="H1789" s="58" t="str">
        <f>IF(E1789="","",IFERROR(VLOOKUP(E1789,'Food Catalog'!$A:$D,4,0),""))</f>
        <v/>
      </c>
      <c r="I1789" s="59"/>
      <c r="J1789" s="36"/>
    </row>
    <row r="1790" spans="1:10" x14ac:dyDescent="0.35">
      <c r="A1790" s="57" t="str">
        <f t="shared" si="3"/>
        <v/>
      </c>
      <c r="B1790" s="35"/>
      <c r="C1790" s="38"/>
      <c r="D1790" s="58" t="str">
        <f>IF(C1790="","",IFERROR(VLOOKUP(C1790,'Partner Pantries'!$A:$B,2,0),""))</f>
        <v/>
      </c>
      <c r="E1790" s="38"/>
      <c r="F1790" s="58" t="str">
        <f>IF(E1790="","",IFERROR(VLOOKUP(E1790,'Food Catalog'!$A:$B,2,0),""))</f>
        <v/>
      </c>
      <c r="G1790" s="58" t="str">
        <f>IF(E1790="","",IFERROR(VLOOKUP(E1790,'Food Catalog'!$A:$C,3,0),""))</f>
        <v/>
      </c>
      <c r="H1790" s="58" t="str">
        <f>IF(E1790="","",IFERROR(VLOOKUP(E1790,'Food Catalog'!$A:$D,4,0),""))</f>
        <v/>
      </c>
      <c r="I1790" s="59"/>
      <c r="J1790" s="36"/>
    </row>
    <row r="1791" spans="1:10" x14ac:dyDescent="0.35">
      <c r="A1791" s="57" t="str">
        <f t="shared" si="3"/>
        <v/>
      </c>
      <c r="B1791" s="35"/>
      <c r="C1791" s="38"/>
      <c r="D1791" s="58" t="str">
        <f>IF(C1791="","",IFERROR(VLOOKUP(C1791,'Partner Pantries'!$A:$B,2,0),""))</f>
        <v/>
      </c>
      <c r="E1791" s="38"/>
      <c r="F1791" s="58" t="str">
        <f>IF(E1791="","",IFERROR(VLOOKUP(E1791,'Food Catalog'!$A:$B,2,0),""))</f>
        <v/>
      </c>
      <c r="G1791" s="58" t="str">
        <f>IF(E1791="","",IFERROR(VLOOKUP(E1791,'Food Catalog'!$A:$C,3,0),""))</f>
        <v/>
      </c>
      <c r="H1791" s="58" t="str">
        <f>IF(E1791="","",IFERROR(VLOOKUP(E1791,'Food Catalog'!$A:$D,4,0),""))</f>
        <v/>
      </c>
      <c r="I1791" s="59"/>
      <c r="J1791" s="36"/>
    </row>
    <row r="1792" spans="1:10" x14ac:dyDescent="0.35">
      <c r="A1792" s="57" t="str">
        <f t="shared" si="3"/>
        <v/>
      </c>
      <c r="B1792" s="35"/>
      <c r="C1792" s="38"/>
      <c r="D1792" s="58" t="str">
        <f>IF(C1792="","",IFERROR(VLOOKUP(C1792,'Partner Pantries'!$A:$B,2,0),""))</f>
        <v/>
      </c>
      <c r="E1792" s="38"/>
      <c r="F1792" s="58" t="str">
        <f>IF(E1792="","",IFERROR(VLOOKUP(E1792,'Food Catalog'!$A:$B,2,0),""))</f>
        <v/>
      </c>
      <c r="G1792" s="58" t="str">
        <f>IF(E1792="","",IFERROR(VLOOKUP(E1792,'Food Catalog'!$A:$C,3,0),""))</f>
        <v/>
      </c>
      <c r="H1792" s="58" t="str">
        <f>IF(E1792="","",IFERROR(VLOOKUP(E1792,'Food Catalog'!$A:$D,4,0),""))</f>
        <v/>
      </c>
      <c r="I1792" s="59"/>
      <c r="J1792" s="36"/>
    </row>
    <row r="1793" spans="1:10" x14ac:dyDescent="0.35">
      <c r="A1793" s="57" t="str">
        <f t="shared" si="3"/>
        <v/>
      </c>
      <c r="B1793" s="35"/>
      <c r="C1793" s="38"/>
      <c r="D1793" s="58" t="str">
        <f>IF(C1793="","",IFERROR(VLOOKUP(C1793,'Partner Pantries'!$A:$B,2,0),""))</f>
        <v/>
      </c>
      <c r="E1793" s="38"/>
      <c r="F1793" s="58" t="str">
        <f>IF(E1793="","",IFERROR(VLOOKUP(E1793,'Food Catalog'!$A:$B,2,0),""))</f>
        <v/>
      </c>
      <c r="G1793" s="58" t="str">
        <f>IF(E1793="","",IFERROR(VLOOKUP(E1793,'Food Catalog'!$A:$C,3,0),""))</f>
        <v/>
      </c>
      <c r="H1793" s="58" t="str">
        <f>IF(E1793="","",IFERROR(VLOOKUP(E1793,'Food Catalog'!$A:$D,4,0),""))</f>
        <v/>
      </c>
      <c r="I1793" s="59"/>
      <c r="J1793" s="36"/>
    </row>
    <row r="1794" spans="1:10" x14ac:dyDescent="0.35">
      <c r="A1794" s="57" t="str">
        <f t="shared" si="3"/>
        <v/>
      </c>
      <c r="B1794" s="35"/>
      <c r="C1794" s="38"/>
      <c r="D1794" s="58" t="str">
        <f>IF(C1794="","",IFERROR(VLOOKUP(C1794,'Partner Pantries'!$A:$B,2,0),""))</f>
        <v/>
      </c>
      <c r="E1794" s="38"/>
      <c r="F1794" s="58" t="str">
        <f>IF(E1794="","",IFERROR(VLOOKUP(E1794,'Food Catalog'!$A:$B,2,0),""))</f>
        <v/>
      </c>
      <c r="G1794" s="58" t="str">
        <f>IF(E1794="","",IFERROR(VLOOKUP(E1794,'Food Catalog'!$A:$C,3,0),""))</f>
        <v/>
      </c>
      <c r="H1794" s="58" t="str">
        <f>IF(E1794="","",IFERROR(VLOOKUP(E1794,'Food Catalog'!$A:$D,4,0),""))</f>
        <v/>
      </c>
      <c r="I1794" s="59"/>
      <c r="J1794" s="36"/>
    </row>
    <row r="1795" spans="1:10" x14ac:dyDescent="0.35">
      <c r="A1795" s="57" t="str">
        <f t="shared" si="3"/>
        <v/>
      </c>
      <c r="B1795" s="35"/>
      <c r="C1795" s="38"/>
      <c r="D1795" s="58" t="str">
        <f>IF(C1795="","",IFERROR(VLOOKUP(C1795,'Partner Pantries'!$A:$B,2,0),""))</f>
        <v/>
      </c>
      <c r="E1795" s="38"/>
      <c r="F1795" s="58" t="str">
        <f>IF(E1795="","",IFERROR(VLOOKUP(E1795,'Food Catalog'!$A:$B,2,0),""))</f>
        <v/>
      </c>
      <c r="G1795" s="58" t="str">
        <f>IF(E1795="","",IFERROR(VLOOKUP(E1795,'Food Catalog'!$A:$C,3,0),""))</f>
        <v/>
      </c>
      <c r="H1795" s="58" t="str">
        <f>IF(E1795="","",IFERROR(VLOOKUP(E1795,'Food Catalog'!$A:$D,4,0),""))</f>
        <v/>
      </c>
      <c r="I1795" s="59"/>
      <c r="J1795" s="36"/>
    </row>
    <row r="1796" spans="1:10" x14ac:dyDescent="0.35">
      <c r="A1796" s="57" t="str">
        <f t="shared" si="3"/>
        <v/>
      </c>
      <c r="B1796" s="35"/>
      <c r="C1796" s="38"/>
      <c r="D1796" s="58" t="str">
        <f>IF(C1796="","",IFERROR(VLOOKUP(C1796,'Partner Pantries'!$A:$B,2,0),""))</f>
        <v/>
      </c>
      <c r="E1796" s="38"/>
      <c r="F1796" s="58" t="str">
        <f>IF(E1796="","",IFERROR(VLOOKUP(E1796,'Food Catalog'!$A:$B,2,0),""))</f>
        <v/>
      </c>
      <c r="G1796" s="58" t="str">
        <f>IF(E1796="","",IFERROR(VLOOKUP(E1796,'Food Catalog'!$A:$C,3,0),""))</f>
        <v/>
      </c>
      <c r="H1796" s="58" t="str">
        <f>IF(E1796="","",IFERROR(VLOOKUP(E1796,'Food Catalog'!$A:$D,4,0),""))</f>
        <v/>
      </c>
      <c r="I1796" s="59"/>
      <c r="J1796" s="36"/>
    </row>
    <row r="1797" spans="1:10" x14ac:dyDescent="0.35">
      <c r="A1797" s="57" t="str">
        <f t="shared" si="3"/>
        <v/>
      </c>
      <c r="B1797" s="35"/>
      <c r="C1797" s="38"/>
      <c r="D1797" s="58" t="str">
        <f>IF(C1797="","",IFERROR(VLOOKUP(C1797,'Partner Pantries'!$A:$B,2,0),""))</f>
        <v/>
      </c>
      <c r="E1797" s="38"/>
      <c r="F1797" s="58" t="str">
        <f>IF(E1797="","",IFERROR(VLOOKUP(E1797,'Food Catalog'!$A:$B,2,0),""))</f>
        <v/>
      </c>
      <c r="G1797" s="58" t="str">
        <f>IF(E1797="","",IFERROR(VLOOKUP(E1797,'Food Catalog'!$A:$C,3,0),""))</f>
        <v/>
      </c>
      <c r="H1797" s="58" t="str">
        <f>IF(E1797="","",IFERROR(VLOOKUP(E1797,'Food Catalog'!$A:$D,4,0),""))</f>
        <v/>
      </c>
      <c r="I1797" s="59"/>
      <c r="J1797" s="36"/>
    </row>
    <row r="1798" spans="1:10" x14ac:dyDescent="0.35">
      <c r="A1798" s="57" t="str">
        <f t="shared" si="3"/>
        <v/>
      </c>
      <c r="B1798" s="35"/>
      <c r="C1798" s="38"/>
      <c r="D1798" s="58" t="str">
        <f>IF(C1798="","",IFERROR(VLOOKUP(C1798,'Partner Pantries'!$A:$B,2,0),""))</f>
        <v/>
      </c>
      <c r="E1798" s="38"/>
      <c r="F1798" s="58" t="str">
        <f>IF(E1798="","",IFERROR(VLOOKUP(E1798,'Food Catalog'!$A:$B,2,0),""))</f>
        <v/>
      </c>
      <c r="G1798" s="58" t="str">
        <f>IF(E1798="","",IFERROR(VLOOKUP(E1798,'Food Catalog'!$A:$C,3,0),""))</f>
        <v/>
      </c>
      <c r="H1798" s="58" t="str">
        <f>IF(E1798="","",IFERROR(VLOOKUP(E1798,'Food Catalog'!$A:$D,4,0),""))</f>
        <v/>
      </c>
      <c r="I1798" s="59"/>
      <c r="J1798" s="36"/>
    </row>
    <row r="1799" spans="1:10" x14ac:dyDescent="0.35">
      <c r="A1799" s="57" t="str">
        <f t="shared" si="3"/>
        <v/>
      </c>
      <c r="B1799" s="35"/>
      <c r="C1799" s="38"/>
      <c r="D1799" s="58" t="str">
        <f>IF(C1799="","",IFERROR(VLOOKUP(C1799,'Partner Pantries'!$A:$B,2,0),""))</f>
        <v/>
      </c>
      <c r="E1799" s="38"/>
      <c r="F1799" s="58" t="str">
        <f>IF(E1799="","",IFERROR(VLOOKUP(E1799,'Food Catalog'!$A:$B,2,0),""))</f>
        <v/>
      </c>
      <c r="G1799" s="58" t="str">
        <f>IF(E1799="","",IFERROR(VLOOKUP(E1799,'Food Catalog'!$A:$C,3,0),""))</f>
        <v/>
      </c>
      <c r="H1799" s="58" t="str">
        <f>IF(E1799="","",IFERROR(VLOOKUP(E1799,'Food Catalog'!$A:$D,4,0),""))</f>
        <v/>
      </c>
      <c r="I1799" s="59"/>
      <c r="J1799" s="36"/>
    </row>
    <row r="1800" spans="1:10" x14ac:dyDescent="0.35">
      <c r="A1800" s="57" t="str">
        <f t="shared" si="3"/>
        <v/>
      </c>
      <c r="B1800" s="35"/>
      <c r="C1800" s="38"/>
      <c r="D1800" s="58" t="str">
        <f>IF(C1800="","",IFERROR(VLOOKUP(C1800,'Partner Pantries'!$A:$B,2,0),""))</f>
        <v/>
      </c>
      <c r="E1800" s="38"/>
      <c r="F1800" s="58" t="str">
        <f>IF(E1800="","",IFERROR(VLOOKUP(E1800,'Food Catalog'!$A:$B,2,0),""))</f>
        <v/>
      </c>
      <c r="G1800" s="58" t="str">
        <f>IF(E1800="","",IFERROR(VLOOKUP(E1800,'Food Catalog'!$A:$C,3,0),""))</f>
        <v/>
      </c>
      <c r="H1800" s="58" t="str">
        <f>IF(E1800="","",IFERROR(VLOOKUP(E1800,'Food Catalog'!$A:$D,4,0),""))</f>
        <v/>
      </c>
      <c r="I1800" s="59"/>
      <c r="J1800" s="36"/>
    </row>
    <row r="1801" spans="1:10" x14ac:dyDescent="0.35">
      <c r="A1801" s="57" t="str">
        <f t="shared" si="3"/>
        <v/>
      </c>
      <c r="B1801" s="35"/>
      <c r="C1801" s="38"/>
      <c r="D1801" s="58" t="str">
        <f>IF(C1801="","",IFERROR(VLOOKUP(C1801,'Partner Pantries'!$A:$B,2,0),""))</f>
        <v/>
      </c>
      <c r="E1801" s="38"/>
      <c r="F1801" s="58" t="str">
        <f>IF(E1801="","",IFERROR(VLOOKUP(E1801,'Food Catalog'!$A:$B,2,0),""))</f>
        <v/>
      </c>
      <c r="G1801" s="58" t="str">
        <f>IF(E1801="","",IFERROR(VLOOKUP(E1801,'Food Catalog'!$A:$C,3,0),""))</f>
        <v/>
      </c>
      <c r="H1801" s="58" t="str">
        <f>IF(E1801="","",IFERROR(VLOOKUP(E1801,'Food Catalog'!$A:$D,4,0),""))</f>
        <v/>
      </c>
      <c r="I1801" s="59"/>
      <c r="J1801" s="36"/>
    </row>
    <row r="1802" spans="1:10" x14ac:dyDescent="0.35">
      <c r="A1802" s="57" t="str">
        <f t="shared" si="3"/>
        <v/>
      </c>
      <c r="B1802" s="35"/>
      <c r="C1802" s="38"/>
      <c r="D1802" s="58" t="str">
        <f>IF(C1802="","",IFERROR(VLOOKUP(C1802,'Partner Pantries'!$A:$B,2,0),""))</f>
        <v/>
      </c>
      <c r="E1802" s="38"/>
      <c r="F1802" s="58" t="str">
        <f>IF(E1802="","",IFERROR(VLOOKUP(E1802,'Food Catalog'!$A:$B,2,0),""))</f>
        <v/>
      </c>
      <c r="G1802" s="58" t="str">
        <f>IF(E1802="","",IFERROR(VLOOKUP(E1802,'Food Catalog'!$A:$C,3,0),""))</f>
        <v/>
      </c>
      <c r="H1802" s="58" t="str">
        <f>IF(E1802="","",IFERROR(VLOOKUP(E1802,'Food Catalog'!$A:$D,4,0),""))</f>
        <v/>
      </c>
      <c r="I1802" s="59"/>
      <c r="J1802" s="36"/>
    </row>
    <row r="1803" spans="1:10" x14ac:dyDescent="0.35">
      <c r="A1803" s="57" t="str">
        <f t="shared" si="3"/>
        <v/>
      </c>
      <c r="B1803" s="35"/>
      <c r="C1803" s="38"/>
      <c r="D1803" s="58" t="str">
        <f>IF(C1803="","",IFERROR(VLOOKUP(C1803,'Partner Pantries'!$A:$B,2,0),""))</f>
        <v/>
      </c>
      <c r="E1803" s="38"/>
      <c r="F1803" s="58" t="str">
        <f>IF(E1803="","",IFERROR(VLOOKUP(E1803,'Food Catalog'!$A:$B,2,0),""))</f>
        <v/>
      </c>
      <c r="G1803" s="58" t="str">
        <f>IF(E1803="","",IFERROR(VLOOKUP(E1803,'Food Catalog'!$A:$C,3,0),""))</f>
        <v/>
      </c>
      <c r="H1803" s="58" t="str">
        <f>IF(E1803="","",IFERROR(VLOOKUP(E1803,'Food Catalog'!$A:$D,4,0),""))</f>
        <v/>
      </c>
      <c r="I1803" s="59"/>
      <c r="J1803" s="36"/>
    </row>
    <row r="1804" spans="1:10" x14ac:dyDescent="0.35">
      <c r="A1804" s="57" t="str">
        <f t="shared" si="3"/>
        <v/>
      </c>
      <c r="B1804" s="35"/>
      <c r="C1804" s="38"/>
      <c r="D1804" s="58" t="str">
        <f>IF(C1804="","",IFERROR(VLOOKUP(C1804,'Partner Pantries'!$A:$B,2,0),""))</f>
        <v/>
      </c>
      <c r="E1804" s="38"/>
      <c r="F1804" s="58" t="str">
        <f>IF(E1804="","",IFERROR(VLOOKUP(E1804,'Food Catalog'!$A:$B,2,0),""))</f>
        <v/>
      </c>
      <c r="G1804" s="58" t="str">
        <f>IF(E1804="","",IFERROR(VLOOKUP(E1804,'Food Catalog'!$A:$C,3,0),""))</f>
        <v/>
      </c>
      <c r="H1804" s="58" t="str">
        <f>IF(E1804="","",IFERROR(VLOOKUP(E1804,'Food Catalog'!$A:$D,4,0),""))</f>
        <v/>
      </c>
      <c r="I1804" s="59"/>
      <c r="J1804" s="36"/>
    </row>
    <row r="1805" spans="1:10" x14ac:dyDescent="0.35">
      <c r="A1805" s="57" t="str">
        <f t="shared" si="3"/>
        <v/>
      </c>
      <c r="B1805" s="35"/>
      <c r="C1805" s="38"/>
      <c r="D1805" s="58" t="str">
        <f>IF(C1805="","",IFERROR(VLOOKUP(C1805,'Partner Pantries'!$A:$B,2,0),""))</f>
        <v/>
      </c>
      <c r="E1805" s="38"/>
      <c r="F1805" s="58" t="str">
        <f>IF(E1805="","",IFERROR(VLOOKUP(E1805,'Food Catalog'!$A:$B,2,0),""))</f>
        <v/>
      </c>
      <c r="G1805" s="58" t="str">
        <f>IF(E1805="","",IFERROR(VLOOKUP(E1805,'Food Catalog'!$A:$C,3,0),""))</f>
        <v/>
      </c>
      <c r="H1805" s="58" t="str">
        <f>IF(E1805="","",IFERROR(VLOOKUP(E1805,'Food Catalog'!$A:$D,4,0),""))</f>
        <v/>
      </c>
      <c r="I1805" s="59"/>
      <c r="J1805" s="36"/>
    </row>
    <row r="1806" spans="1:10" x14ac:dyDescent="0.35">
      <c r="A1806" s="57" t="str">
        <f t="shared" si="3"/>
        <v/>
      </c>
      <c r="B1806" s="35"/>
      <c r="C1806" s="38"/>
      <c r="D1806" s="58" t="str">
        <f>IF(C1806="","",IFERROR(VLOOKUP(C1806,'Partner Pantries'!$A:$B,2,0),""))</f>
        <v/>
      </c>
      <c r="E1806" s="38"/>
      <c r="F1806" s="58" t="str">
        <f>IF(E1806="","",IFERROR(VLOOKUP(E1806,'Food Catalog'!$A:$B,2,0),""))</f>
        <v/>
      </c>
      <c r="G1806" s="58" t="str">
        <f>IF(E1806="","",IFERROR(VLOOKUP(E1806,'Food Catalog'!$A:$C,3,0),""))</f>
        <v/>
      </c>
      <c r="H1806" s="58" t="str">
        <f>IF(E1806="","",IFERROR(VLOOKUP(E1806,'Food Catalog'!$A:$D,4,0),""))</f>
        <v/>
      </c>
      <c r="I1806" s="59"/>
      <c r="J1806" s="36"/>
    </row>
    <row r="1807" spans="1:10" x14ac:dyDescent="0.35">
      <c r="A1807" s="57" t="str">
        <f t="shared" si="3"/>
        <v/>
      </c>
      <c r="B1807" s="35"/>
      <c r="C1807" s="38"/>
      <c r="D1807" s="58" t="str">
        <f>IF(C1807="","",IFERROR(VLOOKUP(C1807,'Partner Pantries'!$A:$B,2,0),""))</f>
        <v/>
      </c>
      <c r="E1807" s="38"/>
      <c r="F1807" s="58" t="str">
        <f>IF(E1807="","",IFERROR(VLOOKUP(E1807,'Food Catalog'!$A:$B,2,0),""))</f>
        <v/>
      </c>
      <c r="G1807" s="58" t="str">
        <f>IF(E1807="","",IFERROR(VLOOKUP(E1807,'Food Catalog'!$A:$C,3,0),""))</f>
        <v/>
      </c>
      <c r="H1807" s="58" t="str">
        <f>IF(E1807="","",IFERROR(VLOOKUP(E1807,'Food Catalog'!$A:$D,4,0),""))</f>
        <v/>
      </c>
      <c r="I1807" s="59"/>
      <c r="J1807" s="36"/>
    </row>
    <row r="1808" spans="1:10" x14ac:dyDescent="0.35">
      <c r="A1808" s="57" t="str">
        <f t="shared" si="3"/>
        <v/>
      </c>
      <c r="B1808" s="35"/>
      <c r="C1808" s="38"/>
      <c r="D1808" s="58" t="str">
        <f>IF(C1808="","",IFERROR(VLOOKUP(C1808,'Partner Pantries'!$A:$B,2,0),""))</f>
        <v/>
      </c>
      <c r="E1808" s="38"/>
      <c r="F1808" s="58" t="str">
        <f>IF(E1808="","",IFERROR(VLOOKUP(E1808,'Food Catalog'!$A:$B,2,0),""))</f>
        <v/>
      </c>
      <c r="G1808" s="58" t="str">
        <f>IF(E1808="","",IFERROR(VLOOKUP(E1808,'Food Catalog'!$A:$C,3,0),""))</f>
        <v/>
      </c>
      <c r="H1808" s="58" t="str">
        <f>IF(E1808="","",IFERROR(VLOOKUP(E1808,'Food Catalog'!$A:$D,4,0),""))</f>
        <v/>
      </c>
      <c r="I1808" s="59"/>
      <c r="J1808" s="36"/>
    </row>
    <row r="1809" spans="1:10" x14ac:dyDescent="0.35">
      <c r="A1809" s="57" t="str">
        <f t="shared" si="3"/>
        <v/>
      </c>
      <c r="B1809" s="35"/>
      <c r="C1809" s="38"/>
      <c r="D1809" s="58" t="str">
        <f>IF(C1809="","",IFERROR(VLOOKUP(C1809,'Partner Pantries'!$A:$B,2,0),""))</f>
        <v/>
      </c>
      <c r="E1809" s="38"/>
      <c r="F1809" s="58" t="str">
        <f>IF(E1809="","",IFERROR(VLOOKUP(E1809,'Food Catalog'!$A:$B,2,0),""))</f>
        <v/>
      </c>
      <c r="G1809" s="58" t="str">
        <f>IF(E1809="","",IFERROR(VLOOKUP(E1809,'Food Catalog'!$A:$C,3,0),""))</f>
        <v/>
      </c>
      <c r="H1809" s="58" t="str">
        <f>IF(E1809="","",IFERROR(VLOOKUP(E1809,'Food Catalog'!$A:$D,4,0),""))</f>
        <v/>
      </c>
      <c r="I1809" s="59"/>
      <c r="J1809" s="36"/>
    </row>
    <row r="1810" spans="1:10" x14ac:dyDescent="0.35">
      <c r="A1810" s="57" t="str">
        <f t="shared" si="3"/>
        <v/>
      </c>
      <c r="B1810" s="35"/>
      <c r="C1810" s="38"/>
      <c r="D1810" s="58" t="str">
        <f>IF(C1810="","",IFERROR(VLOOKUP(C1810,'Partner Pantries'!$A:$B,2,0),""))</f>
        <v/>
      </c>
      <c r="E1810" s="38"/>
      <c r="F1810" s="58" t="str">
        <f>IF(E1810="","",IFERROR(VLOOKUP(E1810,'Food Catalog'!$A:$B,2,0),""))</f>
        <v/>
      </c>
      <c r="G1810" s="58" t="str">
        <f>IF(E1810="","",IFERROR(VLOOKUP(E1810,'Food Catalog'!$A:$C,3,0),""))</f>
        <v/>
      </c>
      <c r="H1810" s="58" t="str">
        <f>IF(E1810="","",IFERROR(VLOOKUP(E1810,'Food Catalog'!$A:$D,4,0),""))</f>
        <v/>
      </c>
      <c r="I1810" s="59"/>
      <c r="J1810" s="36"/>
    </row>
    <row r="1811" spans="1:10" x14ac:dyDescent="0.35">
      <c r="A1811" s="57" t="str">
        <f t="shared" si="3"/>
        <v/>
      </c>
      <c r="B1811" s="35"/>
      <c r="C1811" s="38"/>
      <c r="D1811" s="58" t="str">
        <f>IF(C1811="","",IFERROR(VLOOKUP(C1811,'Partner Pantries'!$A:$B,2,0),""))</f>
        <v/>
      </c>
      <c r="E1811" s="38"/>
      <c r="F1811" s="58" t="str">
        <f>IF(E1811="","",IFERROR(VLOOKUP(E1811,'Food Catalog'!$A:$B,2,0),""))</f>
        <v/>
      </c>
      <c r="G1811" s="58" t="str">
        <f>IF(E1811="","",IFERROR(VLOOKUP(E1811,'Food Catalog'!$A:$C,3,0),""))</f>
        <v/>
      </c>
      <c r="H1811" s="58" t="str">
        <f>IF(E1811="","",IFERROR(VLOOKUP(E1811,'Food Catalog'!$A:$D,4,0),""))</f>
        <v/>
      </c>
      <c r="I1811" s="59"/>
      <c r="J1811" s="36"/>
    </row>
    <row r="1812" spans="1:10" x14ac:dyDescent="0.35">
      <c r="A1812" s="57" t="str">
        <f t="shared" ref="A1812:A1843" si="4">IF(I1812="","",TEXT(ROW()-1682,"DIST-0000"))</f>
        <v/>
      </c>
      <c r="B1812" s="35"/>
      <c r="C1812" s="38"/>
      <c r="D1812" s="58" t="str">
        <f>IF(C1812="","",IFERROR(VLOOKUP(C1812,'Partner Pantries'!$A:$B,2,0),""))</f>
        <v/>
      </c>
      <c r="E1812" s="38"/>
      <c r="F1812" s="58" t="str">
        <f>IF(E1812="","",IFERROR(VLOOKUP(E1812,'Food Catalog'!$A:$B,2,0),""))</f>
        <v/>
      </c>
      <c r="G1812" s="58" t="str">
        <f>IF(E1812="","",IFERROR(VLOOKUP(E1812,'Food Catalog'!$A:$C,3,0),""))</f>
        <v/>
      </c>
      <c r="H1812" s="58" t="str">
        <f>IF(E1812="","",IFERROR(VLOOKUP(E1812,'Food Catalog'!$A:$D,4,0),""))</f>
        <v/>
      </c>
      <c r="I1812" s="59"/>
      <c r="J1812" s="36"/>
    </row>
    <row r="1813" spans="1:10" x14ac:dyDescent="0.35">
      <c r="A1813" s="57" t="str">
        <f t="shared" si="4"/>
        <v/>
      </c>
      <c r="B1813" s="35"/>
      <c r="C1813" s="38"/>
      <c r="D1813" s="58" t="str">
        <f>IF(C1813="","",IFERROR(VLOOKUP(C1813,'Partner Pantries'!$A:$B,2,0),""))</f>
        <v/>
      </c>
      <c r="E1813" s="38"/>
      <c r="F1813" s="58" t="str">
        <f>IF(E1813="","",IFERROR(VLOOKUP(E1813,'Food Catalog'!$A:$B,2,0),""))</f>
        <v/>
      </c>
      <c r="G1813" s="58" t="str">
        <f>IF(E1813="","",IFERROR(VLOOKUP(E1813,'Food Catalog'!$A:$C,3,0),""))</f>
        <v/>
      </c>
      <c r="H1813" s="58" t="str">
        <f>IF(E1813="","",IFERROR(VLOOKUP(E1813,'Food Catalog'!$A:$D,4,0),""))</f>
        <v/>
      </c>
      <c r="I1813" s="59"/>
      <c r="J1813" s="36"/>
    </row>
    <row r="1814" spans="1:10" x14ac:dyDescent="0.35">
      <c r="A1814" s="57" t="str">
        <f t="shared" si="4"/>
        <v/>
      </c>
      <c r="B1814" s="35"/>
      <c r="C1814" s="38"/>
      <c r="D1814" s="58" t="str">
        <f>IF(C1814="","",IFERROR(VLOOKUP(C1814,'Partner Pantries'!$A:$B,2,0),""))</f>
        <v/>
      </c>
      <c r="E1814" s="38"/>
      <c r="F1814" s="58" t="str">
        <f>IF(E1814="","",IFERROR(VLOOKUP(E1814,'Food Catalog'!$A:$B,2,0),""))</f>
        <v/>
      </c>
      <c r="G1814" s="58" t="str">
        <f>IF(E1814="","",IFERROR(VLOOKUP(E1814,'Food Catalog'!$A:$C,3,0),""))</f>
        <v/>
      </c>
      <c r="H1814" s="58" t="str">
        <f>IF(E1814="","",IFERROR(VLOOKUP(E1814,'Food Catalog'!$A:$D,4,0),""))</f>
        <v/>
      </c>
      <c r="I1814" s="59"/>
      <c r="J1814" s="36"/>
    </row>
    <row r="1815" spans="1:10" x14ac:dyDescent="0.35">
      <c r="A1815" s="57" t="str">
        <f t="shared" si="4"/>
        <v/>
      </c>
      <c r="B1815" s="35"/>
      <c r="C1815" s="38"/>
      <c r="D1815" s="58" t="str">
        <f>IF(C1815="","",IFERROR(VLOOKUP(C1815,'Partner Pantries'!$A:$B,2,0),""))</f>
        <v/>
      </c>
      <c r="E1815" s="38"/>
      <c r="F1815" s="58" t="str">
        <f>IF(E1815="","",IFERROR(VLOOKUP(E1815,'Food Catalog'!$A:$B,2,0),""))</f>
        <v/>
      </c>
      <c r="G1815" s="58" t="str">
        <f>IF(E1815="","",IFERROR(VLOOKUP(E1815,'Food Catalog'!$A:$C,3,0),""))</f>
        <v/>
      </c>
      <c r="H1815" s="58" t="str">
        <f>IF(E1815="","",IFERROR(VLOOKUP(E1815,'Food Catalog'!$A:$D,4,0),""))</f>
        <v/>
      </c>
      <c r="I1815" s="59"/>
      <c r="J1815" s="36"/>
    </row>
    <row r="1816" spans="1:10" x14ac:dyDescent="0.35">
      <c r="A1816" s="57" t="str">
        <f t="shared" si="4"/>
        <v/>
      </c>
      <c r="B1816" s="35"/>
      <c r="C1816" s="38"/>
      <c r="D1816" s="58" t="str">
        <f>IF(C1816="","",IFERROR(VLOOKUP(C1816,'Partner Pantries'!$A:$B,2,0),""))</f>
        <v/>
      </c>
      <c r="E1816" s="38"/>
      <c r="F1816" s="58" t="str">
        <f>IF(E1816="","",IFERROR(VLOOKUP(E1816,'Food Catalog'!$A:$B,2,0),""))</f>
        <v/>
      </c>
      <c r="G1816" s="58" t="str">
        <f>IF(E1816="","",IFERROR(VLOOKUP(E1816,'Food Catalog'!$A:$C,3,0),""))</f>
        <v/>
      </c>
      <c r="H1816" s="58" t="str">
        <f>IF(E1816="","",IFERROR(VLOOKUP(E1816,'Food Catalog'!$A:$D,4,0),""))</f>
        <v/>
      </c>
      <c r="I1816" s="59"/>
      <c r="J1816" s="36"/>
    </row>
    <row r="1817" spans="1:10" x14ac:dyDescent="0.35">
      <c r="A1817" s="57" t="str">
        <f t="shared" si="4"/>
        <v/>
      </c>
      <c r="B1817" s="35"/>
      <c r="C1817" s="38"/>
      <c r="D1817" s="58" t="str">
        <f>IF(C1817="","",IFERROR(VLOOKUP(C1817,'Partner Pantries'!$A:$B,2,0),""))</f>
        <v/>
      </c>
      <c r="E1817" s="38"/>
      <c r="F1817" s="58" t="str">
        <f>IF(E1817="","",IFERROR(VLOOKUP(E1817,'Food Catalog'!$A:$B,2,0),""))</f>
        <v/>
      </c>
      <c r="G1817" s="58" t="str">
        <f>IF(E1817="","",IFERROR(VLOOKUP(E1817,'Food Catalog'!$A:$C,3,0),""))</f>
        <v/>
      </c>
      <c r="H1817" s="58" t="str">
        <f>IF(E1817="","",IFERROR(VLOOKUP(E1817,'Food Catalog'!$A:$D,4,0),""))</f>
        <v/>
      </c>
      <c r="I1817" s="59"/>
      <c r="J1817" s="36"/>
    </row>
    <row r="1818" spans="1:10" x14ac:dyDescent="0.35">
      <c r="A1818" s="57" t="str">
        <f t="shared" si="4"/>
        <v/>
      </c>
      <c r="B1818" s="35"/>
      <c r="C1818" s="38"/>
      <c r="D1818" s="58" t="str">
        <f>IF(C1818="","",IFERROR(VLOOKUP(C1818,'Partner Pantries'!$A:$B,2,0),""))</f>
        <v/>
      </c>
      <c r="E1818" s="38"/>
      <c r="F1818" s="58" t="str">
        <f>IF(E1818="","",IFERROR(VLOOKUP(E1818,'Food Catalog'!$A:$B,2,0),""))</f>
        <v/>
      </c>
      <c r="G1818" s="58" t="str">
        <f>IF(E1818="","",IFERROR(VLOOKUP(E1818,'Food Catalog'!$A:$C,3,0),""))</f>
        <v/>
      </c>
      <c r="H1818" s="58" t="str">
        <f>IF(E1818="","",IFERROR(VLOOKUP(E1818,'Food Catalog'!$A:$D,4,0),""))</f>
        <v/>
      </c>
      <c r="I1818" s="59"/>
      <c r="J1818" s="36"/>
    </row>
    <row r="1819" spans="1:10" x14ac:dyDescent="0.35">
      <c r="A1819" s="57" t="str">
        <f t="shared" si="4"/>
        <v/>
      </c>
      <c r="B1819" s="35"/>
      <c r="C1819" s="38"/>
      <c r="D1819" s="58" t="str">
        <f>IF(C1819="","",IFERROR(VLOOKUP(C1819,'Partner Pantries'!$A:$B,2,0),""))</f>
        <v/>
      </c>
      <c r="E1819" s="38"/>
      <c r="F1819" s="58" t="str">
        <f>IF(E1819="","",IFERROR(VLOOKUP(E1819,'Food Catalog'!$A:$B,2,0),""))</f>
        <v/>
      </c>
      <c r="G1819" s="58" t="str">
        <f>IF(E1819="","",IFERROR(VLOOKUP(E1819,'Food Catalog'!$A:$C,3,0),""))</f>
        <v/>
      </c>
      <c r="H1819" s="58" t="str">
        <f>IF(E1819="","",IFERROR(VLOOKUP(E1819,'Food Catalog'!$A:$D,4,0),""))</f>
        <v/>
      </c>
      <c r="I1819" s="59"/>
      <c r="J1819" s="36"/>
    </row>
    <row r="1820" spans="1:10" x14ac:dyDescent="0.35">
      <c r="A1820" s="57" t="str">
        <f t="shared" si="4"/>
        <v/>
      </c>
      <c r="B1820" s="35"/>
      <c r="C1820" s="38"/>
      <c r="D1820" s="58" t="str">
        <f>IF(C1820="","",IFERROR(VLOOKUP(C1820,'Partner Pantries'!$A:$B,2,0),""))</f>
        <v/>
      </c>
      <c r="E1820" s="38"/>
      <c r="F1820" s="58" t="str">
        <f>IF(E1820="","",IFERROR(VLOOKUP(E1820,'Food Catalog'!$A:$B,2,0),""))</f>
        <v/>
      </c>
      <c r="G1820" s="58" t="str">
        <f>IF(E1820="","",IFERROR(VLOOKUP(E1820,'Food Catalog'!$A:$C,3,0),""))</f>
        <v/>
      </c>
      <c r="H1820" s="58" t="str">
        <f>IF(E1820="","",IFERROR(VLOOKUP(E1820,'Food Catalog'!$A:$D,4,0),""))</f>
        <v/>
      </c>
      <c r="I1820" s="59"/>
      <c r="J1820" s="36"/>
    </row>
    <row r="1821" spans="1:10" x14ac:dyDescent="0.35">
      <c r="A1821" s="57" t="str">
        <f t="shared" si="4"/>
        <v/>
      </c>
      <c r="B1821" s="35"/>
      <c r="C1821" s="38"/>
      <c r="D1821" s="58" t="str">
        <f>IF(C1821="","",IFERROR(VLOOKUP(C1821,'Partner Pantries'!$A:$B,2,0),""))</f>
        <v/>
      </c>
      <c r="E1821" s="38"/>
      <c r="F1821" s="58" t="str">
        <f>IF(E1821="","",IFERROR(VLOOKUP(E1821,'Food Catalog'!$A:$B,2,0),""))</f>
        <v/>
      </c>
      <c r="G1821" s="58" t="str">
        <f>IF(E1821="","",IFERROR(VLOOKUP(E1821,'Food Catalog'!$A:$C,3,0),""))</f>
        <v/>
      </c>
      <c r="H1821" s="58" t="str">
        <f>IF(E1821="","",IFERROR(VLOOKUP(E1821,'Food Catalog'!$A:$D,4,0),""))</f>
        <v/>
      </c>
      <c r="I1821" s="59"/>
      <c r="J1821" s="36"/>
    </row>
    <row r="1822" spans="1:10" x14ac:dyDescent="0.35">
      <c r="A1822" s="57" t="str">
        <f t="shared" si="4"/>
        <v/>
      </c>
      <c r="B1822" s="35"/>
      <c r="C1822" s="38"/>
      <c r="D1822" s="58" t="str">
        <f>IF(C1822="","",IFERROR(VLOOKUP(C1822,'Partner Pantries'!$A:$B,2,0),""))</f>
        <v/>
      </c>
      <c r="E1822" s="38"/>
      <c r="F1822" s="58" t="str">
        <f>IF(E1822="","",IFERROR(VLOOKUP(E1822,'Food Catalog'!$A:$B,2,0),""))</f>
        <v/>
      </c>
      <c r="G1822" s="58" t="str">
        <f>IF(E1822="","",IFERROR(VLOOKUP(E1822,'Food Catalog'!$A:$C,3,0),""))</f>
        <v/>
      </c>
      <c r="H1822" s="58" t="str">
        <f>IF(E1822="","",IFERROR(VLOOKUP(E1822,'Food Catalog'!$A:$D,4,0),""))</f>
        <v/>
      </c>
      <c r="I1822" s="59"/>
      <c r="J1822" s="36"/>
    </row>
    <row r="1823" spans="1:10" x14ac:dyDescent="0.35">
      <c r="A1823" s="57" t="str">
        <f t="shared" si="4"/>
        <v/>
      </c>
      <c r="B1823" s="35"/>
      <c r="C1823" s="38"/>
      <c r="D1823" s="58" t="str">
        <f>IF(C1823="","",IFERROR(VLOOKUP(C1823,'Partner Pantries'!$A:$B,2,0),""))</f>
        <v/>
      </c>
      <c r="E1823" s="38"/>
      <c r="F1823" s="58" t="str">
        <f>IF(E1823="","",IFERROR(VLOOKUP(E1823,'Food Catalog'!$A:$B,2,0),""))</f>
        <v/>
      </c>
      <c r="G1823" s="58" t="str">
        <f>IF(E1823="","",IFERROR(VLOOKUP(E1823,'Food Catalog'!$A:$C,3,0),""))</f>
        <v/>
      </c>
      <c r="H1823" s="58" t="str">
        <f>IF(E1823="","",IFERROR(VLOOKUP(E1823,'Food Catalog'!$A:$D,4,0),""))</f>
        <v/>
      </c>
      <c r="I1823" s="59"/>
      <c r="J1823" s="36"/>
    </row>
    <row r="1824" spans="1:10" x14ac:dyDescent="0.35">
      <c r="A1824" s="57" t="str">
        <f t="shared" si="4"/>
        <v/>
      </c>
      <c r="B1824" s="35"/>
      <c r="C1824" s="38"/>
      <c r="D1824" s="58" t="str">
        <f>IF(C1824="","",IFERROR(VLOOKUP(C1824,'Partner Pantries'!$A:$B,2,0),""))</f>
        <v/>
      </c>
      <c r="E1824" s="38"/>
      <c r="F1824" s="58" t="str">
        <f>IF(E1824="","",IFERROR(VLOOKUP(E1824,'Food Catalog'!$A:$B,2,0),""))</f>
        <v/>
      </c>
      <c r="G1824" s="58" t="str">
        <f>IF(E1824="","",IFERROR(VLOOKUP(E1824,'Food Catalog'!$A:$C,3,0),""))</f>
        <v/>
      </c>
      <c r="H1824" s="58" t="str">
        <f>IF(E1824="","",IFERROR(VLOOKUP(E1824,'Food Catalog'!$A:$D,4,0),""))</f>
        <v/>
      </c>
      <c r="I1824" s="59"/>
      <c r="J1824" s="36"/>
    </row>
    <row r="1825" spans="1:10" x14ac:dyDescent="0.35">
      <c r="A1825" s="57" t="str">
        <f t="shared" si="4"/>
        <v/>
      </c>
      <c r="B1825" s="35"/>
      <c r="C1825" s="38"/>
      <c r="D1825" s="58" t="str">
        <f>IF(C1825="","",IFERROR(VLOOKUP(C1825,'Partner Pantries'!$A:$B,2,0),""))</f>
        <v/>
      </c>
      <c r="E1825" s="38"/>
      <c r="F1825" s="58" t="str">
        <f>IF(E1825="","",IFERROR(VLOOKUP(E1825,'Food Catalog'!$A:$B,2,0),""))</f>
        <v/>
      </c>
      <c r="G1825" s="58" t="str">
        <f>IF(E1825="","",IFERROR(VLOOKUP(E1825,'Food Catalog'!$A:$C,3,0),""))</f>
        <v/>
      </c>
      <c r="H1825" s="58" t="str">
        <f>IF(E1825="","",IFERROR(VLOOKUP(E1825,'Food Catalog'!$A:$D,4,0),""))</f>
        <v/>
      </c>
      <c r="I1825" s="59"/>
      <c r="J1825" s="36"/>
    </row>
    <row r="1826" spans="1:10" x14ac:dyDescent="0.35">
      <c r="A1826" s="57" t="str">
        <f t="shared" si="4"/>
        <v/>
      </c>
      <c r="B1826" s="35"/>
      <c r="C1826" s="38"/>
      <c r="D1826" s="58" t="str">
        <f>IF(C1826="","",IFERROR(VLOOKUP(C1826,'Partner Pantries'!$A:$B,2,0),""))</f>
        <v/>
      </c>
      <c r="E1826" s="38"/>
      <c r="F1826" s="58" t="str">
        <f>IF(E1826="","",IFERROR(VLOOKUP(E1826,'Food Catalog'!$A:$B,2,0),""))</f>
        <v/>
      </c>
      <c r="G1826" s="58" t="str">
        <f>IF(E1826="","",IFERROR(VLOOKUP(E1826,'Food Catalog'!$A:$C,3,0),""))</f>
        <v/>
      </c>
      <c r="H1826" s="58" t="str">
        <f>IF(E1826="","",IFERROR(VLOOKUP(E1826,'Food Catalog'!$A:$D,4,0),""))</f>
        <v/>
      </c>
      <c r="I1826" s="59"/>
      <c r="J1826" s="36"/>
    </row>
    <row r="1827" spans="1:10" x14ac:dyDescent="0.35">
      <c r="A1827" s="57" t="str">
        <f t="shared" si="4"/>
        <v/>
      </c>
      <c r="B1827" s="35"/>
      <c r="C1827" s="38"/>
      <c r="D1827" s="58" t="str">
        <f>IF(C1827="","",IFERROR(VLOOKUP(C1827,'Partner Pantries'!$A:$B,2,0),""))</f>
        <v/>
      </c>
      <c r="E1827" s="38"/>
      <c r="F1827" s="58" t="str">
        <f>IF(E1827="","",IFERROR(VLOOKUP(E1827,'Food Catalog'!$A:$B,2,0),""))</f>
        <v/>
      </c>
      <c r="G1827" s="58" t="str">
        <f>IF(E1827="","",IFERROR(VLOOKUP(E1827,'Food Catalog'!$A:$C,3,0),""))</f>
        <v/>
      </c>
      <c r="H1827" s="58" t="str">
        <f>IF(E1827="","",IFERROR(VLOOKUP(E1827,'Food Catalog'!$A:$D,4,0),""))</f>
        <v/>
      </c>
      <c r="I1827" s="59"/>
      <c r="J1827" s="36"/>
    </row>
    <row r="1828" spans="1:10" x14ac:dyDescent="0.35">
      <c r="A1828" s="57" t="str">
        <f t="shared" si="4"/>
        <v/>
      </c>
      <c r="B1828" s="35"/>
      <c r="C1828" s="38"/>
      <c r="D1828" s="58" t="str">
        <f>IF(C1828="","",IFERROR(VLOOKUP(C1828,'Partner Pantries'!$A:$B,2,0),""))</f>
        <v/>
      </c>
      <c r="E1828" s="38"/>
      <c r="F1828" s="58" t="str">
        <f>IF(E1828="","",IFERROR(VLOOKUP(E1828,'Food Catalog'!$A:$B,2,0),""))</f>
        <v/>
      </c>
      <c r="G1828" s="58" t="str">
        <f>IF(E1828="","",IFERROR(VLOOKUP(E1828,'Food Catalog'!$A:$C,3,0),""))</f>
        <v/>
      </c>
      <c r="H1828" s="58" t="str">
        <f>IF(E1828="","",IFERROR(VLOOKUP(E1828,'Food Catalog'!$A:$D,4,0),""))</f>
        <v/>
      </c>
      <c r="I1828" s="59"/>
      <c r="J1828" s="36"/>
    </row>
    <row r="1829" spans="1:10" x14ac:dyDescent="0.35">
      <c r="A1829" s="57" t="str">
        <f t="shared" si="4"/>
        <v/>
      </c>
      <c r="B1829" s="35"/>
      <c r="C1829" s="38"/>
      <c r="D1829" s="58" t="str">
        <f>IF(C1829="","",IFERROR(VLOOKUP(C1829,'Partner Pantries'!$A:$B,2,0),""))</f>
        <v/>
      </c>
      <c r="E1829" s="38"/>
      <c r="F1829" s="58" t="str">
        <f>IF(E1829="","",IFERROR(VLOOKUP(E1829,'Food Catalog'!$A:$B,2,0),""))</f>
        <v/>
      </c>
      <c r="G1829" s="58" t="str">
        <f>IF(E1829="","",IFERROR(VLOOKUP(E1829,'Food Catalog'!$A:$C,3,0),""))</f>
        <v/>
      </c>
      <c r="H1829" s="58" t="str">
        <f>IF(E1829="","",IFERROR(VLOOKUP(E1829,'Food Catalog'!$A:$D,4,0),""))</f>
        <v/>
      </c>
      <c r="I1829" s="59"/>
      <c r="J1829" s="36"/>
    </row>
    <row r="1830" spans="1:10" x14ac:dyDescent="0.35">
      <c r="A1830" s="57" t="str">
        <f t="shared" si="4"/>
        <v/>
      </c>
      <c r="B1830" s="35"/>
      <c r="C1830" s="38"/>
      <c r="D1830" s="58" t="str">
        <f>IF(C1830="","",IFERROR(VLOOKUP(C1830,'Partner Pantries'!$A:$B,2,0),""))</f>
        <v/>
      </c>
      <c r="E1830" s="38"/>
      <c r="F1830" s="58" t="str">
        <f>IF(E1830="","",IFERROR(VLOOKUP(E1830,'Food Catalog'!$A:$B,2,0),""))</f>
        <v/>
      </c>
      <c r="G1830" s="58" t="str">
        <f>IF(E1830="","",IFERROR(VLOOKUP(E1830,'Food Catalog'!$A:$C,3,0),""))</f>
        <v/>
      </c>
      <c r="H1830" s="58" t="str">
        <f>IF(E1830="","",IFERROR(VLOOKUP(E1830,'Food Catalog'!$A:$D,4,0),""))</f>
        <v/>
      </c>
      <c r="I1830" s="59"/>
      <c r="J1830" s="36"/>
    </row>
    <row r="1831" spans="1:10" x14ac:dyDescent="0.35">
      <c r="A1831" s="57" t="str">
        <f t="shared" si="4"/>
        <v/>
      </c>
      <c r="B1831" s="35"/>
      <c r="C1831" s="38"/>
      <c r="D1831" s="58" t="str">
        <f>IF(C1831="","",IFERROR(VLOOKUP(C1831,'Partner Pantries'!$A:$B,2,0),""))</f>
        <v/>
      </c>
      <c r="E1831" s="38"/>
      <c r="F1831" s="58" t="str">
        <f>IF(E1831="","",IFERROR(VLOOKUP(E1831,'Food Catalog'!$A:$B,2,0),""))</f>
        <v/>
      </c>
      <c r="G1831" s="58" t="str">
        <f>IF(E1831="","",IFERROR(VLOOKUP(E1831,'Food Catalog'!$A:$C,3,0),""))</f>
        <v/>
      </c>
      <c r="H1831" s="58" t="str">
        <f>IF(E1831="","",IFERROR(VLOOKUP(E1831,'Food Catalog'!$A:$D,4,0),""))</f>
        <v/>
      </c>
      <c r="I1831" s="59"/>
      <c r="J1831" s="36"/>
    </row>
    <row r="1832" spans="1:10" x14ac:dyDescent="0.35">
      <c r="A1832" s="57" t="str">
        <f t="shared" si="4"/>
        <v/>
      </c>
      <c r="B1832" s="35"/>
      <c r="C1832" s="38"/>
      <c r="D1832" s="58" t="str">
        <f>IF(C1832="","",IFERROR(VLOOKUP(C1832,'Partner Pantries'!$A:$B,2,0),""))</f>
        <v/>
      </c>
      <c r="E1832" s="38"/>
      <c r="F1832" s="58" t="str">
        <f>IF(E1832="","",IFERROR(VLOOKUP(E1832,'Food Catalog'!$A:$B,2,0),""))</f>
        <v/>
      </c>
      <c r="G1832" s="58" t="str">
        <f>IF(E1832="","",IFERROR(VLOOKUP(E1832,'Food Catalog'!$A:$C,3,0),""))</f>
        <v/>
      </c>
      <c r="H1832" s="58" t="str">
        <f>IF(E1832="","",IFERROR(VLOOKUP(E1832,'Food Catalog'!$A:$D,4,0),""))</f>
        <v/>
      </c>
      <c r="I1832" s="59"/>
      <c r="J1832" s="36"/>
    </row>
    <row r="1833" spans="1:10" x14ac:dyDescent="0.35">
      <c r="A1833" s="57" t="str">
        <f t="shared" si="4"/>
        <v/>
      </c>
      <c r="B1833" s="35"/>
      <c r="C1833" s="38"/>
      <c r="D1833" s="58" t="str">
        <f>IF(C1833="","",IFERROR(VLOOKUP(C1833,'Partner Pantries'!$A:$B,2,0),""))</f>
        <v/>
      </c>
      <c r="E1833" s="38"/>
      <c r="F1833" s="58" t="str">
        <f>IF(E1833="","",IFERROR(VLOOKUP(E1833,'Food Catalog'!$A:$B,2,0),""))</f>
        <v/>
      </c>
      <c r="G1833" s="58" t="str">
        <f>IF(E1833="","",IFERROR(VLOOKUP(E1833,'Food Catalog'!$A:$C,3,0),""))</f>
        <v/>
      </c>
      <c r="H1833" s="58" t="str">
        <f>IF(E1833="","",IFERROR(VLOOKUP(E1833,'Food Catalog'!$A:$D,4,0),""))</f>
        <v/>
      </c>
      <c r="I1833" s="59"/>
      <c r="J1833" s="36"/>
    </row>
    <row r="1834" spans="1:10" x14ac:dyDescent="0.35">
      <c r="A1834" s="57" t="str">
        <f t="shared" si="4"/>
        <v/>
      </c>
      <c r="B1834" s="35"/>
      <c r="C1834" s="38"/>
      <c r="D1834" s="58" t="str">
        <f>IF(C1834="","",IFERROR(VLOOKUP(C1834,'Partner Pantries'!$A:$B,2,0),""))</f>
        <v/>
      </c>
      <c r="E1834" s="38"/>
      <c r="F1834" s="58" t="str">
        <f>IF(E1834="","",IFERROR(VLOOKUP(E1834,'Food Catalog'!$A:$B,2,0),""))</f>
        <v/>
      </c>
      <c r="G1834" s="58" t="str">
        <f>IF(E1834="","",IFERROR(VLOOKUP(E1834,'Food Catalog'!$A:$C,3,0),""))</f>
        <v/>
      </c>
      <c r="H1834" s="58" t="str">
        <f>IF(E1834="","",IFERROR(VLOOKUP(E1834,'Food Catalog'!$A:$D,4,0),""))</f>
        <v/>
      </c>
      <c r="I1834" s="59"/>
      <c r="J1834" s="36"/>
    </row>
    <row r="1835" spans="1:10" x14ac:dyDescent="0.35">
      <c r="A1835" s="57" t="str">
        <f t="shared" si="4"/>
        <v/>
      </c>
      <c r="B1835" s="35"/>
      <c r="C1835" s="38"/>
      <c r="D1835" s="58" t="str">
        <f>IF(C1835="","",IFERROR(VLOOKUP(C1835,'Partner Pantries'!$A:$B,2,0),""))</f>
        <v/>
      </c>
      <c r="E1835" s="38"/>
      <c r="F1835" s="58" t="str">
        <f>IF(E1835="","",IFERROR(VLOOKUP(E1835,'Food Catalog'!$A:$B,2,0),""))</f>
        <v/>
      </c>
      <c r="G1835" s="58" t="str">
        <f>IF(E1835="","",IFERROR(VLOOKUP(E1835,'Food Catalog'!$A:$C,3,0),""))</f>
        <v/>
      </c>
      <c r="H1835" s="58" t="str">
        <f>IF(E1835="","",IFERROR(VLOOKUP(E1835,'Food Catalog'!$A:$D,4,0),""))</f>
        <v/>
      </c>
      <c r="I1835" s="59"/>
      <c r="J1835" s="36"/>
    </row>
    <row r="1836" spans="1:10" x14ac:dyDescent="0.35">
      <c r="A1836" s="57" t="str">
        <f t="shared" si="4"/>
        <v/>
      </c>
      <c r="B1836" s="35"/>
      <c r="C1836" s="38"/>
      <c r="D1836" s="58" t="str">
        <f>IF(C1836="","",IFERROR(VLOOKUP(C1836,'Partner Pantries'!$A:$B,2,0),""))</f>
        <v/>
      </c>
      <c r="E1836" s="38"/>
      <c r="F1836" s="58" t="str">
        <f>IF(E1836="","",IFERROR(VLOOKUP(E1836,'Food Catalog'!$A:$B,2,0),""))</f>
        <v/>
      </c>
      <c r="G1836" s="58" t="str">
        <f>IF(E1836="","",IFERROR(VLOOKUP(E1836,'Food Catalog'!$A:$C,3,0),""))</f>
        <v/>
      </c>
      <c r="H1836" s="58" t="str">
        <f>IF(E1836="","",IFERROR(VLOOKUP(E1836,'Food Catalog'!$A:$D,4,0),""))</f>
        <v/>
      </c>
      <c r="I1836" s="59"/>
      <c r="J1836" s="36"/>
    </row>
    <row r="1837" spans="1:10" x14ac:dyDescent="0.35">
      <c r="A1837" s="57" t="str">
        <f t="shared" si="4"/>
        <v/>
      </c>
      <c r="B1837" s="35"/>
      <c r="C1837" s="38"/>
      <c r="D1837" s="58" t="str">
        <f>IF(C1837="","",IFERROR(VLOOKUP(C1837,'Partner Pantries'!$A:$B,2,0),""))</f>
        <v/>
      </c>
      <c r="E1837" s="38"/>
      <c r="F1837" s="58" t="str">
        <f>IF(E1837="","",IFERROR(VLOOKUP(E1837,'Food Catalog'!$A:$B,2,0),""))</f>
        <v/>
      </c>
      <c r="G1837" s="58" t="str">
        <f>IF(E1837="","",IFERROR(VLOOKUP(E1837,'Food Catalog'!$A:$C,3,0),""))</f>
        <v/>
      </c>
      <c r="H1837" s="58" t="str">
        <f>IF(E1837="","",IFERROR(VLOOKUP(E1837,'Food Catalog'!$A:$D,4,0),""))</f>
        <v/>
      </c>
      <c r="I1837" s="59"/>
      <c r="J1837" s="36"/>
    </row>
    <row r="1838" spans="1:10" x14ac:dyDescent="0.35">
      <c r="A1838" s="57" t="str">
        <f t="shared" si="4"/>
        <v/>
      </c>
      <c r="B1838" s="35"/>
      <c r="C1838" s="38"/>
      <c r="D1838" s="58" t="str">
        <f>IF(C1838="","",IFERROR(VLOOKUP(C1838,'Partner Pantries'!$A:$B,2,0),""))</f>
        <v/>
      </c>
      <c r="E1838" s="38"/>
      <c r="F1838" s="58" t="str">
        <f>IF(E1838="","",IFERROR(VLOOKUP(E1838,'Food Catalog'!$A:$B,2,0),""))</f>
        <v/>
      </c>
      <c r="G1838" s="58" t="str">
        <f>IF(E1838="","",IFERROR(VLOOKUP(E1838,'Food Catalog'!$A:$C,3,0),""))</f>
        <v/>
      </c>
      <c r="H1838" s="58" t="str">
        <f>IF(E1838="","",IFERROR(VLOOKUP(E1838,'Food Catalog'!$A:$D,4,0),""))</f>
        <v/>
      </c>
      <c r="I1838" s="59"/>
      <c r="J1838" s="36"/>
    </row>
    <row r="1839" spans="1:10" x14ac:dyDescent="0.35">
      <c r="A1839" s="57" t="str">
        <f t="shared" si="4"/>
        <v/>
      </c>
      <c r="B1839" s="35"/>
      <c r="C1839" s="38"/>
      <c r="D1839" s="58" t="str">
        <f>IF(C1839="","",IFERROR(VLOOKUP(C1839,'Partner Pantries'!$A:$B,2,0),""))</f>
        <v/>
      </c>
      <c r="E1839" s="38"/>
      <c r="F1839" s="58" t="str">
        <f>IF(E1839="","",IFERROR(VLOOKUP(E1839,'Food Catalog'!$A:$B,2,0),""))</f>
        <v/>
      </c>
      <c r="G1839" s="58" t="str">
        <f>IF(E1839="","",IFERROR(VLOOKUP(E1839,'Food Catalog'!$A:$C,3,0),""))</f>
        <v/>
      </c>
      <c r="H1839" s="58" t="str">
        <f>IF(E1839="","",IFERROR(VLOOKUP(E1839,'Food Catalog'!$A:$D,4,0),""))</f>
        <v/>
      </c>
      <c r="I1839" s="59"/>
      <c r="J1839" s="36"/>
    </row>
    <row r="1840" spans="1:10" x14ac:dyDescent="0.35">
      <c r="A1840" s="57" t="str">
        <f t="shared" si="4"/>
        <v/>
      </c>
      <c r="B1840" s="35"/>
      <c r="C1840" s="38"/>
      <c r="D1840" s="58" t="str">
        <f>IF(C1840="","",IFERROR(VLOOKUP(C1840,'Partner Pantries'!$A:$B,2,0),""))</f>
        <v/>
      </c>
      <c r="E1840" s="38"/>
      <c r="F1840" s="58" t="str">
        <f>IF(E1840="","",IFERROR(VLOOKUP(E1840,'Food Catalog'!$A:$B,2,0),""))</f>
        <v/>
      </c>
      <c r="G1840" s="58" t="str">
        <f>IF(E1840="","",IFERROR(VLOOKUP(E1840,'Food Catalog'!$A:$C,3,0),""))</f>
        <v/>
      </c>
      <c r="H1840" s="58" t="str">
        <f>IF(E1840="","",IFERROR(VLOOKUP(E1840,'Food Catalog'!$A:$D,4,0),""))</f>
        <v/>
      </c>
      <c r="I1840" s="59"/>
      <c r="J1840" s="36"/>
    </row>
    <row r="1841" spans="1:10" x14ac:dyDescent="0.35">
      <c r="A1841" s="57" t="str">
        <f t="shared" si="4"/>
        <v/>
      </c>
      <c r="B1841" s="35"/>
      <c r="C1841" s="38"/>
      <c r="D1841" s="58" t="str">
        <f>IF(C1841="","",IFERROR(VLOOKUP(C1841,'Partner Pantries'!$A:$B,2,0),""))</f>
        <v/>
      </c>
      <c r="E1841" s="38"/>
      <c r="F1841" s="58" t="str">
        <f>IF(E1841="","",IFERROR(VLOOKUP(E1841,'Food Catalog'!$A:$B,2,0),""))</f>
        <v/>
      </c>
      <c r="G1841" s="58" t="str">
        <f>IF(E1841="","",IFERROR(VLOOKUP(E1841,'Food Catalog'!$A:$C,3,0),""))</f>
        <v/>
      </c>
      <c r="H1841" s="58" t="str">
        <f>IF(E1841="","",IFERROR(VLOOKUP(E1841,'Food Catalog'!$A:$D,4,0),""))</f>
        <v/>
      </c>
      <c r="I1841" s="59"/>
      <c r="J1841" s="36"/>
    </row>
    <row r="1842" spans="1:10" x14ac:dyDescent="0.35">
      <c r="A1842" s="57" t="str">
        <f t="shared" si="4"/>
        <v/>
      </c>
      <c r="B1842" s="35"/>
      <c r="C1842" s="38"/>
      <c r="D1842" s="58" t="str">
        <f>IF(C1842="","",IFERROR(VLOOKUP(C1842,'Partner Pantries'!$A:$B,2,0),""))</f>
        <v/>
      </c>
      <c r="E1842" s="38"/>
      <c r="F1842" s="58" t="str">
        <f>IF(E1842="","",IFERROR(VLOOKUP(E1842,'Food Catalog'!$A:$B,2,0),""))</f>
        <v/>
      </c>
      <c r="G1842" s="58" t="str">
        <f>IF(E1842="","",IFERROR(VLOOKUP(E1842,'Food Catalog'!$A:$C,3,0),""))</f>
        <v/>
      </c>
      <c r="H1842" s="58" t="str">
        <f>IF(E1842="","",IFERROR(VLOOKUP(E1842,'Food Catalog'!$A:$D,4,0),""))</f>
        <v/>
      </c>
      <c r="I1842" s="59"/>
      <c r="J1842" s="36"/>
    </row>
    <row r="1843" spans="1:10" x14ac:dyDescent="0.35">
      <c r="A1843" s="57" t="str">
        <f t="shared" si="4"/>
        <v/>
      </c>
      <c r="B1843" s="35"/>
      <c r="C1843" s="38"/>
      <c r="D1843" s="58" t="str">
        <f>IF(C1843="","",IFERROR(VLOOKUP(C1843,'Partner Pantries'!$A:$B,2,0),""))</f>
        <v/>
      </c>
      <c r="E1843" s="38"/>
      <c r="F1843" s="58" t="str">
        <f>IF(E1843="","",IFERROR(VLOOKUP(E1843,'Food Catalog'!$A:$B,2,0),""))</f>
        <v/>
      </c>
      <c r="G1843" s="58" t="str">
        <f>IF(E1843="","",IFERROR(VLOOKUP(E1843,'Food Catalog'!$A:$C,3,0),""))</f>
        <v/>
      </c>
      <c r="H1843" s="58" t="str">
        <f>IF(E1843="","",IFERROR(VLOOKUP(E1843,'Food Catalog'!$A:$D,4,0),""))</f>
        <v/>
      </c>
      <c r="I1843" s="59"/>
      <c r="J1843" s="36"/>
    </row>
    <row r="1844" spans="1:10" x14ac:dyDescent="0.35">
      <c r="A1844" s="57" t="str">
        <f t="shared" ref="A1844:A1875" si="5">IF(I1844="","",TEXT(ROW()-1682,"DIST-0000"))</f>
        <v/>
      </c>
      <c r="B1844" s="35"/>
      <c r="C1844" s="38"/>
      <c r="D1844" s="58" t="str">
        <f>IF(C1844="","",IFERROR(VLOOKUP(C1844,'Partner Pantries'!$A:$B,2,0),""))</f>
        <v/>
      </c>
      <c r="E1844" s="38"/>
      <c r="F1844" s="58" t="str">
        <f>IF(E1844="","",IFERROR(VLOOKUP(E1844,'Food Catalog'!$A:$B,2,0),""))</f>
        <v/>
      </c>
      <c r="G1844" s="58" t="str">
        <f>IF(E1844="","",IFERROR(VLOOKUP(E1844,'Food Catalog'!$A:$C,3,0),""))</f>
        <v/>
      </c>
      <c r="H1844" s="58" t="str">
        <f>IF(E1844="","",IFERROR(VLOOKUP(E1844,'Food Catalog'!$A:$D,4,0),""))</f>
        <v/>
      </c>
      <c r="I1844" s="59"/>
      <c r="J1844" s="36"/>
    </row>
    <row r="1845" spans="1:10" x14ac:dyDescent="0.35">
      <c r="A1845" s="57" t="str">
        <f t="shared" si="5"/>
        <v/>
      </c>
      <c r="B1845" s="35"/>
      <c r="C1845" s="38"/>
      <c r="D1845" s="58" t="str">
        <f>IF(C1845="","",IFERROR(VLOOKUP(C1845,'Partner Pantries'!$A:$B,2,0),""))</f>
        <v/>
      </c>
      <c r="E1845" s="38"/>
      <c r="F1845" s="58" t="str">
        <f>IF(E1845="","",IFERROR(VLOOKUP(E1845,'Food Catalog'!$A:$B,2,0),""))</f>
        <v/>
      </c>
      <c r="G1845" s="58" t="str">
        <f>IF(E1845="","",IFERROR(VLOOKUP(E1845,'Food Catalog'!$A:$C,3,0),""))</f>
        <v/>
      </c>
      <c r="H1845" s="58" t="str">
        <f>IF(E1845="","",IFERROR(VLOOKUP(E1845,'Food Catalog'!$A:$D,4,0),""))</f>
        <v/>
      </c>
      <c r="I1845" s="59"/>
      <c r="J1845" s="36"/>
    </row>
    <row r="1846" spans="1:10" x14ac:dyDescent="0.35">
      <c r="A1846" s="57" t="str">
        <f t="shared" si="5"/>
        <v/>
      </c>
      <c r="B1846" s="35"/>
      <c r="C1846" s="38"/>
      <c r="D1846" s="58" t="str">
        <f>IF(C1846="","",IFERROR(VLOOKUP(C1846,'Partner Pantries'!$A:$B,2,0),""))</f>
        <v/>
      </c>
      <c r="E1846" s="38"/>
      <c r="F1846" s="58" t="str">
        <f>IF(E1846="","",IFERROR(VLOOKUP(E1846,'Food Catalog'!$A:$B,2,0),""))</f>
        <v/>
      </c>
      <c r="G1846" s="58" t="str">
        <f>IF(E1846="","",IFERROR(VLOOKUP(E1846,'Food Catalog'!$A:$C,3,0),""))</f>
        <v/>
      </c>
      <c r="H1846" s="58" t="str">
        <f>IF(E1846="","",IFERROR(VLOOKUP(E1846,'Food Catalog'!$A:$D,4,0),""))</f>
        <v/>
      </c>
      <c r="I1846" s="59"/>
      <c r="J1846" s="36"/>
    </row>
    <row r="1847" spans="1:10" x14ac:dyDescent="0.35">
      <c r="A1847" s="57" t="str">
        <f t="shared" si="5"/>
        <v/>
      </c>
      <c r="B1847" s="35"/>
      <c r="C1847" s="38"/>
      <c r="D1847" s="58" t="str">
        <f>IF(C1847="","",IFERROR(VLOOKUP(C1847,'Partner Pantries'!$A:$B,2,0),""))</f>
        <v/>
      </c>
      <c r="E1847" s="38"/>
      <c r="F1847" s="58" t="str">
        <f>IF(E1847="","",IFERROR(VLOOKUP(E1847,'Food Catalog'!$A:$B,2,0),""))</f>
        <v/>
      </c>
      <c r="G1847" s="58" t="str">
        <f>IF(E1847="","",IFERROR(VLOOKUP(E1847,'Food Catalog'!$A:$C,3,0),""))</f>
        <v/>
      </c>
      <c r="H1847" s="58" t="str">
        <f>IF(E1847="","",IFERROR(VLOOKUP(E1847,'Food Catalog'!$A:$D,4,0),""))</f>
        <v/>
      </c>
      <c r="I1847" s="59"/>
      <c r="J1847" s="36"/>
    </row>
    <row r="1848" spans="1:10" x14ac:dyDescent="0.35">
      <c r="A1848" s="57" t="str">
        <f t="shared" si="5"/>
        <v/>
      </c>
      <c r="B1848" s="35"/>
      <c r="C1848" s="38"/>
      <c r="D1848" s="58" t="str">
        <f>IF(C1848="","",IFERROR(VLOOKUP(C1848,'Partner Pantries'!$A:$B,2,0),""))</f>
        <v/>
      </c>
      <c r="E1848" s="38"/>
      <c r="F1848" s="58" t="str">
        <f>IF(E1848="","",IFERROR(VLOOKUP(E1848,'Food Catalog'!$A:$B,2,0),""))</f>
        <v/>
      </c>
      <c r="G1848" s="58" t="str">
        <f>IF(E1848="","",IFERROR(VLOOKUP(E1848,'Food Catalog'!$A:$C,3,0),""))</f>
        <v/>
      </c>
      <c r="H1848" s="58" t="str">
        <f>IF(E1848="","",IFERROR(VLOOKUP(E1848,'Food Catalog'!$A:$D,4,0),""))</f>
        <v/>
      </c>
      <c r="I1848" s="59"/>
      <c r="J1848" s="36"/>
    </row>
    <row r="1849" spans="1:10" x14ac:dyDescent="0.35">
      <c r="A1849" s="57" t="str">
        <f t="shared" si="5"/>
        <v/>
      </c>
      <c r="B1849" s="35"/>
      <c r="C1849" s="38"/>
      <c r="D1849" s="58" t="str">
        <f>IF(C1849="","",IFERROR(VLOOKUP(C1849,'Partner Pantries'!$A:$B,2,0),""))</f>
        <v/>
      </c>
      <c r="E1849" s="38"/>
      <c r="F1849" s="58" t="str">
        <f>IF(E1849="","",IFERROR(VLOOKUP(E1849,'Food Catalog'!$A:$B,2,0),""))</f>
        <v/>
      </c>
      <c r="G1849" s="58" t="str">
        <f>IF(E1849="","",IFERROR(VLOOKUP(E1849,'Food Catalog'!$A:$C,3,0),""))</f>
        <v/>
      </c>
      <c r="H1849" s="58" t="str">
        <f>IF(E1849="","",IFERROR(VLOOKUP(E1849,'Food Catalog'!$A:$D,4,0),""))</f>
        <v/>
      </c>
      <c r="I1849" s="59"/>
      <c r="J1849" s="36"/>
    </row>
    <row r="1850" spans="1:10" x14ac:dyDescent="0.35">
      <c r="A1850" s="57" t="str">
        <f t="shared" si="5"/>
        <v/>
      </c>
      <c r="B1850" s="35"/>
      <c r="C1850" s="38"/>
      <c r="D1850" s="58" t="str">
        <f>IF(C1850="","",IFERROR(VLOOKUP(C1850,'Partner Pantries'!$A:$B,2,0),""))</f>
        <v/>
      </c>
      <c r="E1850" s="38"/>
      <c r="F1850" s="58" t="str">
        <f>IF(E1850="","",IFERROR(VLOOKUP(E1850,'Food Catalog'!$A:$B,2,0),""))</f>
        <v/>
      </c>
      <c r="G1850" s="58" t="str">
        <f>IF(E1850="","",IFERROR(VLOOKUP(E1850,'Food Catalog'!$A:$C,3,0),""))</f>
        <v/>
      </c>
      <c r="H1850" s="58" t="str">
        <f>IF(E1850="","",IFERROR(VLOOKUP(E1850,'Food Catalog'!$A:$D,4,0),""))</f>
        <v/>
      </c>
      <c r="I1850" s="59"/>
      <c r="J1850" s="36"/>
    </row>
    <row r="1851" spans="1:10" x14ac:dyDescent="0.35">
      <c r="A1851" s="57" t="str">
        <f t="shared" si="5"/>
        <v/>
      </c>
      <c r="B1851" s="35"/>
      <c r="C1851" s="38"/>
      <c r="D1851" s="58" t="str">
        <f>IF(C1851="","",IFERROR(VLOOKUP(C1851,'Partner Pantries'!$A:$B,2,0),""))</f>
        <v/>
      </c>
      <c r="E1851" s="38"/>
      <c r="F1851" s="58" t="str">
        <f>IF(E1851="","",IFERROR(VLOOKUP(E1851,'Food Catalog'!$A:$B,2,0),""))</f>
        <v/>
      </c>
      <c r="G1851" s="58" t="str">
        <f>IF(E1851="","",IFERROR(VLOOKUP(E1851,'Food Catalog'!$A:$C,3,0),""))</f>
        <v/>
      </c>
      <c r="H1851" s="58" t="str">
        <f>IF(E1851="","",IFERROR(VLOOKUP(E1851,'Food Catalog'!$A:$D,4,0),""))</f>
        <v/>
      </c>
      <c r="I1851" s="59"/>
      <c r="J1851" s="36"/>
    </row>
    <row r="1852" spans="1:10" x14ac:dyDescent="0.35">
      <c r="A1852" s="57" t="str">
        <f t="shared" si="5"/>
        <v/>
      </c>
      <c r="B1852" s="35"/>
      <c r="C1852" s="38"/>
      <c r="D1852" s="58" t="str">
        <f>IF(C1852="","",IFERROR(VLOOKUP(C1852,'Partner Pantries'!$A:$B,2,0),""))</f>
        <v/>
      </c>
      <c r="E1852" s="38"/>
      <c r="F1852" s="58" t="str">
        <f>IF(E1852="","",IFERROR(VLOOKUP(E1852,'Food Catalog'!$A:$B,2,0),""))</f>
        <v/>
      </c>
      <c r="G1852" s="58" t="str">
        <f>IF(E1852="","",IFERROR(VLOOKUP(E1852,'Food Catalog'!$A:$C,3,0),""))</f>
        <v/>
      </c>
      <c r="H1852" s="58" t="str">
        <f>IF(E1852="","",IFERROR(VLOOKUP(E1852,'Food Catalog'!$A:$D,4,0),""))</f>
        <v/>
      </c>
      <c r="I1852" s="59"/>
      <c r="J1852" s="36"/>
    </row>
    <row r="1853" spans="1:10" x14ac:dyDescent="0.35">
      <c r="A1853" s="57" t="str">
        <f t="shared" si="5"/>
        <v/>
      </c>
      <c r="B1853" s="35"/>
      <c r="C1853" s="38"/>
      <c r="D1853" s="58" t="str">
        <f>IF(C1853="","",IFERROR(VLOOKUP(C1853,'Partner Pantries'!$A:$B,2,0),""))</f>
        <v/>
      </c>
      <c r="E1853" s="38"/>
      <c r="F1853" s="58" t="str">
        <f>IF(E1853="","",IFERROR(VLOOKUP(E1853,'Food Catalog'!$A:$B,2,0),""))</f>
        <v/>
      </c>
      <c r="G1853" s="58" t="str">
        <f>IF(E1853="","",IFERROR(VLOOKUP(E1853,'Food Catalog'!$A:$C,3,0),""))</f>
        <v/>
      </c>
      <c r="H1853" s="58" t="str">
        <f>IF(E1853="","",IFERROR(VLOOKUP(E1853,'Food Catalog'!$A:$D,4,0),""))</f>
        <v/>
      </c>
      <c r="I1853" s="59"/>
      <c r="J1853" s="36"/>
    </row>
    <row r="1854" spans="1:10" x14ac:dyDescent="0.35">
      <c r="A1854" s="57" t="str">
        <f t="shared" si="5"/>
        <v/>
      </c>
      <c r="B1854" s="35"/>
      <c r="C1854" s="38"/>
      <c r="D1854" s="58" t="str">
        <f>IF(C1854="","",IFERROR(VLOOKUP(C1854,'Partner Pantries'!$A:$B,2,0),""))</f>
        <v/>
      </c>
      <c r="E1854" s="38"/>
      <c r="F1854" s="58" t="str">
        <f>IF(E1854="","",IFERROR(VLOOKUP(E1854,'Food Catalog'!$A:$B,2,0),""))</f>
        <v/>
      </c>
      <c r="G1854" s="58" t="str">
        <f>IF(E1854="","",IFERROR(VLOOKUP(E1854,'Food Catalog'!$A:$C,3,0),""))</f>
        <v/>
      </c>
      <c r="H1854" s="58" t="str">
        <f>IF(E1854="","",IFERROR(VLOOKUP(E1854,'Food Catalog'!$A:$D,4,0),""))</f>
        <v/>
      </c>
      <c r="I1854" s="59"/>
      <c r="J1854" s="36"/>
    </row>
    <row r="1855" spans="1:10" x14ac:dyDescent="0.35">
      <c r="A1855" s="57" t="str">
        <f t="shared" si="5"/>
        <v/>
      </c>
      <c r="B1855" s="35"/>
      <c r="C1855" s="38"/>
      <c r="D1855" s="58" t="str">
        <f>IF(C1855="","",IFERROR(VLOOKUP(C1855,'Partner Pantries'!$A:$B,2,0),""))</f>
        <v/>
      </c>
      <c r="E1855" s="38"/>
      <c r="F1855" s="58" t="str">
        <f>IF(E1855="","",IFERROR(VLOOKUP(E1855,'Food Catalog'!$A:$B,2,0),""))</f>
        <v/>
      </c>
      <c r="G1855" s="58" t="str">
        <f>IF(E1855="","",IFERROR(VLOOKUP(E1855,'Food Catalog'!$A:$C,3,0),""))</f>
        <v/>
      </c>
      <c r="H1855" s="58" t="str">
        <f>IF(E1855="","",IFERROR(VLOOKUP(E1855,'Food Catalog'!$A:$D,4,0),""))</f>
        <v/>
      </c>
      <c r="I1855" s="59"/>
      <c r="J1855" s="36"/>
    </row>
    <row r="1856" spans="1:10" x14ac:dyDescent="0.35">
      <c r="A1856" s="57" t="str">
        <f t="shared" si="5"/>
        <v/>
      </c>
      <c r="B1856" s="35"/>
      <c r="C1856" s="38"/>
      <c r="D1856" s="58" t="str">
        <f>IF(C1856="","",IFERROR(VLOOKUP(C1856,'Partner Pantries'!$A:$B,2,0),""))</f>
        <v/>
      </c>
      <c r="E1856" s="38"/>
      <c r="F1856" s="58" t="str">
        <f>IF(E1856="","",IFERROR(VLOOKUP(E1856,'Food Catalog'!$A:$B,2,0),""))</f>
        <v/>
      </c>
      <c r="G1856" s="58" t="str">
        <f>IF(E1856="","",IFERROR(VLOOKUP(E1856,'Food Catalog'!$A:$C,3,0),""))</f>
        <v/>
      </c>
      <c r="H1856" s="58" t="str">
        <f>IF(E1856="","",IFERROR(VLOOKUP(E1856,'Food Catalog'!$A:$D,4,0),""))</f>
        <v/>
      </c>
      <c r="I1856" s="59"/>
      <c r="J1856" s="36"/>
    </row>
    <row r="1857" spans="1:10" x14ac:dyDescent="0.35">
      <c r="A1857" s="57" t="str">
        <f t="shared" si="5"/>
        <v/>
      </c>
      <c r="B1857" s="35"/>
      <c r="C1857" s="38"/>
      <c r="D1857" s="58" t="str">
        <f>IF(C1857="","",IFERROR(VLOOKUP(C1857,'Partner Pantries'!$A:$B,2,0),""))</f>
        <v/>
      </c>
      <c r="E1857" s="38"/>
      <c r="F1857" s="58" t="str">
        <f>IF(E1857="","",IFERROR(VLOOKUP(E1857,'Food Catalog'!$A:$B,2,0),""))</f>
        <v/>
      </c>
      <c r="G1857" s="58" t="str">
        <f>IF(E1857="","",IFERROR(VLOOKUP(E1857,'Food Catalog'!$A:$C,3,0),""))</f>
        <v/>
      </c>
      <c r="H1857" s="58" t="str">
        <f>IF(E1857="","",IFERROR(VLOOKUP(E1857,'Food Catalog'!$A:$D,4,0),""))</f>
        <v/>
      </c>
      <c r="I1857" s="59"/>
      <c r="J1857" s="36"/>
    </row>
    <row r="1858" spans="1:10" x14ac:dyDescent="0.35">
      <c r="A1858" s="57" t="str">
        <f t="shared" si="5"/>
        <v/>
      </c>
      <c r="B1858" s="35"/>
      <c r="C1858" s="38"/>
      <c r="D1858" s="58" t="str">
        <f>IF(C1858="","",IFERROR(VLOOKUP(C1858,'Partner Pantries'!$A:$B,2,0),""))</f>
        <v/>
      </c>
      <c r="E1858" s="38"/>
      <c r="F1858" s="58" t="str">
        <f>IF(E1858="","",IFERROR(VLOOKUP(E1858,'Food Catalog'!$A:$B,2,0),""))</f>
        <v/>
      </c>
      <c r="G1858" s="58" t="str">
        <f>IF(E1858="","",IFERROR(VLOOKUP(E1858,'Food Catalog'!$A:$C,3,0),""))</f>
        <v/>
      </c>
      <c r="H1858" s="58" t="str">
        <f>IF(E1858="","",IFERROR(VLOOKUP(E1858,'Food Catalog'!$A:$D,4,0),""))</f>
        <v/>
      </c>
      <c r="I1858" s="59"/>
      <c r="J1858" s="36"/>
    </row>
    <row r="1859" spans="1:10" x14ac:dyDescent="0.35">
      <c r="A1859" s="57" t="str">
        <f t="shared" si="5"/>
        <v/>
      </c>
      <c r="B1859" s="35"/>
      <c r="C1859" s="38"/>
      <c r="D1859" s="58" t="str">
        <f>IF(C1859="","",IFERROR(VLOOKUP(C1859,'Partner Pantries'!$A:$B,2,0),""))</f>
        <v/>
      </c>
      <c r="E1859" s="38"/>
      <c r="F1859" s="58" t="str">
        <f>IF(E1859="","",IFERROR(VLOOKUP(E1859,'Food Catalog'!$A:$B,2,0),""))</f>
        <v/>
      </c>
      <c r="G1859" s="58" t="str">
        <f>IF(E1859="","",IFERROR(VLOOKUP(E1859,'Food Catalog'!$A:$C,3,0),""))</f>
        <v/>
      </c>
      <c r="H1859" s="58" t="str">
        <f>IF(E1859="","",IFERROR(VLOOKUP(E1859,'Food Catalog'!$A:$D,4,0),""))</f>
        <v/>
      </c>
      <c r="I1859" s="59"/>
      <c r="J1859" s="36"/>
    </row>
    <row r="1860" spans="1:10" x14ac:dyDescent="0.35">
      <c r="A1860" s="57" t="str">
        <f t="shared" si="5"/>
        <v/>
      </c>
      <c r="B1860" s="35"/>
      <c r="C1860" s="38"/>
      <c r="D1860" s="58" t="str">
        <f>IF(C1860="","",IFERROR(VLOOKUP(C1860,'Partner Pantries'!$A:$B,2,0),""))</f>
        <v/>
      </c>
      <c r="E1860" s="38"/>
      <c r="F1860" s="58" t="str">
        <f>IF(E1860="","",IFERROR(VLOOKUP(E1860,'Food Catalog'!$A:$B,2,0),""))</f>
        <v/>
      </c>
      <c r="G1860" s="58" t="str">
        <f>IF(E1860="","",IFERROR(VLOOKUP(E1860,'Food Catalog'!$A:$C,3,0),""))</f>
        <v/>
      </c>
      <c r="H1860" s="58" t="str">
        <f>IF(E1860="","",IFERROR(VLOOKUP(E1860,'Food Catalog'!$A:$D,4,0),""))</f>
        <v/>
      </c>
      <c r="I1860" s="59"/>
      <c r="J1860" s="36"/>
    </row>
    <row r="1861" spans="1:10" x14ac:dyDescent="0.35">
      <c r="A1861" s="57" t="str">
        <f t="shared" si="5"/>
        <v/>
      </c>
      <c r="B1861" s="35"/>
      <c r="C1861" s="38"/>
      <c r="D1861" s="58" t="str">
        <f>IF(C1861="","",IFERROR(VLOOKUP(C1861,'Partner Pantries'!$A:$B,2,0),""))</f>
        <v/>
      </c>
      <c r="E1861" s="38"/>
      <c r="F1861" s="58" t="str">
        <f>IF(E1861="","",IFERROR(VLOOKUP(E1861,'Food Catalog'!$A:$B,2,0),""))</f>
        <v/>
      </c>
      <c r="G1861" s="58" t="str">
        <f>IF(E1861="","",IFERROR(VLOOKUP(E1861,'Food Catalog'!$A:$C,3,0),""))</f>
        <v/>
      </c>
      <c r="H1861" s="58" t="str">
        <f>IF(E1861="","",IFERROR(VLOOKUP(E1861,'Food Catalog'!$A:$D,4,0),""))</f>
        <v/>
      </c>
      <c r="I1861" s="59"/>
      <c r="J1861" s="36"/>
    </row>
    <row r="1862" spans="1:10" x14ac:dyDescent="0.35">
      <c r="A1862" s="57" t="str">
        <f t="shared" si="5"/>
        <v/>
      </c>
      <c r="B1862" s="35"/>
      <c r="C1862" s="38"/>
      <c r="D1862" s="58" t="str">
        <f>IF(C1862="","",IFERROR(VLOOKUP(C1862,'Partner Pantries'!$A:$B,2,0),""))</f>
        <v/>
      </c>
      <c r="E1862" s="38"/>
      <c r="F1862" s="58" t="str">
        <f>IF(E1862="","",IFERROR(VLOOKUP(E1862,'Food Catalog'!$A:$B,2,0),""))</f>
        <v/>
      </c>
      <c r="G1862" s="58" t="str">
        <f>IF(E1862="","",IFERROR(VLOOKUP(E1862,'Food Catalog'!$A:$C,3,0),""))</f>
        <v/>
      </c>
      <c r="H1862" s="58" t="str">
        <f>IF(E1862="","",IFERROR(VLOOKUP(E1862,'Food Catalog'!$A:$D,4,0),""))</f>
        <v/>
      </c>
      <c r="I1862" s="59"/>
      <c r="J1862" s="36"/>
    </row>
    <row r="1863" spans="1:10" x14ac:dyDescent="0.35">
      <c r="A1863" s="57" t="str">
        <f t="shared" si="5"/>
        <v/>
      </c>
      <c r="B1863" s="35"/>
      <c r="C1863" s="38"/>
      <c r="D1863" s="58" t="str">
        <f>IF(C1863="","",IFERROR(VLOOKUP(C1863,'Partner Pantries'!$A:$B,2,0),""))</f>
        <v/>
      </c>
      <c r="E1863" s="38"/>
      <c r="F1863" s="58" t="str">
        <f>IF(E1863="","",IFERROR(VLOOKUP(E1863,'Food Catalog'!$A:$B,2,0),""))</f>
        <v/>
      </c>
      <c r="G1863" s="58" t="str">
        <f>IF(E1863="","",IFERROR(VLOOKUP(E1863,'Food Catalog'!$A:$C,3,0),""))</f>
        <v/>
      </c>
      <c r="H1863" s="58" t="str">
        <f>IF(E1863="","",IFERROR(VLOOKUP(E1863,'Food Catalog'!$A:$D,4,0),""))</f>
        <v/>
      </c>
      <c r="I1863" s="59"/>
      <c r="J1863" s="36"/>
    </row>
    <row r="1864" spans="1:10" x14ac:dyDescent="0.35">
      <c r="A1864" s="57" t="str">
        <f t="shared" si="5"/>
        <v/>
      </c>
      <c r="B1864" s="35"/>
      <c r="C1864" s="38"/>
      <c r="D1864" s="58" t="str">
        <f>IF(C1864="","",IFERROR(VLOOKUP(C1864,'Partner Pantries'!$A:$B,2,0),""))</f>
        <v/>
      </c>
      <c r="E1864" s="38"/>
      <c r="F1864" s="58" t="str">
        <f>IF(E1864="","",IFERROR(VLOOKUP(E1864,'Food Catalog'!$A:$B,2,0),""))</f>
        <v/>
      </c>
      <c r="G1864" s="58" t="str">
        <f>IF(E1864="","",IFERROR(VLOOKUP(E1864,'Food Catalog'!$A:$C,3,0),""))</f>
        <v/>
      </c>
      <c r="H1864" s="58" t="str">
        <f>IF(E1864="","",IFERROR(VLOOKUP(E1864,'Food Catalog'!$A:$D,4,0),""))</f>
        <v/>
      </c>
      <c r="I1864" s="59"/>
      <c r="J1864" s="36"/>
    </row>
    <row r="1865" spans="1:10" x14ac:dyDescent="0.35">
      <c r="A1865" s="57" t="str">
        <f t="shared" si="5"/>
        <v/>
      </c>
      <c r="B1865" s="35"/>
      <c r="C1865" s="38"/>
      <c r="D1865" s="58" t="str">
        <f>IF(C1865="","",IFERROR(VLOOKUP(C1865,'Partner Pantries'!$A:$B,2,0),""))</f>
        <v/>
      </c>
      <c r="E1865" s="38"/>
      <c r="F1865" s="58" t="str">
        <f>IF(E1865="","",IFERROR(VLOOKUP(E1865,'Food Catalog'!$A:$B,2,0),""))</f>
        <v/>
      </c>
      <c r="G1865" s="58" t="str">
        <f>IF(E1865="","",IFERROR(VLOOKUP(E1865,'Food Catalog'!$A:$C,3,0),""))</f>
        <v/>
      </c>
      <c r="H1865" s="58" t="str">
        <f>IF(E1865="","",IFERROR(VLOOKUP(E1865,'Food Catalog'!$A:$D,4,0),""))</f>
        <v/>
      </c>
      <c r="I1865" s="59"/>
      <c r="J1865" s="36"/>
    </row>
    <row r="1866" spans="1:10" x14ac:dyDescent="0.35">
      <c r="A1866" s="57" t="str">
        <f t="shared" si="5"/>
        <v/>
      </c>
      <c r="B1866" s="35"/>
      <c r="C1866" s="38"/>
      <c r="D1866" s="58" t="str">
        <f>IF(C1866="","",IFERROR(VLOOKUP(C1866,'Partner Pantries'!$A:$B,2,0),""))</f>
        <v/>
      </c>
      <c r="E1866" s="38"/>
      <c r="F1866" s="58" t="str">
        <f>IF(E1866="","",IFERROR(VLOOKUP(E1866,'Food Catalog'!$A:$B,2,0),""))</f>
        <v/>
      </c>
      <c r="G1866" s="58" t="str">
        <f>IF(E1866="","",IFERROR(VLOOKUP(E1866,'Food Catalog'!$A:$C,3,0),""))</f>
        <v/>
      </c>
      <c r="H1866" s="58" t="str">
        <f>IF(E1866="","",IFERROR(VLOOKUP(E1866,'Food Catalog'!$A:$D,4,0),""))</f>
        <v/>
      </c>
      <c r="I1866" s="59"/>
      <c r="J1866" s="36"/>
    </row>
    <row r="1867" spans="1:10" x14ac:dyDescent="0.35">
      <c r="A1867" s="57" t="str">
        <f t="shared" si="5"/>
        <v/>
      </c>
      <c r="B1867" s="35"/>
      <c r="C1867" s="38"/>
      <c r="D1867" s="58" t="str">
        <f>IF(C1867="","",IFERROR(VLOOKUP(C1867,'Partner Pantries'!$A:$B,2,0),""))</f>
        <v/>
      </c>
      <c r="E1867" s="38"/>
      <c r="F1867" s="58" t="str">
        <f>IF(E1867="","",IFERROR(VLOOKUP(E1867,'Food Catalog'!$A:$B,2,0),""))</f>
        <v/>
      </c>
      <c r="G1867" s="58" t="str">
        <f>IF(E1867="","",IFERROR(VLOOKUP(E1867,'Food Catalog'!$A:$C,3,0),""))</f>
        <v/>
      </c>
      <c r="H1867" s="58" t="str">
        <f>IF(E1867="","",IFERROR(VLOOKUP(E1867,'Food Catalog'!$A:$D,4,0),""))</f>
        <v/>
      </c>
      <c r="I1867" s="59"/>
      <c r="J1867" s="36"/>
    </row>
    <row r="1868" spans="1:10" x14ac:dyDescent="0.35">
      <c r="A1868" s="57" t="str">
        <f t="shared" si="5"/>
        <v/>
      </c>
      <c r="B1868" s="35"/>
      <c r="C1868" s="38"/>
      <c r="D1868" s="58" t="str">
        <f>IF(C1868="","",IFERROR(VLOOKUP(C1868,'Partner Pantries'!$A:$B,2,0),""))</f>
        <v/>
      </c>
      <c r="E1868" s="38"/>
      <c r="F1868" s="58" t="str">
        <f>IF(E1868="","",IFERROR(VLOOKUP(E1868,'Food Catalog'!$A:$B,2,0),""))</f>
        <v/>
      </c>
      <c r="G1868" s="58" t="str">
        <f>IF(E1868="","",IFERROR(VLOOKUP(E1868,'Food Catalog'!$A:$C,3,0),""))</f>
        <v/>
      </c>
      <c r="H1868" s="58" t="str">
        <f>IF(E1868="","",IFERROR(VLOOKUP(E1868,'Food Catalog'!$A:$D,4,0),""))</f>
        <v/>
      </c>
      <c r="I1868" s="59"/>
      <c r="J1868" s="36"/>
    </row>
    <row r="1869" spans="1:10" x14ac:dyDescent="0.35">
      <c r="A1869" s="57" t="str">
        <f t="shared" si="5"/>
        <v/>
      </c>
      <c r="B1869" s="35"/>
      <c r="C1869" s="38"/>
      <c r="D1869" s="58" t="str">
        <f>IF(C1869="","",IFERROR(VLOOKUP(C1869,'Partner Pantries'!$A:$B,2,0),""))</f>
        <v/>
      </c>
      <c r="E1869" s="38"/>
      <c r="F1869" s="58" t="str">
        <f>IF(E1869="","",IFERROR(VLOOKUP(E1869,'Food Catalog'!$A:$B,2,0),""))</f>
        <v/>
      </c>
      <c r="G1869" s="58" t="str">
        <f>IF(E1869="","",IFERROR(VLOOKUP(E1869,'Food Catalog'!$A:$C,3,0),""))</f>
        <v/>
      </c>
      <c r="H1869" s="58" t="str">
        <f>IF(E1869="","",IFERROR(VLOOKUP(E1869,'Food Catalog'!$A:$D,4,0),""))</f>
        <v/>
      </c>
      <c r="I1869" s="59"/>
      <c r="J1869" s="36"/>
    </row>
    <row r="1870" spans="1:10" x14ac:dyDescent="0.35">
      <c r="A1870" s="57" t="str">
        <f t="shared" si="5"/>
        <v/>
      </c>
      <c r="B1870" s="35"/>
      <c r="C1870" s="38"/>
      <c r="D1870" s="58" t="str">
        <f>IF(C1870="","",IFERROR(VLOOKUP(C1870,'Partner Pantries'!$A:$B,2,0),""))</f>
        <v/>
      </c>
      <c r="E1870" s="38"/>
      <c r="F1870" s="58" t="str">
        <f>IF(E1870="","",IFERROR(VLOOKUP(E1870,'Food Catalog'!$A:$B,2,0),""))</f>
        <v/>
      </c>
      <c r="G1870" s="58" t="str">
        <f>IF(E1870="","",IFERROR(VLOOKUP(E1870,'Food Catalog'!$A:$C,3,0),""))</f>
        <v/>
      </c>
      <c r="H1870" s="58" t="str">
        <f>IF(E1870="","",IFERROR(VLOOKUP(E1870,'Food Catalog'!$A:$D,4,0),""))</f>
        <v/>
      </c>
      <c r="I1870" s="59"/>
      <c r="J1870" s="36"/>
    </row>
    <row r="1871" spans="1:10" x14ac:dyDescent="0.35">
      <c r="A1871" s="57" t="str">
        <f t="shared" si="5"/>
        <v/>
      </c>
      <c r="B1871" s="35"/>
      <c r="C1871" s="38"/>
      <c r="D1871" s="58" t="str">
        <f>IF(C1871="","",IFERROR(VLOOKUP(C1871,'Partner Pantries'!$A:$B,2,0),""))</f>
        <v/>
      </c>
      <c r="E1871" s="38"/>
      <c r="F1871" s="58" t="str">
        <f>IF(E1871="","",IFERROR(VLOOKUP(E1871,'Food Catalog'!$A:$B,2,0),""))</f>
        <v/>
      </c>
      <c r="G1871" s="58" t="str">
        <f>IF(E1871="","",IFERROR(VLOOKUP(E1871,'Food Catalog'!$A:$C,3,0),""))</f>
        <v/>
      </c>
      <c r="H1871" s="58" t="str">
        <f>IF(E1871="","",IFERROR(VLOOKUP(E1871,'Food Catalog'!$A:$D,4,0),""))</f>
        <v/>
      </c>
      <c r="I1871" s="59"/>
      <c r="J1871" s="36"/>
    </row>
    <row r="1872" spans="1:10" x14ac:dyDescent="0.35">
      <c r="A1872" s="57" t="str">
        <f t="shared" si="5"/>
        <v/>
      </c>
      <c r="B1872" s="35"/>
      <c r="C1872" s="38"/>
      <c r="D1872" s="58" t="str">
        <f>IF(C1872="","",IFERROR(VLOOKUP(C1872,'Partner Pantries'!$A:$B,2,0),""))</f>
        <v/>
      </c>
      <c r="E1872" s="38"/>
      <c r="F1872" s="58" t="str">
        <f>IF(E1872="","",IFERROR(VLOOKUP(E1872,'Food Catalog'!$A:$B,2,0),""))</f>
        <v/>
      </c>
      <c r="G1872" s="58" t="str">
        <f>IF(E1872="","",IFERROR(VLOOKUP(E1872,'Food Catalog'!$A:$C,3,0),""))</f>
        <v/>
      </c>
      <c r="H1872" s="58" t="str">
        <f>IF(E1872="","",IFERROR(VLOOKUP(E1872,'Food Catalog'!$A:$D,4,0),""))</f>
        <v/>
      </c>
      <c r="I1872" s="59"/>
      <c r="J1872" s="36"/>
    </row>
    <row r="1873" spans="1:10" x14ac:dyDescent="0.35">
      <c r="A1873" s="57" t="str">
        <f t="shared" si="5"/>
        <v/>
      </c>
      <c r="B1873" s="35"/>
      <c r="C1873" s="38"/>
      <c r="D1873" s="58" t="str">
        <f>IF(C1873="","",IFERROR(VLOOKUP(C1873,'Partner Pantries'!$A:$B,2,0),""))</f>
        <v/>
      </c>
      <c r="E1873" s="38"/>
      <c r="F1873" s="58" t="str">
        <f>IF(E1873="","",IFERROR(VLOOKUP(E1873,'Food Catalog'!$A:$B,2,0),""))</f>
        <v/>
      </c>
      <c r="G1873" s="58" t="str">
        <f>IF(E1873="","",IFERROR(VLOOKUP(E1873,'Food Catalog'!$A:$C,3,0),""))</f>
        <v/>
      </c>
      <c r="H1873" s="58" t="str">
        <f>IF(E1873="","",IFERROR(VLOOKUP(E1873,'Food Catalog'!$A:$D,4,0),""))</f>
        <v/>
      </c>
      <c r="I1873" s="59"/>
      <c r="J1873" s="36"/>
    </row>
    <row r="1874" spans="1:10" x14ac:dyDescent="0.35">
      <c r="A1874" s="57" t="str">
        <f t="shared" si="5"/>
        <v/>
      </c>
      <c r="B1874" s="35"/>
      <c r="C1874" s="38"/>
      <c r="D1874" s="58" t="str">
        <f>IF(C1874="","",IFERROR(VLOOKUP(C1874,'Partner Pantries'!$A:$B,2,0),""))</f>
        <v/>
      </c>
      <c r="E1874" s="38"/>
      <c r="F1874" s="58" t="str">
        <f>IF(E1874="","",IFERROR(VLOOKUP(E1874,'Food Catalog'!$A:$B,2,0),""))</f>
        <v/>
      </c>
      <c r="G1874" s="58" t="str">
        <f>IF(E1874="","",IFERROR(VLOOKUP(E1874,'Food Catalog'!$A:$C,3,0),""))</f>
        <v/>
      </c>
      <c r="H1874" s="58" t="str">
        <f>IF(E1874="","",IFERROR(VLOOKUP(E1874,'Food Catalog'!$A:$D,4,0),""))</f>
        <v/>
      </c>
      <c r="I1874" s="59"/>
      <c r="J1874" s="36"/>
    </row>
    <row r="1875" spans="1:10" x14ac:dyDescent="0.35">
      <c r="A1875" s="57" t="str">
        <f t="shared" si="5"/>
        <v/>
      </c>
      <c r="B1875" s="35"/>
      <c r="C1875" s="38"/>
      <c r="D1875" s="58" t="str">
        <f>IF(C1875="","",IFERROR(VLOOKUP(C1875,'Partner Pantries'!$A:$B,2,0),""))</f>
        <v/>
      </c>
      <c r="E1875" s="38"/>
      <c r="F1875" s="58" t="str">
        <f>IF(E1875="","",IFERROR(VLOOKUP(E1875,'Food Catalog'!$A:$B,2,0),""))</f>
        <v/>
      </c>
      <c r="G1875" s="58" t="str">
        <f>IF(E1875="","",IFERROR(VLOOKUP(E1875,'Food Catalog'!$A:$C,3,0),""))</f>
        <v/>
      </c>
      <c r="H1875" s="58" t="str">
        <f>IF(E1875="","",IFERROR(VLOOKUP(E1875,'Food Catalog'!$A:$D,4,0),""))</f>
        <v/>
      </c>
      <c r="I1875" s="59"/>
      <c r="J1875" s="36"/>
    </row>
    <row r="1876" spans="1:10" x14ac:dyDescent="0.35">
      <c r="A1876" s="57" t="str">
        <f t="shared" ref="A1876:A1881" si="6">IF(I1876="","",TEXT(ROW()-1682,"DIST-0000"))</f>
        <v/>
      </c>
      <c r="B1876" s="35"/>
      <c r="C1876" s="38"/>
      <c r="D1876" s="58" t="str">
        <f>IF(C1876="","",IFERROR(VLOOKUP(C1876,'Partner Pantries'!$A:$B,2,0),""))</f>
        <v/>
      </c>
      <c r="E1876" s="38"/>
      <c r="F1876" s="58" t="str">
        <f>IF(E1876="","",IFERROR(VLOOKUP(E1876,'Food Catalog'!$A:$B,2,0),""))</f>
        <v/>
      </c>
      <c r="G1876" s="58" t="str">
        <f>IF(E1876="","",IFERROR(VLOOKUP(E1876,'Food Catalog'!$A:$C,3,0),""))</f>
        <v/>
      </c>
      <c r="H1876" s="58" t="str">
        <f>IF(E1876="","",IFERROR(VLOOKUP(E1876,'Food Catalog'!$A:$D,4,0),""))</f>
        <v/>
      </c>
      <c r="I1876" s="59"/>
      <c r="J1876" s="36"/>
    </row>
    <row r="1877" spans="1:10" x14ac:dyDescent="0.35">
      <c r="A1877" s="57" t="str">
        <f t="shared" si="6"/>
        <v/>
      </c>
      <c r="B1877" s="35"/>
      <c r="C1877" s="38"/>
      <c r="D1877" s="58" t="str">
        <f>IF(C1877="","",IFERROR(VLOOKUP(C1877,'Partner Pantries'!$A:$B,2,0),""))</f>
        <v/>
      </c>
      <c r="E1877" s="38"/>
      <c r="F1877" s="58" t="str">
        <f>IF(E1877="","",IFERROR(VLOOKUP(E1877,'Food Catalog'!$A:$B,2,0),""))</f>
        <v/>
      </c>
      <c r="G1877" s="58" t="str">
        <f>IF(E1877="","",IFERROR(VLOOKUP(E1877,'Food Catalog'!$A:$C,3,0),""))</f>
        <v/>
      </c>
      <c r="H1877" s="58" t="str">
        <f>IF(E1877="","",IFERROR(VLOOKUP(E1877,'Food Catalog'!$A:$D,4,0),""))</f>
        <v/>
      </c>
      <c r="I1877" s="59"/>
      <c r="J1877" s="36"/>
    </row>
    <row r="1878" spans="1:10" x14ac:dyDescent="0.35">
      <c r="A1878" s="57" t="str">
        <f t="shared" si="6"/>
        <v/>
      </c>
      <c r="B1878" s="35"/>
      <c r="C1878" s="38"/>
      <c r="D1878" s="58" t="str">
        <f>IF(C1878="","",IFERROR(VLOOKUP(C1878,'Partner Pantries'!$A:$B,2,0),""))</f>
        <v/>
      </c>
      <c r="E1878" s="38"/>
      <c r="F1878" s="58" t="str">
        <f>IF(E1878="","",IFERROR(VLOOKUP(E1878,'Food Catalog'!$A:$B,2,0),""))</f>
        <v/>
      </c>
      <c r="G1878" s="58" t="str">
        <f>IF(E1878="","",IFERROR(VLOOKUP(E1878,'Food Catalog'!$A:$C,3,0),""))</f>
        <v/>
      </c>
      <c r="H1878" s="58" t="str">
        <f>IF(E1878="","",IFERROR(VLOOKUP(E1878,'Food Catalog'!$A:$D,4,0),""))</f>
        <v/>
      </c>
      <c r="I1878" s="59"/>
      <c r="J1878" s="36"/>
    </row>
    <row r="1879" spans="1:10" x14ac:dyDescent="0.35">
      <c r="A1879" s="57" t="str">
        <f t="shared" si="6"/>
        <v/>
      </c>
      <c r="B1879" s="35"/>
      <c r="C1879" s="38"/>
      <c r="D1879" s="58" t="str">
        <f>IF(C1879="","",IFERROR(VLOOKUP(C1879,'Partner Pantries'!$A:$B,2,0),""))</f>
        <v/>
      </c>
      <c r="E1879" s="38"/>
      <c r="F1879" s="58" t="str">
        <f>IF(E1879="","",IFERROR(VLOOKUP(E1879,'Food Catalog'!$A:$B,2,0),""))</f>
        <v/>
      </c>
      <c r="G1879" s="58" t="str">
        <f>IF(E1879="","",IFERROR(VLOOKUP(E1879,'Food Catalog'!$A:$C,3,0),""))</f>
        <v/>
      </c>
      <c r="H1879" s="58" t="str">
        <f>IF(E1879="","",IFERROR(VLOOKUP(E1879,'Food Catalog'!$A:$D,4,0),""))</f>
        <v/>
      </c>
      <c r="I1879" s="59"/>
      <c r="J1879" s="36"/>
    </row>
    <row r="1880" spans="1:10" x14ac:dyDescent="0.35">
      <c r="A1880" s="57" t="str">
        <f t="shared" si="6"/>
        <v/>
      </c>
      <c r="B1880" s="35"/>
      <c r="C1880" s="38"/>
      <c r="D1880" s="58" t="str">
        <f>IF(C1880="","",IFERROR(VLOOKUP(C1880,'Partner Pantries'!$A:$B,2,0),""))</f>
        <v/>
      </c>
      <c r="E1880" s="38"/>
      <c r="F1880" s="58" t="str">
        <f>IF(E1880="","",IFERROR(VLOOKUP(E1880,'Food Catalog'!$A:$B,2,0),""))</f>
        <v/>
      </c>
      <c r="G1880" s="58" t="str">
        <f>IF(E1880="","",IFERROR(VLOOKUP(E1880,'Food Catalog'!$A:$C,3,0),""))</f>
        <v/>
      </c>
      <c r="H1880" s="58" t="str">
        <f>IF(E1880="","",IFERROR(VLOOKUP(E1880,'Food Catalog'!$A:$D,4,0),""))</f>
        <v/>
      </c>
      <c r="I1880" s="59"/>
      <c r="J1880" s="36"/>
    </row>
    <row r="1881" spans="1:10" x14ac:dyDescent="0.35">
      <c r="A1881" s="57" t="str">
        <f t="shared" si="6"/>
        <v/>
      </c>
      <c r="B1881" s="35"/>
      <c r="C1881" s="38"/>
      <c r="D1881" s="58" t="str">
        <f>IF(C1881="","",IFERROR(VLOOKUP(C1881,'Partner Pantries'!$A:$B,2,0),""))</f>
        <v/>
      </c>
      <c r="E1881" s="38"/>
      <c r="F1881" s="58" t="str">
        <f>IF(E1881="","",IFERROR(VLOOKUP(E1881,'Food Catalog'!$A:$B,2,0),""))</f>
        <v/>
      </c>
      <c r="G1881" s="58" t="str">
        <f>IF(E1881="","",IFERROR(VLOOKUP(E1881,'Food Catalog'!$A:$C,3,0),""))</f>
        <v/>
      </c>
      <c r="H1881" s="58" t="str">
        <f>IF(E1881="","",IFERROR(VLOOKUP(E1881,'Food Catalog'!$A:$D,4,0),""))</f>
        <v/>
      </c>
      <c r="I1881" s="59"/>
      <c r="J1881" s="36"/>
    </row>
  </sheetData>
  <autoFilter ref="A4:J1881" xr:uid="{00000000-0001-0000-0400-000000000000}">
    <sortState xmlns:xlrd2="http://schemas.microsoft.com/office/spreadsheetml/2017/richdata2" ref="A5:J1881">
      <sortCondition ref="B4:B1881"/>
    </sortState>
  </autoFilter>
  <mergeCells count="2">
    <mergeCell ref="A1:J1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Pantry" error="Please select a Pantry ID from the dropdown." xr:uid="{00000000-0002-0000-0400-000000000000}">
          <x14:formula1>
            <xm:f>'Partner Pantries'!$A$5:$A$8</xm:f>
          </x14:formula1>
          <xm:sqref>C1682:C1881</xm:sqref>
        </x14:dataValidation>
        <x14:dataValidation type="list" allowBlank="1" showErrorMessage="1" errorTitle="Invalid Item ID" error="Please select an Item ID from the dropdown." xr:uid="{00000000-0002-0000-0400-000001000000}">
          <x14:formula1>
            <xm:f>'Food Catalog'!$A$5:$A$54</xm:f>
          </x14:formula1>
          <xm:sqref>E1682:E1881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4"/>
  <sheetViews>
    <sheetView showGridLines="0" workbookViewId="0">
      <pane ySplit="4" topLeftCell="A26" activePane="bottomLeft" state="frozen"/>
      <selection pane="bottomLeft" sqref="A1:F1"/>
    </sheetView>
  </sheetViews>
  <sheetFormatPr defaultRowHeight="14.5" x14ac:dyDescent="0.35"/>
  <cols>
    <col min="1" max="1" width="10" customWidth="1"/>
    <col min="2" max="2" width="32" customWidth="1"/>
    <col min="3" max="3" width="22" customWidth="1"/>
    <col min="4" max="5" width="18" customWidth="1"/>
    <col min="6" max="6" width="14" customWidth="1"/>
  </cols>
  <sheetData>
    <row r="1" spans="1:6" ht="38" customHeight="1" x14ac:dyDescent="0.35">
      <c r="A1" s="78" t="s">
        <v>1874</v>
      </c>
      <c r="B1" s="77"/>
      <c r="C1" s="77"/>
      <c r="D1" s="77"/>
      <c r="E1" s="77"/>
      <c r="F1" s="77"/>
    </row>
    <row r="2" spans="1:6" ht="20" customHeight="1" x14ac:dyDescent="0.35">
      <c r="A2" s="76" t="s">
        <v>1875</v>
      </c>
      <c r="B2" s="77"/>
      <c r="C2" s="77"/>
      <c r="D2" s="77"/>
      <c r="E2" s="77"/>
      <c r="F2" s="77"/>
    </row>
    <row r="3" spans="1:6" ht="6" customHeight="1" x14ac:dyDescent="0.35"/>
    <row r="4" spans="1:6" ht="28" customHeight="1" x14ac:dyDescent="0.35">
      <c r="A4" s="1" t="s">
        <v>22</v>
      </c>
      <c r="B4" s="1" t="s">
        <v>0</v>
      </c>
      <c r="C4" s="1" t="s">
        <v>1</v>
      </c>
      <c r="D4" s="1" t="s">
        <v>1876</v>
      </c>
      <c r="E4" s="1" t="s">
        <v>1877</v>
      </c>
      <c r="F4" s="1" t="s">
        <v>1878</v>
      </c>
    </row>
    <row r="5" spans="1:6" x14ac:dyDescent="0.35">
      <c r="A5" s="5" t="s">
        <v>29</v>
      </c>
      <c r="B5" s="2" t="s">
        <v>30</v>
      </c>
      <c r="C5" s="2" t="s">
        <v>31</v>
      </c>
      <c r="D5" s="2" t="s">
        <v>32</v>
      </c>
      <c r="E5" s="5">
        <v>1095</v>
      </c>
      <c r="F5" s="14" t="s">
        <v>33</v>
      </c>
    </row>
    <row r="6" spans="1:6" x14ac:dyDescent="0.35">
      <c r="A6" s="10" t="s">
        <v>34</v>
      </c>
      <c r="B6" s="7" t="s">
        <v>35</v>
      </c>
      <c r="C6" s="7" t="s">
        <v>31</v>
      </c>
      <c r="D6" s="7" t="s">
        <v>36</v>
      </c>
      <c r="E6" s="10">
        <v>1095</v>
      </c>
      <c r="F6" s="14" t="s">
        <v>33</v>
      </c>
    </row>
    <row r="7" spans="1:6" x14ac:dyDescent="0.35">
      <c r="A7" s="5" t="s">
        <v>37</v>
      </c>
      <c r="B7" s="2" t="s">
        <v>38</v>
      </c>
      <c r="C7" s="2" t="s">
        <v>31</v>
      </c>
      <c r="D7" s="2" t="s">
        <v>39</v>
      </c>
      <c r="E7" s="5">
        <v>1095</v>
      </c>
      <c r="F7" s="14" t="s">
        <v>33</v>
      </c>
    </row>
    <row r="8" spans="1:6" x14ac:dyDescent="0.35">
      <c r="A8" s="10" t="s">
        <v>40</v>
      </c>
      <c r="B8" s="7" t="s">
        <v>41</v>
      </c>
      <c r="C8" s="7" t="s">
        <v>31</v>
      </c>
      <c r="D8" s="7" t="s">
        <v>42</v>
      </c>
      <c r="E8" s="10">
        <v>1095</v>
      </c>
      <c r="F8" s="14" t="s">
        <v>33</v>
      </c>
    </row>
    <row r="9" spans="1:6" x14ac:dyDescent="0.35">
      <c r="A9" s="5" t="s">
        <v>43</v>
      </c>
      <c r="B9" s="2" t="s">
        <v>44</v>
      </c>
      <c r="C9" s="2" t="s">
        <v>31</v>
      </c>
      <c r="D9" s="2" t="s">
        <v>42</v>
      </c>
      <c r="E9" s="5">
        <v>1095</v>
      </c>
      <c r="F9" s="12" t="s">
        <v>45</v>
      </c>
    </row>
    <row r="10" spans="1:6" x14ac:dyDescent="0.35">
      <c r="A10" s="10" t="s">
        <v>46</v>
      </c>
      <c r="B10" s="7" t="s">
        <v>47</v>
      </c>
      <c r="C10" s="7" t="s">
        <v>31</v>
      </c>
      <c r="D10" s="7" t="s">
        <v>42</v>
      </c>
      <c r="E10" s="10">
        <v>1095</v>
      </c>
      <c r="F10" s="12" t="s">
        <v>45</v>
      </c>
    </row>
    <row r="11" spans="1:6" x14ac:dyDescent="0.35">
      <c r="A11" s="5" t="s">
        <v>48</v>
      </c>
      <c r="B11" s="2" t="s">
        <v>49</v>
      </c>
      <c r="C11" s="2" t="s">
        <v>31</v>
      </c>
      <c r="D11" s="2" t="s">
        <v>50</v>
      </c>
      <c r="E11" s="5">
        <v>365</v>
      </c>
      <c r="F11" s="14" t="s">
        <v>33</v>
      </c>
    </row>
    <row r="12" spans="1:6" x14ac:dyDescent="0.35">
      <c r="A12" s="10" t="s">
        <v>51</v>
      </c>
      <c r="B12" s="7" t="s">
        <v>52</v>
      </c>
      <c r="C12" s="7" t="s">
        <v>53</v>
      </c>
      <c r="D12" s="7" t="s">
        <v>42</v>
      </c>
      <c r="E12" s="10">
        <v>1095</v>
      </c>
      <c r="F12" s="12" t="s">
        <v>45</v>
      </c>
    </row>
    <row r="13" spans="1:6" x14ac:dyDescent="0.35">
      <c r="A13" s="5" t="s">
        <v>54</v>
      </c>
      <c r="B13" s="2" t="s">
        <v>55</v>
      </c>
      <c r="C13" s="2" t="s">
        <v>53</v>
      </c>
      <c r="D13" s="2" t="s">
        <v>56</v>
      </c>
      <c r="E13" s="5">
        <v>1095</v>
      </c>
      <c r="F13" s="12" t="s">
        <v>45</v>
      </c>
    </row>
    <row r="14" spans="1:6" x14ac:dyDescent="0.35">
      <c r="A14" s="10" t="s">
        <v>57</v>
      </c>
      <c r="B14" s="7" t="s">
        <v>58</v>
      </c>
      <c r="C14" s="7" t="s">
        <v>53</v>
      </c>
      <c r="D14" s="7" t="s">
        <v>42</v>
      </c>
      <c r="E14" s="10">
        <v>1095</v>
      </c>
      <c r="F14" s="12" t="s">
        <v>45</v>
      </c>
    </row>
    <row r="15" spans="1:6" x14ac:dyDescent="0.35">
      <c r="A15" s="5" t="s">
        <v>59</v>
      </c>
      <c r="B15" s="2" t="s">
        <v>60</v>
      </c>
      <c r="C15" s="2" t="s">
        <v>53</v>
      </c>
      <c r="D15" s="2" t="s">
        <v>56</v>
      </c>
      <c r="E15" s="5">
        <v>1095</v>
      </c>
      <c r="F15" s="12" t="s">
        <v>45</v>
      </c>
    </row>
    <row r="16" spans="1:6" x14ac:dyDescent="0.35">
      <c r="A16" s="10" t="s">
        <v>61</v>
      </c>
      <c r="B16" s="7" t="s">
        <v>62</v>
      </c>
      <c r="C16" s="7" t="s">
        <v>53</v>
      </c>
      <c r="D16" s="7" t="s">
        <v>42</v>
      </c>
      <c r="E16" s="10">
        <v>1095</v>
      </c>
      <c r="F16" s="16" t="s">
        <v>63</v>
      </c>
    </row>
    <row r="17" spans="1:6" x14ac:dyDescent="0.35">
      <c r="A17" s="5" t="s">
        <v>64</v>
      </c>
      <c r="B17" s="2" t="s">
        <v>65</v>
      </c>
      <c r="C17" s="2" t="s">
        <v>66</v>
      </c>
      <c r="D17" s="2" t="s">
        <v>42</v>
      </c>
      <c r="E17" s="5">
        <v>1095</v>
      </c>
      <c r="F17" s="16" t="s">
        <v>63</v>
      </c>
    </row>
    <row r="18" spans="1:6" x14ac:dyDescent="0.35">
      <c r="A18" s="10" t="s">
        <v>67</v>
      </c>
      <c r="B18" s="7" t="s">
        <v>68</v>
      </c>
      <c r="C18" s="7" t="s">
        <v>66</v>
      </c>
      <c r="D18" s="7" t="s">
        <v>42</v>
      </c>
      <c r="E18" s="10">
        <v>1095</v>
      </c>
      <c r="F18" s="16" t="s">
        <v>63</v>
      </c>
    </row>
    <row r="19" spans="1:6" x14ac:dyDescent="0.35">
      <c r="A19" s="5" t="s">
        <v>69</v>
      </c>
      <c r="B19" s="2" t="s">
        <v>70</v>
      </c>
      <c r="C19" s="2" t="s">
        <v>66</v>
      </c>
      <c r="D19" s="2" t="s">
        <v>71</v>
      </c>
      <c r="E19" s="5">
        <v>1095</v>
      </c>
      <c r="F19" s="16" t="s">
        <v>63</v>
      </c>
    </row>
    <row r="20" spans="1:6" x14ac:dyDescent="0.35">
      <c r="A20" s="10" t="s">
        <v>72</v>
      </c>
      <c r="B20" s="7" t="s">
        <v>73</v>
      </c>
      <c r="C20" s="7" t="s">
        <v>74</v>
      </c>
      <c r="D20" s="7" t="s">
        <v>75</v>
      </c>
      <c r="E20" s="10">
        <v>730</v>
      </c>
      <c r="F20" s="14" t="s">
        <v>33</v>
      </c>
    </row>
    <row r="21" spans="1:6" x14ac:dyDescent="0.35">
      <c r="A21" s="5" t="s">
        <v>76</v>
      </c>
      <c r="B21" s="2" t="s">
        <v>77</v>
      </c>
      <c r="C21" s="2" t="s">
        <v>74</v>
      </c>
      <c r="D21" s="2" t="s">
        <v>75</v>
      </c>
      <c r="E21" s="5">
        <v>365</v>
      </c>
      <c r="F21" s="12" t="s">
        <v>45</v>
      </c>
    </row>
    <row r="22" spans="1:6" x14ac:dyDescent="0.35">
      <c r="A22" s="10" t="s">
        <v>78</v>
      </c>
      <c r="B22" s="7" t="s">
        <v>79</v>
      </c>
      <c r="C22" s="7" t="s">
        <v>74</v>
      </c>
      <c r="D22" s="7" t="s">
        <v>80</v>
      </c>
      <c r="E22" s="10">
        <v>730</v>
      </c>
      <c r="F22" s="14" t="s">
        <v>33</v>
      </c>
    </row>
    <row r="23" spans="1:6" x14ac:dyDescent="0.35">
      <c r="A23" s="5" t="s">
        <v>81</v>
      </c>
      <c r="B23" s="2" t="s">
        <v>82</v>
      </c>
      <c r="C23" s="2" t="s">
        <v>74</v>
      </c>
      <c r="D23" s="2" t="s">
        <v>80</v>
      </c>
      <c r="E23" s="5">
        <v>730</v>
      </c>
      <c r="F23" s="14" t="s">
        <v>33</v>
      </c>
    </row>
    <row r="24" spans="1:6" x14ac:dyDescent="0.35">
      <c r="A24" s="10" t="s">
        <v>83</v>
      </c>
      <c r="B24" s="7" t="s">
        <v>84</v>
      </c>
      <c r="C24" s="7" t="s">
        <v>74</v>
      </c>
      <c r="D24" s="7" t="s">
        <v>85</v>
      </c>
      <c r="E24" s="10">
        <v>365</v>
      </c>
      <c r="F24" s="14" t="s">
        <v>33</v>
      </c>
    </row>
    <row r="25" spans="1:6" x14ac:dyDescent="0.35">
      <c r="A25" s="5" t="s">
        <v>86</v>
      </c>
      <c r="B25" s="2" t="s">
        <v>87</v>
      </c>
      <c r="C25" s="2" t="s">
        <v>74</v>
      </c>
      <c r="D25" s="2" t="s">
        <v>75</v>
      </c>
      <c r="E25" s="5">
        <v>365</v>
      </c>
      <c r="F25" s="12" t="s">
        <v>45</v>
      </c>
    </row>
    <row r="26" spans="1:6" x14ac:dyDescent="0.35">
      <c r="A26" s="10" t="s">
        <v>88</v>
      </c>
      <c r="B26" s="7" t="s">
        <v>89</v>
      </c>
      <c r="C26" s="7" t="s">
        <v>74</v>
      </c>
      <c r="D26" s="7" t="s">
        <v>90</v>
      </c>
      <c r="E26" s="10">
        <v>365</v>
      </c>
      <c r="F26" s="16" t="s">
        <v>63</v>
      </c>
    </row>
    <row r="27" spans="1:6" x14ac:dyDescent="0.35">
      <c r="A27" s="5" t="s">
        <v>91</v>
      </c>
      <c r="B27" s="2" t="s">
        <v>92</v>
      </c>
      <c r="C27" s="2" t="s">
        <v>93</v>
      </c>
      <c r="D27" s="2" t="s">
        <v>85</v>
      </c>
      <c r="E27" s="5">
        <v>365</v>
      </c>
      <c r="F27" s="14" t="s">
        <v>33</v>
      </c>
    </row>
    <row r="28" spans="1:6" x14ac:dyDescent="0.35">
      <c r="A28" s="10" t="s">
        <v>94</v>
      </c>
      <c r="B28" s="7" t="s">
        <v>95</v>
      </c>
      <c r="C28" s="7" t="s">
        <v>93</v>
      </c>
      <c r="D28" s="7" t="s">
        <v>96</v>
      </c>
      <c r="E28" s="10">
        <v>365</v>
      </c>
      <c r="F28" s="12" t="s">
        <v>45</v>
      </c>
    </row>
    <row r="29" spans="1:6" x14ac:dyDescent="0.35">
      <c r="A29" s="5" t="s">
        <v>97</v>
      </c>
      <c r="B29" s="2" t="s">
        <v>98</v>
      </c>
      <c r="C29" s="2" t="s">
        <v>93</v>
      </c>
      <c r="D29" s="2" t="s">
        <v>99</v>
      </c>
      <c r="E29" s="5">
        <v>180</v>
      </c>
      <c r="F29" s="12" t="s">
        <v>45</v>
      </c>
    </row>
    <row r="30" spans="1:6" x14ac:dyDescent="0.35">
      <c r="A30" s="10" t="s">
        <v>100</v>
      </c>
      <c r="B30" s="7" t="s">
        <v>101</v>
      </c>
      <c r="C30" s="7" t="s">
        <v>102</v>
      </c>
      <c r="D30" s="7" t="s">
        <v>103</v>
      </c>
      <c r="E30" s="10">
        <v>1095</v>
      </c>
      <c r="F30" s="14" t="s">
        <v>33</v>
      </c>
    </row>
    <row r="31" spans="1:6" x14ac:dyDescent="0.35">
      <c r="A31" s="5" t="s">
        <v>104</v>
      </c>
      <c r="B31" s="2" t="s">
        <v>105</v>
      </c>
      <c r="C31" s="2" t="s">
        <v>102</v>
      </c>
      <c r="D31" s="2" t="s">
        <v>103</v>
      </c>
      <c r="E31" s="5">
        <v>1095</v>
      </c>
      <c r="F31" s="12" t="s">
        <v>45</v>
      </c>
    </row>
    <row r="32" spans="1:6" x14ac:dyDescent="0.35">
      <c r="A32" s="10" t="s">
        <v>106</v>
      </c>
      <c r="B32" s="7" t="s">
        <v>107</v>
      </c>
      <c r="C32" s="7" t="s">
        <v>102</v>
      </c>
      <c r="D32" s="7" t="s">
        <v>108</v>
      </c>
      <c r="E32" s="10">
        <v>1095</v>
      </c>
      <c r="F32" s="12" t="s">
        <v>45</v>
      </c>
    </row>
    <row r="33" spans="1:6" x14ac:dyDescent="0.35">
      <c r="A33" s="5" t="s">
        <v>109</v>
      </c>
      <c r="B33" s="2" t="s">
        <v>110</v>
      </c>
      <c r="C33" s="2" t="s">
        <v>102</v>
      </c>
      <c r="D33" s="2" t="s">
        <v>42</v>
      </c>
      <c r="E33" s="5">
        <v>1095</v>
      </c>
      <c r="F33" s="14" t="s">
        <v>33</v>
      </c>
    </row>
    <row r="34" spans="1:6" x14ac:dyDescent="0.35">
      <c r="A34" s="10" t="s">
        <v>111</v>
      </c>
      <c r="B34" s="7" t="s">
        <v>112</v>
      </c>
      <c r="C34" s="7" t="s">
        <v>102</v>
      </c>
      <c r="D34" s="7" t="s">
        <v>113</v>
      </c>
      <c r="E34" s="10">
        <v>1095</v>
      </c>
      <c r="F34" s="12" t="s">
        <v>45</v>
      </c>
    </row>
    <row r="35" spans="1:6" x14ac:dyDescent="0.35">
      <c r="A35" s="5" t="s">
        <v>114</v>
      </c>
      <c r="B35" s="2" t="s">
        <v>13</v>
      </c>
      <c r="C35" s="2" t="s">
        <v>14</v>
      </c>
      <c r="D35" s="2" t="s">
        <v>115</v>
      </c>
      <c r="E35" s="5">
        <v>365</v>
      </c>
      <c r="F35" s="17" t="s">
        <v>116</v>
      </c>
    </row>
    <row r="36" spans="1:6" x14ac:dyDescent="0.35">
      <c r="A36" s="10" t="s">
        <v>117</v>
      </c>
      <c r="B36" s="7" t="s">
        <v>118</v>
      </c>
      <c r="C36" s="7" t="s">
        <v>14</v>
      </c>
      <c r="D36" s="7" t="s">
        <v>119</v>
      </c>
      <c r="E36" s="10">
        <v>365</v>
      </c>
      <c r="F36" s="14" t="s">
        <v>33</v>
      </c>
    </row>
    <row r="37" spans="1:6" x14ac:dyDescent="0.35">
      <c r="A37" s="5" t="s">
        <v>120</v>
      </c>
      <c r="B37" s="2" t="s">
        <v>121</v>
      </c>
      <c r="C37" s="2" t="s">
        <v>14</v>
      </c>
      <c r="D37" s="2" t="s">
        <v>119</v>
      </c>
      <c r="E37" s="5">
        <v>365</v>
      </c>
      <c r="F37" s="14" t="s">
        <v>33</v>
      </c>
    </row>
    <row r="38" spans="1:6" x14ac:dyDescent="0.35">
      <c r="A38" s="10" t="s">
        <v>122</v>
      </c>
      <c r="B38" s="7" t="s">
        <v>123</v>
      </c>
      <c r="C38" s="7" t="s">
        <v>14</v>
      </c>
      <c r="D38" s="7" t="s">
        <v>124</v>
      </c>
      <c r="E38" s="10">
        <v>1825</v>
      </c>
      <c r="F38" s="14" t="s">
        <v>33</v>
      </c>
    </row>
    <row r="39" spans="1:6" x14ac:dyDescent="0.35">
      <c r="A39" s="5" t="s">
        <v>125</v>
      </c>
      <c r="B39" s="2" t="s">
        <v>126</v>
      </c>
      <c r="C39" s="2" t="s">
        <v>14</v>
      </c>
      <c r="D39" s="2" t="s">
        <v>127</v>
      </c>
      <c r="E39" s="5">
        <v>1825</v>
      </c>
      <c r="F39" s="14" t="s">
        <v>33</v>
      </c>
    </row>
    <row r="40" spans="1:6" x14ac:dyDescent="0.35">
      <c r="A40" s="10" t="s">
        <v>128</v>
      </c>
      <c r="B40" s="7" t="s">
        <v>9</v>
      </c>
      <c r="C40" s="7" t="s">
        <v>10</v>
      </c>
      <c r="D40" s="7" t="s">
        <v>129</v>
      </c>
      <c r="E40" s="10">
        <v>14</v>
      </c>
      <c r="F40" s="14" t="s">
        <v>33</v>
      </c>
    </row>
    <row r="41" spans="1:6" x14ac:dyDescent="0.35">
      <c r="A41" s="5" t="s">
        <v>130</v>
      </c>
      <c r="B41" s="2" t="s">
        <v>16</v>
      </c>
      <c r="C41" s="2" t="s">
        <v>10</v>
      </c>
      <c r="D41" s="2" t="s">
        <v>131</v>
      </c>
      <c r="E41" s="5">
        <v>35</v>
      </c>
      <c r="F41" s="14" t="s">
        <v>33</v>
      </c>
    </row>
    <row r="42" spans="1:6" x14ac:dyDescent="0.35">
      <c r="A42" s="10" t="s">
        <v>132</v>
      </c>
      <c r="B42" s="7" t="s">
        <v>133</v>
      </c>
      <c r="C42" s="7" t="s">
        <v>10</v>
      </c>
      <c r="D42" s="7" t="s">
        <v>134</v>
      </c>
      <c r="E42" s="10">
        <v>60</v>
      </c>
      <c r="F42" s="12" t="s">
        <v>45</v>
      </c>
    </row>
    <row r="43" spans="1:6" x14ac:dyDescent="0.35">
      <c r="A43" s="5" t="s">
        <v>135</v>
      </c>
      <c r="B43" s="2" t="s">
        <v>5</v>
      </c>
      <c r="C43" s="2" t="s">
        <v>6</v>
      </c>
      <c r="D43" s="2" t="s">
        <v>136</v>
      </c>
      <c r="E43" s="5">
        <v>7</v>
      </c>
      <c r="F43" s="14" t="s">
        <v>33</v>
      </c>
    </row>
    <row r="44" spans="1:6" x14ac:dyDescent="0.35">
      <c r="A44" s="10" t="s">
        <v>137</v>
      </c>
      <c r="B44" s="7" t="s">
        <v>15</v>
      </c>
      <c r="C44" s="7" t="s">
        <v>6</v>
      </c>
      <c r="D44" s="7" t="s">
        <v>136</v>
      </c>
      <c r="E44" s="10">
        <v>7</v>
      </c>
      <c r="F44" s="14" t="s">
        <v>33</v>
      </c>
    </row>
    <row r="45" spans="1:6" x14ac:dyDescent="0.35">
      <c r="A45" s="5" t="s">
        <v>138</v>
      </c>
      <c r="B45" s="2" t="s">
        <v>139</v>
      </c>
      <c r="C45" s="2" t="s">
        <v>6</v>
      </c>
      <c r="D45" s="2" t="s">
        <v>140</v>
      </c>
      <c r="E45" s="5">
        <v>30</v>
      </c>
      <c r="F45" s="12" t="s">
        <v>45</v>
      </c>
    </row>
    <row r="46" spans="1:6" x14ac:dyDescent="0.35">
      <c r="A46" s="10" t="s">
        <v>141</v>
      </c>
      <c r="B46" s="7" t="s">
        <v>142</v>
      </c>
      <c r="C46" s="7" t="s">
        <v>8</v>
      </c>
      <c r="D46" s="7" t="s">
        <v>143</v>
      </c>
      <c r="E46" s="10">
        <v>21</v>
      </c>
      <c r="F46" s="12" t="s">
        <v>45</v>
      </c>
    </row>
    <row r="47" spans="1:6" x14ac:dyDescent="0.35">
      <c r="A47" s="5" t="s">
        <v>144</v>
      </c>
      <c r="B47" s="2" t="s">
        <v>7</v>
      </c>
      <c r="C47" s="2" t="s">
        <v>8</v>
      </c>
      <c r="D47" s="2" t="s">
        <v>145</v>
      </c>
      <c r="E47" s="5">
        <v>10</v>
      </c>
      <c r="F47" s="12" t="s">
        <v>45</v>
      </c>
    </row>
    <row r="48" spans="1:6" x14ac:dyDescent="0.35">
      <c r="A48" s="10" t="s">
        <v>146</v>
      </c>
      <c r="B48" s="7" t="s">
        <v>147</v>
      </c>
      <c r="C48" s="7" t="s">
        <v>8</v>
      </c>
      <c r="D48" s="7" t="s">
        <v>148</v>
      </c>
      <c r="E48" s="10">
        <v>21</v>
      </c>
      <c r="F48" s="12" t="s">
        <v>45</v>
      </c>
    </row>
    <row r="49" spans="1:6" x14ac:dyDescent="0.35">
      <c r="A49" s="5" t="s">
        <v>149</v>
      </c>
      <c r="B49" s="2" t="s">
        <v>150</v>
      </c>
      <c r="C49" s="2" t="s">
        <v>8</v>
      </c>
      <c r="D49" s="2" t="s">
        <v>75</v>
      </c>
      <c r="E49" s="5">
        <v>60</v>
      </c>
      <c r="F49" s="14" t="s">
        <v>33</v>
      </c>
    </row>
    <row r="50" spans="1:6" x14ac:dyDescent="0.35">
      <c r="A50" s="10" t="s">
        <v>151</v>
      </c>
      <c r="B50" s="7" t="s">
        <v>152</v>
      </c>
      <c r="C50" s="7" t="s">
        <v>8</v>
      </c>
      <c r="D50" s="7" t="s">
        <v>143</v>
      </c>
      <c r="E50" s="10">
        <v>30</v>
      </c>
      <c r="F50" s="12" t="s">
        <v>45</v>
      </c>
    </row>
    <row r="51" spans="1:6" x14ac:dyDescent="0.35">
      <c r="A51" s="5" t="s">
        <v>153</v>
      </c>
      <c r="B51" s="2" t="s">
        <v>154</v>
      </c>
      <c r="C51" s="2" t="s">
        <v>12</v>
      </c>
      <c r="D51" s="2" t="s">
        <v>155</v>
      </c>
      <c r="E51" s="5">
        <v>365</v>
      </c>
      <c r="F51" s="12" t="s">
        <v>45</v>
      </c>
    </row>
    <row r="52" spans="1:6" x14ac:dyDescent="0.35">
      <c r="A52" s="10" t="s">
        <v>156</v>
      </c>
      <c r="B52" s="7" t="s">
        <v>11</v>
      </c>
      <c r="C52" s="7" t="s">
        <v>12</v>
      </c>
      <c r="D52" s="7" t="s">
        <v>155</v>
      </c>
      <c r="E52" s="10">
        <v>14</v>
      </c>
      <c r="F52" s="12" t="s">
        <v>45</v>
      </c>
    </row>
    <row r="53" spans="1:6" x14ac:dyDescent="0.35">
      <c r="A53" s="5" t="s">
        <v>157</v>
      </c>
      <c r="B53" s="2" t="s">
        <v>158</v>
      </c>
      <c r="C53" s="2" t="s">
        <v>159</v>
      </c>
      <c r="D53" s="2" t="s">
        <v>160</v>
      </c>
      <c r="E53" s="5">
        <v>365</v>
      </c>
      <c r="F53" s="12" t="s">
        <v>45</v>
      </c>
    </row>
    <row r="54" spans="1:6" x14ac:dyDescent="0.35">
      <c r="A54" s="10" t="s">
        <v>161</v>
      </c>
      <c r="B54" s="7" t="s">
        <v>162</v>
      </c>
      <c r="C54" s="7" t="s">
        <v>159</v>
      </c>
      <c r="D54" s="7" t="s">
        <v>163</v>
      </c>
      <c r="E54" s="10">
        <v>730</v>
      </c>
      <c r="F54" s="12" t="s">
        <v>45</v>
      </c>
    </row>
  </sheetData>
  <autoFilter ref="A4:F54" xr:uid="{00000000-0009-0000-0000-000005000000}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10" customWidth="1"/>
    <col min="2" max="2" width="30" customWidth="1"/>
    <col min="3" max="3" width="32" customWidth="1"/>
    <col min="4" max="5" width="22" customWidth="1"/>
    <col min="6" max="6" width="26" customWidth="1"/>
  </cols>
  <sheetData>
    <row r="1" spans="1:6" ht="38" customHeight="1" x14ac:dyDescent="0.35">
      <c r="A1" s="78" t="s">
        <v>1879</v>
      </c>
      <c r="B1" s="77"/>
      <c r="C1" s="77"/>
      <c r="D1" s="77"/>
      <c r="E1" s="77"/>
      <c r="F1" s="77"/>
    </row>
    <row r="2" spans="1:6" ht="20" customHeight="1" x14ac:dyDescent="0.35">
      <c r="A2" s="76" t="s">
        <v>1880</v>
      </c>
      <c r="B2" s="77"/>
      <c r="C2" s="77"/>
      <c r="D2" s="77"/>
      <c r="E2" s="77"/>
      <c r="F2" s="77"/>
    </row>
    <row r="3" spans="1:6" ht="6" customHeight="1" x14ac:dyDescent="0.35"/>
    <row r="4" spans="1:6" ht="28" customHeight="1" x14ac:dyDescent="0.35">
      <c r="A4" s="1" t="s">
        <v>186</v>
      </c>
      <c r="B4" s="1" t="s">
        <v>187</v>
      </c>
      <c r="C4" s="1" t="s">
        <v>1881</v>
      </c>
      <c r="D4" s="1" t="s">
        <v>1882</v>
      </c>
      <c r="E4" s="1" t="s">
        <v>1883</v>
      </c>
      <c r="F4" s="1" t="s">
        <v>1884</v>
      </c>
    </row>
    <row r="5" spans="1:6" x14ac:dyDescent="0.35">
      <c r="A5" s="5" t="s">
        <v>190</v>
      </c>
      <c r="B5" s="2" t="s">
        <v>191</v>
      </c>
      <c r="C5" s="2" t="s">
        <v>1885</v>
      </c>
      <c r="D5" s="2" t="s">
        <v>1886</v>
      </c>
      <c r="E5" s="19">
        <v>500</v>
      </c>
      <c r="F5" s="2" t="s">
        <v>1887</v>
      </c>
    </row>
    <row r="6" spans="1:6" x14ac:dyDescent="0.35">
      <c r="A6" s="10" t="s">
        <v>238</v>
      </c>
      <c r="B6" s="7" t="s">
        <v>239</v>
      </c>
      <c r="C6" s="7" t="s">
        <v>1888</v>
      </c>
      <c r="D6" s="7" t="s">
        <v>1889</v>
      </c>
      <c r="E6" s="21">
        <v>200</v>
      </c>
      <c r="F6" s="7" t="s">
        <v>1890</v>
      </c>
    </row>
    <row r="7" spans="1:6" x14ac:dyDescent="0.35">
      <c r="A7" s="5" t="s">
        <v>298</v>
      </c>
      <c r="B7" s="2" t="s">
        <v>299</v>
      </c>
      <c r="C7" s="2" t="s">
        <v>1891</v>
      </c>
      <c r="D7" s="2" t="s">
        <v>1892</v>
      </c>
      <c r="E7" s="19">
        <v>150</v>
      </c>
      <c r="F7" s="2" t="s">
        <v>1893</v>
      </c>
    </row>
    <row r="8" spans="1:6" x14ac:dyDescent="0.35">
      <c r="A8" s="10" t="s">
        <v>210</v>
      </c>
      <c r="B8" s="7" t="s">
        <v>211</v>
      </c>
      <c r="C8" s="7" t="s">
        <v>1894</v>
      </c>
      <c r="D8" s="7" t="s">
        <v>1895</v>
      </c>
      <c r="E8" s="21">
        <v>300</v>
      </c>
      <c r="F8" s="7" t="s">
        <v>1896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showGridLines="0" workbookViewId="0">
      <pane ySplit="5" topLeftCell="A6" activePane="bottomLeft" state="frozen"/>
      <selection pane="bottomLeft" sqref="A1:G1"/>
    </sheetView>
  </sheetViews>
  <sheetFormatPr defaultRowHeight="14.5" x14ac:dyDescent="0.35"/>
  <cols>
    <col min="1" max="1" width="24" customWidth="1"/>
    <col min="2" max="5" width="14" customWidth="1"/>
    <col min="6" max="6" width="16" customWidth="1"/>
    <col min="7" max="7" width="30" customWidth="1"/>
    <col min="8" max="8" width="14" customWidth="1"/>
  </cols>
  <sheetData>
    <row r="1" spans="1:8" ht="38" customHeight="1" x14ac:dyDescent="0.35">
      <c r="A1" s="78" t="s">
        <v>1897</v>
      </c>
      <c r="B1" s="77"/>
      <c r="C1" s="77"/>
      <c r="D1" s="77"/>
      <c r="E1" s="77"/>
      <c r="F1" s="77"/>
      <c r="G1" s="77"/>
    </row>
    <row r="2" spans="1:8" ht="20" customHeight="1" x14ac:dyDescent="0.35">
      <c r="A2" s="76" t="s">
        <v>1898</v>
      </c>
      <c r="B2" s="77"/>
      <c r="C2" s="77"/>
      <c r="D2" s="77"/>
      <c r="E2" s="77"/>
      <c r="F2" s="77"/>
      <c r="G2" s="77"/>
    </row>
    <row r="3" spans="1:8" ht="6" customHeight="1" x14ac:dyDescent="0.35"/>
    <row r="4" spans="1:8" ht="28" customHeight="1" x14ac:dyDescent="0.35">
      <c r="A4" s="1" t="s">
        <v>1</v>
      </c>
      <c r="B4" s="1" t="s">
        <v>190</v>
      </c>
      <c r="C4" s="1" t="s">
        <v>238</v>
      </c>
      <c r="D4" s="1" t="s">
        <v>298</v>
      </c>
      <c r="E4" s="1" t="s">
        <v>210</v>
      </c>
      <c r="F4" s="1" t="s">
        <v>1899</v>
      </c>
      <c r="G4" s="1" t="s">
        <v>1900</v>
      </c>
      <c r="H4" s="1" t="s">
        <v>1901</v>
      </c>
    </row>
    <row r="5" spans="1:8" ht="28" customHeight="1" x14ac:dyDescent="0.35">
      <c r="B5" s="28" t="s">
        <v>191</v>
      </c>
      <c r="C5" s="28" t="s">
        <v>239</v>
      </c>
      <c r="D5" s="28" t="s">
        <v>299</v>
      </c>
      <c r="E5" s="28" t="s">
        <v>211</v>
      </c>
    </row>
    <row r="6" spans="1:8" x14ac:dyDescent="0.35">
      <c r="A6" s="2" t="s">
        <v>14</v>
      </c>
      <c r="B6" s="29">
        <v>0.6</v>
      </c>
      <c r="C6" s="29">
        <v>0.2</v>
      </c>
      <c r="D6" s="29">
        <v>0</v>
      </c>
      <c r="E6" s="29">
        <v>0.85</v>
      </c>
      <c r="F6" s="5" t="str">
        <f t="shared" ref="F6:F17" si="0">INDEX($B$4:$E$4,MATCH(MAX(B6:E6),B6:E6,0))</f>
        <v>PP004</v>
      </c>
      <c r="G6" s="2" t="str">
        <f>IFERROR(VLOOKUP(F6,'Partner Pantries'!$A:$B,2,0),"")</f>
        <v>Oakdale School Family Pantry</v>
      </c>
      <c r="H6" s="29">
        <f t="shared" ref="H6:H17" si="1">MAX(B6:E6)</f>
        <v>0.85</v>
      </c>
    </row>
    <row r="7" spans="1:8" x14ac:dyDescent="0.35">
      <c r="A7" s="7" t="s">
        <v>12</v>
      </c>
      <c r="B7" s="30">
        <v>0.7</v>
      </c>
      <c r="C7" s="30">
        <v>0.9</v>
      </c>
      <c r="D7" s="30">
        <v>0.8</v>
      </c>
      <c r="E7" s="30">
        <v>0.85</v>
      </c>
      <c r="F7" s="10" t="str">
        <f t="shared" si="0"/>
        <v>PP002</v>
      </c>
      <c r="G7" s="7" t="str">
        <f>IFERROR(VLOOKUP(F7,'Partner Pantries'!$A:$B,2,0),"")</f>
        <v>St. Augustine's Shelter Pantry</v>
      </c>
      <c r="H7" s="30">
        <f t="shared" si="1"/>
        <v>0.9</v>
      </c>
    </row>
    <row r="8" spans="1:8" x14ac:dyDescent="0.35">
      <c r="A8" s="2" t="s">
        <v>6</v>
      </c>
      <c r="B8" s="29">
        <v>0.95</v>
      </c>
      <c r="C8" s="29">
        <v>1</v>
      </c>
      <c r="D8" s="29">
        <v>0.9</v>
      </c>
      <c r="E8" s="29">
        <v>0.9</v>
      </c>
      <c r="F8" s="5" t="str">
        <f t="shared" si="0"/>
        <v>PP002</v>
      </c>
      <c r="G8" s="2" t="str">
        <f>IFERROR(VLOOKUP(F8,'Partner Pantries'!$A:$B,2,0),"")</f>
        <v>St. Augustine's Shelter Pantry</v>
      </c>
      <c r="H8" s="29">
        <f t="shared" si="1"/>
        <v>1</v>
      </c>
    </row>
    <row r="9" spans="1:8" x14ac:dyDescent="0.35">
      <c r="A9" s="7" t="s">
        <v>93</v>
      </c>
      <c r="B9" s="30">
        <v>0.8</v>
      </c>
      <c r="C9" s="30">
        <v>0.9</v>
      </c>
      <c r="D9" s="30">
        <v>0.85</v>
      </c>
      <c r="E9" s="30">
        <v>0.95</v>
      </c>
      <c r="F9" s="10" t="str">
        <f t="shared" si="0"/>
        <v>PP004</v>
      </c>
      <c r="G9" s="7" t="str">
        <f>IFERROR(VLOOKUP(F9,'Partner Pantries'!$A:$B,2,0),"")</f>
        <v>Oakdale School Family Pantry</v>
      </c>
      <c r="H9" s="30">
        <f t="shared" si="1"/>
        <v>0.95</v>
      </c>
    </row>
    <row r="10" spans="1:8" x14ac:dyDescent="0.35">
      <c r="A10" s="2" t="s">
        <v>66</v>
      </c>
      <c r="B10" s="29">
        <v>0.7</v>
      </c>
      <c r="C10" s="29">
        <v>0.6</v>
      </c>
      <c r="D10" s="29">
        <v>0.85</v>
      </c>
      <c r="E10" s="29">
        <v>0.9</v>
      </c>
      <c r="F10" s="5" t="str">
        <f t="shared" si="0"/>
        <v>PP004</v>
      </c>
      <c r="G10" s="2" t="str">
        <f>IFERROR(VLOOKUP(F10,'Partner Pantries'!$A:$B,2,0),"")</f>
        <v>Oakdale School Family Pantry</v>
      </c>
      <c r="H10" s="29">
        <f t="shared" si="1"/>
        <v>0.9</v>
      </c>
    </row>
    <row r="11" spans="1:8" x14ac:dyDescent="0.35">
      <c r="A11" s="7" t="s">
        <v>31</v>
      </c>
      <c r="B11" s="30">
        <v>0.9</v>
      </c>
      <c r="C11" s="30">
        <v>0.95</v>
      </c>
      <c r="D11" s="30">
        <v>0.8</v>
      </c>
      <c r="E11" s="30">
        <v>0.85</v>
      </c>
      <c r="F11" s="10" t="str">
        <f t="shared" si="0"/>
        <v>PP002</v>
      </c>
      <c r="G11" s="7" t="str">
        <f>IFERROR(VLOOKUP(F11,'Partner Pantries'!$A:$B,2,0),"")</f>
        <v>St. Augustine's Shelter Pantry</v>
      </c>
      <c r="H11" s="30">
        <f t="shared" si="1"/>
        <v>0.95</v>
      </c>
    </row>
    <row r="12" spans="1:8" x14ac:dyDescent="0.35">
      <c r="A12" s="2" t="s">
        <v>53</v>
      </c>
      <c r="B12" s="29">
        <v>0.8</v>
      </c>
      <c r="C12" s="29">
        <v>0.7</v>
      </c>
      <c r="D12" s="29">
        <v>0.9</v>
      </c>
      <c r="E12" s="29">
        <v>0.8</v>
      </c>
      <c r="F12" s="5" t="str">
        <f t="shared" si="0"/>
        <v>PP003</v>
      </c>
      <c r="G12" s="2" t="str">
        <f>IFERROR(VLOOKUP(F12,'Partner Pantries'!$A:$B,2,0),"")</f>
        <v>Maplewood Senior Center</v>
      </c>
      <c r="H12" s="29">
        <f t="shared" si="1"/>
        <v>0.9</v>
      </c>
    </row>
    <row r="13" spans="1:8" x14ac:dyDescent="0.35">
      <c r="A13" s="7" t="s">
        <v>10</v>
      </c>
      <c r="B13" s="30">
        <v>0.9</v>
      </c>
      <c r="C13" s="30">
        <v>0.7</v>
      </c>
      <c r="D13" s="30">
        <v>0.85</v>
      </c>
      <c r="E13" s="30">
        <v>0.95</v>
      </c>
      <c r="F13" s="10" t="str">
        <f t="shared" si="0"/>
        <v>PP004</v>
      </c>
      <c r="G13" s="7" t="str">
        <f>IFERROR(VLOOKUP(F13,'Partner Pantries'!$A:$B,2,0),"")</f>
        <v>Oakdale School Family Pantry</v>
      </c>
      <c r="H13" s="30">
        <f t="shared" si="1"/>
        <v>0.95</v>
      </c>
    </row>
    <row r="14" spans="1:8" x14ac:dyDescent="0.35">
      <c r="A14" s="2" t="s">
        <v>74</v>
      </c>
      <c r="B14" s="29">
        <v>0.9</v>
      </c>
      <c r="C14" s="29">
        <v>0.85</v>
      </c>
      <c r="D14" s="29">
        <v>0.7</v>
      </c>
      <c r="E14" s="29">
        <v>0.9</v>
      </c>
      <c r="F14" s="5" t="str">
        <f t="shared" si="0"/>
        <v>PP001</v>
      </c>
      <c r="G14" s="2" t="str">
        <f>IFERROR(VLOOKUP(F14,'Partner Pantries'!$A:$B,2,0),"")</f>
        <v>Riverside Community Pantry</v>
      </c>
      <c r="H14" s="29">
        <f t="shared" si="1"/>
        <v>0.9</v>
      </c>
    </row>
    <row r="15" spans="1:8" x14ac:dyDescent="0.35">
      <c r="A15" s="7" t="s">
        <v>8</v>
      </c>
      <c r="B15" s="30">
        <v>0.85</v>
      </c>
      <c r="C15" s="30">
        <v>0.7</v>
      </c>
      <c r="D15" s="30">
        <v>0.8</v>
      </c>
      <c r="E15" s="30">
        <v>0.9</v>
      </c>
      <c r="F15" s="10" t="str">
        <f t="shared" si="0"/>
        <v>PP004</v>
      </c>
      <c r="G15" s="7" t="str">
        <f>IFERROR(VLOOKUP(F15,'Partner Pantries'!$A:$B,2,0),"")</f>
        <v>Oakdale School Family Pantry</v>
      </c>
      <c r="H15" s="30">
        <f t="shared" si="1"/>
        <v>0.9</v>
      </c>
    </row>
    <row r="16" spans="1:8" x14ac:dyDescent="0.35">
      <c r="A16" s="2" t="s">
        <v>159</v>
      </c>
      <c r="B16" s="29">
        <v>0.8</v>
      </c>
      <c r="C16" s="29">
        <v>0.75</v>
      </c>
      <c r="D16" s="29">
        <v>0.7</v>
      </c>
      <c r="E16" s="29">
        <v>0.75</v>
      </c>
      <c r="F16" s="5" t="str">
        <f t="shared" si="0"/>
        <v>PP001</v>
      </c>
      <c r="G16" s="2" t="str">
        <f>IFERROR(VLOOKUP(F16,'Partner Pantries'!$A:$B,2,0),"")</f>
        <v>Riverside Community Pantry</v>
      </c>
      <c r="H16" s="29">
        <f t="shared" si="1"/>
        <v>0.8</v>
      </c>
    </row>
    <row r="17" spans="1:8" x14ac:dyDescent="0.35">
      <c r="A17" s="7" t="s">
        <v>102</v>
      </c>
      <c r="B17" s="30">
        <v>0.85</v>
      </c>
      <c r="C17" s="30">
        <v>0.95</v>
      </c>
      <c r="D17" s="30">
        <v>0.9</v>
      </c>
      <c r="E17" s="30">
        <v>0.75</v>
      </c>
      <c r="F17" s="10" t="str">
        <f t="shared" si="0"/>
        <v>PP002</v>
      </c>
      <c r="G17" s="7" t="str">
        <f>IFERROR(VLOOKUP(F17,'Partner Pantries'!$A:$B,2,0),"")</f>
        <v>St. Augustine's Shelter Pantry</v>
      </c>
      <c r="H17" s="30">
        <f t="shared" si="1"/>
        <v>0.95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Inventory</vt:lpstr>
      <vt:lpstr>AI Recommendations</vt:lpstr>
      <vt:lpstr>Donations Log</vt:lpstr>
      <vt:lpstr>Distribution History</vt:lpstr>
      <vt:lpstr>Food Catalog</vt:lpstr>
      <vt:lpstr>Partner Pantries</vt:lpstr>
      <vt:lpstr>Demand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Tricia Logan</cp:lastModifiedBy>
  <dcterms:created xsi:type="dcterms:W3CDTF">2026-06-25T22:48:45Z</dcterms:created>
  <dcterms:modified xsi:type="dcterms:W3CDTF">2026-06-26T22:04:34Z</dcterms:modified>
</cp:coreProperties>
</file>